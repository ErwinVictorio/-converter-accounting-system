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<sst xmlns="http://schemas.openxmlformats.org/spreadsheetml/2006/main" uniqueCount="26">
  <si>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Reporting_Month</t>
  </si>
  <si>
    <t>Vendor_TIN</t>
  </si>
  <si>
    <t>branchCode</t>
  </si>
  <si>
    <t>companyName</t>
  </si>
  <si>
    <t>surName</t>
  </si>
  <si>
    <t>firstName</t>
  </si>
  <si>
    <t>middleName</t>
  </si>
  <si>
    <t>ATC</t>
  </si>
  <si>
    <t>income_payment</t>
  </si>
  <si>
    <t>ewt_rate</t>
  </si>
  <si>
    <t>tax_amount</t>
  </si>
  <si>
    <t>007086184</t>
  </si>
  <si>
    <t>0</t>
  </si>
  <si>
    <t>ACERSTEEL INDUSTRIAL SALES INC</t>
  </si>
  <si>
    <t>WC158</t>
  </si>
  <si>
    <t>WC160</t>
  </si>
  <si>
    <t>000491813</t>
  </si>
  <si>
    <t>PRUDENTIAL GUARANTEE AND ASSURANCE INC</t>
  </si>
  <si>
    <t>220052738</t>
  </si>
  <si>
    <t>BANSIL</t>
  </si>
  <si>
    <t>JUAN</t>
  </si>
  <si>
    <t>CRUZ</t>
  </si>
  <si>
    <t>WI010</t>
  </si>
  <si>
    <t>000698073</t>
  </si>
  <si>
    <t>ACCUTECH INDUSTRIAL SUPPLY</t>
  </si>
  <si>
    <t>009999999</t>
  </si>
</sst>
</file>

<file path=xl/styles.xml><?xml version="1.0" encoding="utf-8"?>
<styleSheet xmlns="http://schemas.openxmlformats.org/spreadsheetml/2006/main" xml:space="preserve">
  <numFmts count="1">
    <numFmt numFmtId="164" formatCode="mm/dd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45.846" bestFit="true" customWidth="true" style="0"/>
    <col min="5" max="5" width="9.283" bestFit="true" customWidth="true" style="0"/>
    <col min="6" max="6" width="11.711" bestFit="true" customWidth="true" style="0"/>
    <col min="7" max="7" width="12.854" bestFit="true" customWidth="true" style="0"/>
    <col min="8" max="8" width="6.998" bestFit="true" customWidth="true" style="0"/>
    <col min="9" max="9" width="17.567" bestFit="true" customWidth="true" style="0"/>
    <col min="10" max="10" width="10.569" bestFit="true" customWidth="true" style="0"/>
    <col min="11" max="11" width="12.854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46022.0</v>
      </c>
      <c r="B2" t="s">
        <v>11</v>
      </c>
      <c r="C2" t="s">
        <v>12</v>
      </c>
      <c r="D2" t="s">
        <v>13</v>
      </c>
      <c r="E2"/>
      <c r="F2"/>
      <c r="G2"/>
      <c r="H2" t="s">
        <v>14</v>
      </c>
      <c r="I2" s="2">
        <v>3682716.0</v>
      </c>
      <c r="J2">
        <v>1</v>
      </c>
      <c r="K2" s="2">
        <f>ROUND(I2*J2/100,2)</f>
        <v>36827.16</v>
      </c>
    </row>
    <row r="3" spans="1:11">
      <c r="A3" s="1">
        <v>46022.0</v>
      </c>
      <c r="B3" t="s">
        <v>11</v>
      </c>
      <c r="C3" t="s">
        <v>12</v>
      </c>
      <c r="D3" t="s">
        <v>13</v>
      </c>
      <c r="E3"/>
      <c r="F3"/>
      <c r="G3"/>
      <c r="H3" t="s">
        <v>15</v>
      </c>
      <c r="I3" s="2">
        <v>100000.0</v>
      </c>
      <c r="J3">
        <v>2</v>
      </c>
      <c r="K3" s="2">
        <f>ROUND(I3*J3/100,2)</f>
        <v>2000</v>
      </c>
    </row>
    <row r="4" spans="1:11">
      <c r="A4" s="1">
        <v>46022.0</v>
      </c>
      <c r="B4" t="s">
        <v>16</v>
      </c>
      <c r="C4" t="s">
        <v>12</v>
      </c>
      <c r="D4" t="s">
        <v>17</v>
      </c>
      <c r="E4"/>
      <c r="F4"/>
      <c r="G4"/>
      <c r="H4" t="s">
        <v>15</v>
      </c>
      <c r="I4" s="2">
        <v>219023.5</v>
      </c>
      <c r="J4">
        <v>2</v>
      </c>
      <c r="K4" s="2">
        <f>ROUND(I4*J4/100,2)</f>
        <v>4380.47</v>
      </c>
    </row>
    <row r="5" spans="1:11">
      <c r="A5" s="1">
        <v>46022.0</v>
      </c>
      <c r="B5" t="s">
        <v>16</v>
      </c>
      <c r="C5" t="s">
        <v>12</v>
      </c>
      <c r="D5" t="s">
        <v>17</v>
      </c>
      <c r="E5"/>
      <c r="F5"/>
      <c r="G5"/>
      <c r="H5" t="s">
        <v>15</v>
      </c>
      <c r="I5" s="2">
        <v>1988.5</v>
      </c>
      <c r="J5">
        <v>2</v>
      </c>
      <c r="K5" s="2">
        <f>ROUND(I5*J5/100,2)</f>
        <v>39.77</v>
      </c>
    </row>
    <row r="6" spans="1:11">
      <c r="A6" s="1">
        <v>46022.0</v>
      </c>
      <c r="B6" t="s">
        <v>18</v>
      </c>
      <c r="C6" t="s">
        <v>12</v>
      </c>
      <c r="D6"/>
      <c r="E6" t="s">
        <v>19</v>
      </c>
      <c r="F6" t="s">
        <v>20</v>
      </c>
      <c r="G6" t="s">
        <v>21</v>
      </c>
      <c r="H6" t="s">
        <v>22</v>
      </c>
      <c r="I6" s="2">
        <v>50000.0</v>
      </c>
      <c r="J6">
        <v>5</v>
      </c>
      <c r="K6" s="2">
        <f>ROUND(I6*J6/100,2)</f>
        <v>2500</v>
      </c>
    </row>
    <row r="7" spans="1:11">
      <c r="A7" s="1">
        <v>46022.0</v>
      </c>
      <c r="B7" t="s">
        <v>23</v>
      </c>
      <c r="C7" t="s">
        <v>12</v>
      </c>
      <c r="D7" t="s">
        <v>24</v>
      </c>
      <c r="E7"/>
      <c r="F7"/>
      <c r="G7"/>
      <c r="H7" t="s">
        <v>15</v>
      </c>
      <c r="I7" s="2">
        <v>-51600.0</v>
      </c>
      <c r="J7">
        <v>2</v>
      </c>
      <c r="K7" s="2">
        <f>ROUND(I7*J7/100,2)</f>
        <v>-1032</v>
      </c>
    </row>
    <row r="8" spans="1:11">
      <c r="A8" s="1">
        <v>46022.0</v>
      </c>
      <c r="B8" t="s">
        <v>25</v>
      </c>
      <c r="C8" t="s">
        <v>12</v>
      </c>
      <c r="D8" t="s">
        <v>13</v>
      </c>
      <c r="E8"/>
      <c r="F8"/>
      <c r="G8"/>
      <c r="H8" t="s">
        <v>14</v>
      </c>
      <c r="I8" s="2">
        <v>200000.0</v>
      </c>
      <c r="J8">
        <v>1</v>
      </c>
      <c r="K8" s="2">
        <f>ROUND(I8*J8/100,2)</f>
        <v>2000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2026-08-24T09:33:58+02:00</dcterms:created>
  <dcterms:modified xsi:type="dcterms:W3CDTF">2026-08-24T09:33:58+02:00</dcterms:modified>
  <dc:title>Untitled Spreadsheet</dc:title>
  <dc:description/>
  <dc:subject/>
  <cp:keywords/>
  <cp:category/>
</cp:coreProperties>
</file>
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Jessa Marie\Downloads\"/>
    </mc:Choice>
  </mc:AlternateContent>
  <bookViews>
    <workbookView xWindow="0" yWindow="0" windowWidth="24000" windowHeight="9630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51" i="1" l="1"/>
  <c r="K51" i="1"/>
  <c r="L51" i="1"/>
  <c r="M51" i="1"/>
  <c r="I51" i="1"/>
</calcChain>
</file>

<file path=xl/sharedStrings.xml><?xml version="1.0" encoding="utf-8"?>
<sst xmlns="http://schemas.openxmlformats.org/spreadsheetml/2006/main" count="347" uniqueCount="150">
  <si>
    <t>SALES SUMMARY BY DOCUMENT NUMBER</t>
  </si>
  <si>
    <t>Period Covered: July 1, 2026 - July 31, 2026</t>
  </si>
  <si>
    <t>Document No</t>
  </si>
  <si>
    <t>Date</t>
  </si>
  <si>
    <t>Terms</t>
  </si>
  <si>
    <t>Days</t>
  </si>
  <si>
    <t>Due Date</t>
  </si>
  <si>
    <t>Agent</t>
  </si>
  <si>
    <t>Customer Name</t>
  </si>
  <si>
    <t>SO/DR/SI</t>
  </si>
  <si>
    <t>Gross Amount</t>
  </si>
  <si>
    <t>Discount</t>
  </si>
  <si>
    <t>Charges</t>
  </si>
  <si>
    <t>Net Amount</t>
  </si>
  <si>
    <t>VAT</t>
  </si>
  <si>
    <t>Net of VAT</t>
  </si>
  <si>
    <t>90 DAYS PDC-AD</t>
  </si>
  <si>
    <t>09/29/2026</t>
  </si>
  <si>
    <t>KENNETH CHAN</t>
  </si>
  <si>
    <t>CASH-IBD-BP</t>
  </si>
  <si>
    <t>CARMEN RAMORES</t>
  </si>
  <si>
    <t>07/31/2026</t>
  </si>
  <si>
    <t>NORMA L. CHAN/BING RAMORES</t>
  </si>
  <si>
    <t>60 DAYS PDC AD</t>
  </si>
  <si>
    <t>DC-AP</t>
  </si>
  <si>
    <t>ERNESTO CHUA</t>
  </si>
  <si>
    <t>07/03/2026</t>
  </si>
  <si>
    <t>NORMA L. CHAN/MILES PANGAN</t>
  </si>
  <si>
    <t>SI#15257</t>
  </si>
  <si>
    <t>P &amp; H MERCHANDISING CORPORATION</t>
  </si>
  <si>
    <t>013572 / 15118</t>
  </si>
  <si>
    <t>SI#15258</t>
  </si>
  <si>
    <t>013550 / 15119</t>
  </si>
  <si>
    <t>SI#15259</t>
  </si>
  <si>
    <t>013553 / 15120</t>
  </si>
  <si>
    <t>SI#15260</t>
  </si>
  <si>
    <t>013559 / 15121</t>
  </si>
  <si>
    <t>30 DAYS PDC-AD</t>
  </si>
  <si>
    <t>07/08/2026</t>
  </si>
  <si>
    <t>SI#15326</t>
  </si>
  <si>
    <t>013650 / 15201</t>
  </si>
  <si>
    <t>SI#15327</t>
  </si>
  <si>
    <t>013635 / 15200</t>
  </si>
  <si>
    <t>SI#15328</t>
  </si>
  <si>
    <t>013686 / 15199</t>
  </si>
  <si>
    <t>SI#15329</t>
  </si>
  <si>
    <t>013661 / 15198</t>
  </si>
  <si>
    <t>07/10/2026</t>
  </si>
  <si>
    <t>SI#15398</t>
  </si>
  <si>
    <t>013688 / 15254</t>
  </si>
  <si>
    <t>SI#15399</t>
  </si>
  <si>
    <t>013727 / 15255</t>
  </si>
  <si>
    <t>07/13/2026</t>
  </si>
  <si>
    <t>SI#15412</t>
  </si>
  <si>
    <t>10/11/2026</t>
  </si>
  <si>
    <t>BARRON ENGINEERING SUPPLIES INC.</t>
  </si>
  <si>
    <t>013710 / 15267</t>
  </si>
  <si>
    <t>07/14/2026</t>
  </si>
  <si>
    <t>SI#15429</t>
  </si>
  <si>
    <t>013786 / 15305</t>
  </si>
  <si>
    <t>10/12/2026</t>
  </si>
  <si>
    <t>08/13/2026</t>
  </si>
  <si>
    <t>SI#15436</t>
  </si>
  <si>
    <t>BORLAND DEVELOPMENT CORPORATION</t>
  </si>
  <si>
    <t>013311 / 15297</t>
  </si>
  <si>
    <t>SI#15444</t>
  </si>
  <si>
    <t>ATI STEEL FAB CORP.</t>
  </si>
  <si>
    <t>012212 / 15308</t>
  </si>
  <si>
    <t>SI#15445</t>
  </si>
  <si>
    <t>012218 / 15309</t>
  </si>
  <si>
    <t>07/15/2026</t>
  </si>
  <si>
    <t>SI#15458</t>
  </si>
  <si>
    <t>10/13/2026</t>
  </si>
  <si>
    <t>012218 / 15312</t>
  </si>
  <si>
    <t>SI#15459</t>
  </si>
  <si>
    <t>012218 / 15313</t>
  </si>
  <si>
    <t>07/17/2026</t>
  </si>
  <si>
    <t>SI#15500</t>
  </si>
  <si>
    <t>013843 / 15368</t>
  </si>
  <si>
    <t>SI#15501</t>
  </si>
  <si>
    <t>013792 / 15370</t>
  </si>
  <si>
    <t>09/15/2026</t>
  </si>
  <si>
    <t>SI#15529</t>
  </si>
  <si>
    <t>07/20/2026</t>
  </si>
  <si>
    <t>HKP CONSTRUCTION</t>
  </si>
  <si>
    <t>013691 / 15395</t>
  </si>
  <si>
    <t>SI#15532</t>
  </si>
  <si>
    <t>013864 / 15404</t>
  </si>
  <si>
    <t>SI#15533</t>
  </si>
  <si>
    <t>013756 / 15410</t>
  </si>
  <si>
    <t>SI#15534</t>
  </si>
  <si>
    <t>013834 / 15411</t>
  </si>
  <si>
    <t>SI#15535</t>
  </si>
  <si>
    <t>013878 / 15412</t>
  </si>
  <si>
    <t>07/21/2026</t>
  </si>
  <si>
    <t>SI#15557</t>
  </si>
  <si>
    <t>013885 / 15425</t>
  </si>
  <si>
    <t>07/22/2026</t>
  </si>
  <si>
    <t>SI#15597</t>
  </si>
  <si>
    <t>013797 / 15463</t>
  </si>
  <si>
    <t>SI#15598</t>
  </si>
  <si>
    <t>013882 / 15464</t>
  </si>
  <si>
    <t>SI#15599</t>
  </si>
  <si>
    <t>013917 / 15465</t>
  </si>
  <si>
    <t>SI#15600</t>
  </si>
  <si>
    <t>013921 / 15466</t>
  </si>
  <si>
    <t>SI#15601</t>
  </si>
  <si>
    <t>013941 / 15467</t>
  </si>
  <si>
    <t>07/24/2026</t>
  </si>
  <si>
    <t>SI#15631</t>
  </si>
  <si>
    <t>013882 / 15504</t>
  </si>
  <si>
    <t>SI#15632</t>
  </si>
  <si>
    <t>013916 / 15505</t>
  </si>
  <si>
    <t>SI#15633</t>
  </si>
  <si>
    <t>013966 / 15506</t>
  </si>
  <si>
    <t>07/27/2026</t>
  </si>
  <si>
    <t>09/25/2026</t>
  </si>
  <si>
    <t>SI#15683</t>
  </si>
  <si>
    <t>NCR CONSTRUCTION SUPPLY, INC.</t>
  </si>
  <si>
    <t>013353 / 15539</t>
  </si>
  <si>
    <t>SI#15684</t>
  </si>
  <si>
    <t>013354 / 15542</t>
  </si>
  <si>
    <t>SI#15685</t>
  </si>
  <si>
    <t>013817 / 15543</t>
  </si>
  <si>
    <t>SI#15686</t>
  </si>
  <si>
    <t>013817 / 15544</t>
  </si>
  <si>
    <t>SI#15687</t>
  </si>
  <si>
    <t>013818 / 15546</t>
  </si>
  <si>
    <t>SI#15694</t>
  </si>
  <si>
    <t>013825 / 15553</t>
  </si>
  <si>
    <t>SI#15695</t>
  </si>
  <si>
    <t>013986 / 15554</t>
  </si>
  <si>
    <t>07/28/2026</t>
  </si>
  <si>
    <t>SI#15700</t>
  </si>
  <si>
    <t>014039 / 15578</t>
  </si>
  <si>
    <t>SI#15701</t>
  </si>
  <si>
    <t>013982 / 15579</t>
  </si>
  <si>
    <t>07/30/2026</t>
  </si>
  <si>
    <t>SI#15755</t>
  </si>
  <si>
    <t>014047 / 15624</t>
  </si>
  <si>
    <t>CM#003203 (REG)</t>
  </si>
  <si>
    <t>/ 14799</t>
  </si>
  <si>
    <t>CM#003204 (REG)</t>
  </si>
  <si>
    <t>/ 14801</t>
  </si>
  <si>
    <t>CM#003231 (REG)</t>
  </si>
  <si>
    <t>/ 14614</t>
  </si>
  <si>
    <t>CM#003239 (REG)</t>
  </si>
  <si>
    <t>/ 15687</t>
  </si>
  <si>
    <t>TOTAL: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</si>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</sst>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;\(#,##0.00\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43" fontId="1" fillId="0" borderId="0" xfId="1" applyFont="1" applyFill="1" applyBorder="1"/>
    <xf numFmtId="43" fontId="3" fillId="0" borderId="0" xfId="1" applyNumberFormat="1" applyFont="1" applyFill="1" applyBorder="1"/>
    <xf numFmtId="43" fontId="0" fillId="0" borderId="0" xfId="0" applyNumberFormat="1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2">
    <cellStyle name="Comma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50" totalsRowShown="0" headerRowDxfId="4">
  <autoFilter ref="A3:N50">
    <filterColumn colId="6">
      <filters>
        <filter val="NCR CONSTRUCTION SUPPLY, INC."/>
      </filters>
    </filterColumn>
  </autoFilter>
  <tableColumns count="14">
    <tableColumn id="1" name="Document No"/>
    <tableColumn id="2" name="Date"/>
    <tableColumn id="3" name="Terms"/>
    <tableColumn id="4" name="Days" dataDxfId="3"/>
    <tableColumn id="5" name="Due Date"/>
    <tableColumn id="6" name="Agent"/>
    <tableColumn id="7" name="Customer Name"/>
    <tableColumn id="8" name="SO/DR/SI"/>
    <tableColumn id="9" name="Gross Amount" dataDxfId="2"/>
    <tableColumn id="10" name="Discount"/>
    <tableColumn id="11" name="Charges"/>
    <tableColumn id="12" name="Net Amount" dataDxfId="1"/>
    <tableColumn id="13" name="VAT"/>
    <tableColumn id="14" name="Net of VA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topLeftCell="F1" workbookViewId="0">
      <selection activeCell="H52" sqref="H52"/>
    </sheetView>
  </sheetViews>
  <sheetFormatPr defaultRowHeight="15"/>
  <cols>
    <col min="1" max="1" width="19.42578125" customWidth="1"/>
    <col min="2" max="2" width="13" customWidth="1"/>
    <col min="3" max="3" width="29.85546875" customWidth="1"/>
    <col min="4" max="4" width="7.28515625" customWidth="1"/>
    <col min="5" max="5" width="13" customWidth="1"/>
    <col min="6" max="6" width="40.28515625" customWidth="1"/>
    <col min="7" max="7" width="52" customWidth="1"/>
    <col min="8" max="9" width="18.140625" customWidth="1"/>
    <col min="10" max="10" width="15.5703125" customWidth="1"/>
    <col min="11" max="11" width="13" customWidth="1"/>
    <col min="12" max="12" width="18.140625" customWidth="1"/>
    <col min="13" max="13" width="16.85546875" customWidth="1"/>
    <col min="14" max="14" width="18.140625" customWidth="1"/>
  </cols>
  <sheetData>
    <row r="1" spans="1:1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idden="1">
      <c r="A4" t="s">
        <v>28</v>
      </c>
      <c r="B4" t="s">
        <v>26</v>
      </c>
      <c r="C4" t="s">
        <v>24</v>
      </c>
      <c r="D4" s="4">
        <v>0</v>
      </c>
      <c r="E4" t="s">
        <v>26</v>
      </c>
      <c r="F4" t="s">
        <v>25</v>
      </c>
      <c r="G4" t="s">
        <v>29</v>
      </c>
      <c r="H4" t="s">
        <v>30</v>
      </c>
      <c r="I4" s="3">
        <v>18360</v>
      </c>
      <c r="L4" s="3">
        <v>18360</v>
      </c>
      <c r="M4" s="3">
        <v>1967.14</v>
      </c>
      <c r="N4" s="3">
        <v>16392.86</v>
      </c>
    </row>
    <row r="5" spans="1:14" hidden="1">
      <c r="A5" t="s">
        <v>31</v>
      </c>
      <c r="B5" t="s">
        <v>26</v>
      </c>
      <c r="C5" t="s">
        <v>24</v>
      </c>
      <c r="D5" s="4">
        <v>0</v>
      </c>
      <c r="E5" t="s">
        <v>26</v>
      </c>
      <c r="F5" t="s">
        <v>25</v>
      </c>
      <c r="G5" t="s">
        <v>29</v>
      </c>
      <c r="H5" t="s">
        <v>32</v>
      </c>
      <c r="I5" s="3">
        <v>51625</v>
      </c>
      <c r="L5" s="3">
        <v>51625</v>
      </c>
      <c r="M5" s="3">
        <v>5531.25</v>
      </c>
      <c r="N5" s="3">
        <v>46093.75</v>
      </c>
    </row>
    <row r="6" spans="1:14" hidden="1">
      <c r="A6" t="s">
        <v>33</v>
      </c>
      <c r="B6" t="s">
        <v>26</v>
      </c>
      <c r="C6" t="s">
        <v>24</v>
      </c>
      <c r="D6" s="4">
        <v>0</v>
      </c>
      <c r="E6" t="s">
        <v>26</v>
      </c>
      <c r="F6" t="s">
        <v>25</v>
      </c>
      <c r="G6" t="s">
        <v>29</v>
      </c>
      <c r="H6" t="s">
        <v>34</v>
      </c>
      <c r="I6" s="3">
        <v>117700</v>
      </c>
      <c r="L6" s="3">
        <v>117700</v>
      </c>
      <c r="M6" s="3">
        <v>12610.71</v>
      </c>
      <c r="N6" s="3">
        <v>105089.29</v>
      </c>
    </row>
    <row r="7" spans="1:14" hidden="1">
      <c r="A7" t="s">
        <v>35</v>
      </c>
      <c r="B7" t="s">
        <v>26</v>
      </c>
      <c r="C7" t="s">
        <v>24</v>
      </c>
      <c r="D7" s="4">
        <v>0</v>
      </c>
      <c r="E7" t="s">
        <v>26</v>
      </c>
      <c r="F7" t="s">
        <v>25</v>
      </c>
      <c r="G7" t="s">
        <v>29</v>
      </c>
      <c r="H7" t="s">
        <v>36</v>
      </c>
      <c r="I7" s="3">
        <v>27960</v>
      </c>
      <c r="L7" s="3">
        <v>27960</v>
      </c>
      <c r="M7" s="3">
        <v>2995.71</v>
      </c>
      <c r="N7" s="3">
        <v>24964.29</v>
      </c>
    </row>
    <row r="8" spans="1:14" hidden="1">
      <c r="A8" t="s">
        <v>39</v>
      </c>
      <c r="B8" t="s">
        <v>38</v>
      </c>
      <c r="C8" t="s">
        <v>24</v>
      </c>
      <c r="D8" s="4">
        <v>0</v>
      </c>
      <c r="E8" t="s">
        <v>38</v>
      </c>
      <c r="F8" t="s">
        <v>25</v>
      </c>
      <c r="G8" t="s">
        <v>29</v>
      </c>
      <c r="H8" t="s">
        <v>40</v>
      </c>
      <c r="I8" s="3">
        <v>6240</v>
      </c>
      <c r="L8" s="3">
        <v>6240</v>
      </c>
      <c r="M8" s="5">
        <v>668.57</v>
      </c>
      <c r="N8" s="3">
        <v>5571.43</v>
      </c>
    </row>
    <row r="9" spans="1:14" hidden="1">
      <c r="A9" t="s">
        <v>41</v>
      </c>
      <c r="B9" t="s">
        <v>38</v>
      </c>
      <c r="C9" t="s">
        <v>24</v>
      </c>
      <c r="D9" s="4">
        <v>0</v>
      </c>
      <c r="E9" t="s">
        <v>38</v>
      </c>
      <c r="F9" t="s">
        <v>25</v>
      </c>
      <c r="G9" t="s">
        <v>29</v>
      </c>
      <c r="H9" t="s">
        <v>42</v>
      </c>
      <c r="I9" s="3">
        <v>10875</v>
      </c>
      <c r="L9" s="3">
        <v>10875</v>
      </c>
      <c r="M9" s="3">
        <v>1165.18</v>
      </c>
      <c r="N9" s="3">
        <v>9709.82</v>
      </c>
    </row>
    <row r="10" spans="1:14" hidden="1">
      <c r="A10" t="s">
        <v>43</v>
      </c>
      <c r="B10" t="s">
        <v>38</v>
      </c>
      <c r="C10" t="s">
        <v>24</v>
      </c>
      <c r="D10" s="4">
        <v>0</v>
      </c>
      <c r="E10" t="s">
        <v>38</v>
      </c>
      <c r="F10" t="s">
        <v>25</v>
      </c>
      <c r="G10" t="s">
        <v>29</v>
      </c>
      <c r="H10" t="s">
        <v>44</v>
      </c>
      <c r="I10" s="3">
        <v>6500</v>
      </c>
      <c r="L10" s="3">
        <v>6500</v>
      </c>
      <c r="M10" s="5">
        <v>696.43</v>
      </c>
      <c r="N10" s="3">
        <v>5803.57</v>
      </c>
    </row>
    <row r="11" spans="1:14" hidden="1">
      <c r="A11" t="s">
        <v>45</v>
      </c>
      <c r="B11" t="s">
        <v>38</v>
      </c>
      <c r="C11" t="s">
        <v>24</v>
      </c>
      <c r="D11" s="4">
        <v>0</v>
      </c>
      <c r="E11" t="s">
        <v>38</v>
      </c>
      <c r="F11" t="s">
        <v>25</v>
      </c>
      <c r="G11" t="s">
        <v>29</v>
      </c>
      <c r="H11" t="s">
        <v>46</v>
      </c>
      <c r="I11" s="3">
        <v>7800</v>
      </c>
      <c r="L11" s="3">
        <v>7800</v>
      </c>
      <c r="M11" s="5">
        <v>835.71</v>
      </c>
      <c r="N11" s="3">
        <v>6964.29</v>
      </c>
    </row>
    <row r="12" spans="1:14" hidden="1">
      <c r="A12" t="s">
        <v>48</v>
      </c>
      <c r="B12" t="s">
        <v>47</v>
      </c>
      <c r="C12" t="s">
        <v>24</v>
      </c>
      <c r="D12" s="4">
        <v>0</v>
      </c>
      <c r="E12" t="s">
        <v>47</v>
      </c>
      <c r="F12" t="s">
        <v>25</v>
      </c>
      <c r="G12" t="s">
        <v>29</v>
      </c>
      <c r="H12" t="s">
        <v>49</v>
      </c>
      <c r="I12" s="3">
        <v>20176</v>
      </c>
      <c r="L12" s="3">
        <v>20176</v>
      </c>
      <c r="M12" s="3">
        <v>2161.71</v>
      </c>
      <c r="N12" s="3">
        <v>18014.29</v>
      </c>
    </row>
    <row r="13" spans="1:14" hidden="1">
      <c r="A13" t="s">
        <v>50</v>
      </c>
      <c r="B13" t="s">
        <v>47</v>
      </c>
      <c r="C13" t="s">
        <v>24</v>
      </c>
      <c r="D13" s="4">
        <v>0</v>
      </c>
      <c r="E13" t="s">
        <v>47</v>
      </c>
      <c r="F13" t="s">
        <v>25</v>
      </c>
      <c r="G13" t="s">
        <v>29</v>
      </c>
      <c r="H13" t="s">
        <v>51</v>
      </c>
      <c r="I13" s="3">
        <v>25608</v>
      </c>
      <c r="L13" s="3">
        <v>25608</v>
      </c>
      <c r="M13" s="3">
        <v>2743.71</v>
      </c>
      <c r="N13" s="3">
        <v>22864.29</v>
      </c>
    </row>
    <row r="14" spans="1:14" hidden="1">
      <c r="A14" t="s">
        <v>53</v>
      </c>
      <c r="B14" t="s">
        <v>52</v>
      </c>
      <c r="C14" t="s">
        <v>16</v>
      </c>
      <c r="D14" s="4">
        <v>90</v>
      </c>
      <c r="E14" t="s">
        <v>54</v>
      </c>
      <c r="F14" t="s">
        <v>22</v>
      </c>
      <c r="G14" t="s">
        <v>55</v>
      </c>
      <c r="H14" t="s">
        <v>56</v>
      </c>
      <c r="I14" s="3">
        <v>294048</v>
      </c>
      <c r="L14" s="3">
        <v>294048</v>
      </c>
      <c r="M14" s="3">
        <v>31505.14</v>
      </c>
      <c r="N14" s="3">
        <v>262542.86</v>
      </c>
    </row>
    <row r="15" spans="1:14" hidden="1">
      <c r="A15" t="s">
        <v>58</v>
      </c>
      <c r="B15" t="s">
        <v>57</v>
      </c>
      <c r="C15" t="s">
        <v>24</v>
      </c>
      <c r="D15" s="4">
        <v>0</v>
      </c>
      <c r="E15" t="s">
        <v>57</v>
      </c>
      <c r="F15" t="s">
        <v>25</v>
      </c>
      <c r="G15" t="s">
        <v>29</v>
      </c>
      <c r="H15" t="s">
        <v>59</v>
      </c>
      <c r="I15" s="3">
        <v>9750</v>
      </c>
      <c r="L15" s="3">
        <v>9750</v>
      </c>
      <c r="M15" s="3">
        <v>1044.6400000000001</v>
      </c>
      <c r="N15" s="3">
        <v>8705.36</v>
      </c>
    </row>
    <row r="16" spans="1:14" hidden="1">
      <c r="A16" t="s">
        <v>62</v>
      </c>
      <c r="B16" t="s">
        <v>57</v>
      </c>
      <c r="C16" t="s">
        <v>37</v>
      </c>
      <c r="D16" s="4">
        <v>30</v>
      </c>
      <c r="E16" t="s">
        <v>61</v>
      </c>
      <c r="F16" t="s">
        <v>27</v>
      </c>
      <c r="G16" t="s">
        <v>63</v>
      </c>
      <c r="H16" t="s">
        <v>64</v>
      </c>
      <c r="I16" s="3">
        <v>250030</v>
      </c>
      <c r="K16" s="3">
        <v>13600</v>
      </c>
      <c r="L16" s="3">
        <v>263630</v>
      </c>
      <c r="M16" s="3">
        <v>28246.07</v>
      </c>
      <c r="N16" s="3">
        <v>235383.93</v>
      </c>
    </row>
    <row r="17" spans="1:14" hidden="1">
      <c r="A17" t="s">
        <v>65</v>
      </c>
      <c r="B17" t="s">
        <v>57</v>
      </c>
      <c r="C17" t="s">
        <v>16</v>
      </c>
      <c r="D17" s="4">
        <v>90</v>
      </c>
      <c r="E17" t="s">
        <v>60</v>
      </c>
      <c r="F17" t="s">
        <v>20</v>
      </c>
      <c r="G17" t="s">
        <v>66</v>
      </c>
      <c r="H17" t="s">
        <v>67</v>
      </c>
      <c r="I17" s="3">
        <v>2800.5</v>
      </c>
      <c r="L17" s="3">
        <v>2800.5</v>
      </c>
      <c r="M17" s="5">
        <v>300.05</v>
      </c>
      <c r="N17" s="3">
        <v>2500.4499999999998</v>
      </c>
    </row>
    <row r="18" spans="1:14" hidden="1">
      <c r="A18" t="s">
        <v>68</v>
      </c>
      <c r="B18" t="s">
        <v>57</v>
      </c>
      <c r="C18" t="s">
        <v>16</v>
      </c>
      <c r="D18" s="4">
        <v>90</v>
      </c>
      <c r="E18" t="s">
        <v>60</v>
      </c>
      <c r="F18" t="s">
        <v>20</v>
      </c>
      <c r="G18" t="s">
        <v>66</v>
      </c>
      <c r="H18" t="s">
        <v>69</v>
      </c>
      <c r="I18" s="3">
        <v>352863</v>
      </c>
      <c r="L18" s="3">
        <v>352863</v>
      </c>
      <c r="M18" s="3">
        <v>37806.75</v>
      </c>
      <c r="N18" s="3">
        <v>315056.25</v>
      </c>
    </row>
    <row r="19" spans="1:14" hidden="1">
      <c r="A19" t="s">
        <v>71</v>
      </c>
      <c r="B19" t="s">
        <v>70</v>
      </c>
      <c r="C19" t="s">
        <v>16</v>
      </c>
      <c r="D19" s="4">
        <v>90</v>
      </c>
      <c r="E19" t="s">
        <v>72</v>
      </c>
      <c r="F19" t="s">
        <v>20</v>
      </c>
      <c r="G19" t="s">
        <v>66</v>
      </c>
      <c r="H19" t="s">
        <v>73</v>
      </c>
      <c r="I19" s="3">
        <v>396713.8</v>
      </c>
      <c r="L19" s="3">
        <v>396713.8</v>
      </c>
      <c r="M19" s="3">
        <v>42505.05</v>
      </c>
      <c r="N19" s="3">
        <v>354208.75</v>
      </c>
    </row>
    <row r="20" spans="1:14" hidden="1">
      <c r="A20" t="s">
        <v>74</v>
      </c>
      <c r="B20" t="s">
        <v>70</v>
      </c>
      <c r="C20" t="s">
        <v>16</v>
      </c>
      <c r="D20" s="4">
        <v>90</v>
      </c>
      <c r="E20" t="s">
        <v>72</v>
      </c>
      <c r="F20" t="s">
        <v>20</v>
      </c>
      <c r="G20" t="s">
        <v>66</v>
      </c>
      <c r="H20" t="s">
        <v>75</v>
      </c>
      <c r="I20" s="3">
        <v>196035</v>
      </c>
      <c r="L20" s="3">
        <v>196035</v>
      </c>
      <c r="M20" s="3">
        <v>21003.75</v>
      </c>
      <c r="N20" s="3">
        <v>175031.25</v>
      </c>
    </row>
    <row r="21" spans="1:14" hidden="1">
      <c r="A21" t="s">
        <v>77</v>
      </c>
      <c r="B21" t="s">
        <v>76</v>
      </c>
      <c r="C21" t="s">
        <v>24</v>
      </c>
      <c r="D21" s="4">
        <v>0</v>
      </c>
      <c r="E21" t="s">
        <v>76</v>
      </c>
      <c r="F21" t="s">
        <v>25</v>
      </c>
      <c r="G21" t="s">
        <v>29</v>
      </c>
      <c r="H21" t="s">
        <v>78</v>
      </c>
      <c r="I21" s="3">
        <v>5040</v>
      </c>
      <c r="L21" s="3">
        <v>5040</v>
      </c>
      <c r="M21" s="5">
        <v>540</v>
      </c>
      <c r="N21" s="3">
        <v>4500</v>
      </c>
    </row>
    <row r="22" spans="1:14" hidden="1">
      <c r="A22" t="s">
        <v>79</v>
      </c>
      <c r="B22" t="s">
        <v>76</v>
      </c>
      <c r="C22" t="s">
        <v>24</v>
      </c>
      <c r="D22" s="4">
        <v>0</v>
      </c>
      <c r="E22" t="s">
        <v>76</v>
      </c>
      <c r="F22" t="s">
        <v>25</v>
      </c>
      <c r="G22" t="s">
        <v>29</v>
      </c>
      <c r="H22" t="s">
        <v>80</v>
      </c>
      <c r="I22" s="3">
        <v>73514</v>
      </c>
      <c r="L22" s="3">
        <v>73514</v>
      </c>
      <c r="M22" s="3">
        <v>7876.5</v>
      </c>
      <c r="N22" s="3">
        <v>65637.5</v>
      </c>
    </row>
    <row r="23" spans="1:14" hidden="1">
      <c r="A23" t="s">
        <v>82</v>
      </c>
      <c r="B23" t="s">
        <v>83</v>
      </c>
      <c r="C23" t="s">
        <v>19</v>
      </c>
      <c r="D23" s="4">
        <v>0</v>
      </c>
      <c r="E23" t="s">
        <v>83</v>
      </c>
      <c r="F23" t="s">
        <v>22</v>
      </c>
      <c r="G23" t="s">
        <v>84</v>
      </c>
      <c r="H23" t="s">
        <v>85</v>
      </c>
      <c r="I23" s="3">
        <v>1195200</v>
      </c>
      <c r="L23" s="3">
        <v>1195200</v>
      </c>
      <c r="M23" s="3">
        <v>128057.14</v>
      </c>
      <c r="N23" s="3">
        <v>1067142.8600000001</v>
      </c>
    </row>
    <row r="24" spans="1:14" hidden="1">
      <c r="A24" t="s">
        <v>86</v>
      </c>
      <c r="B24" t="s">
        <v>83</v>
      </c>
      <c r="C24" t="s">
        <v>24</v>
      </c>
      <c r="D24" s="4">
        <v>0</v>
      </c>
      <c r="E24" t="s">
        <v>83</v>
      </c>
      <c r="F24" t="s">
        <v>25</v>
      </c>
      <c r="G24" t="s">
        <v>29</v>
      </c>
      <c r="H24" t="s">
        <v>87</v>
      </c>
      <c r="I24" s="3">
        <v>28840</v>
      </c>
      <c r="L24" s="3">
        <v>28840</v>
      </c>
      <c r="M24" s="3">
        <v>3090</v>
      </c>
      <c r="N24" s="3">
        <v>25750</v>
      </c>
    </row>
    <row r="25" spans="1:14" hidden="1">
      <c r="A25" t="s">
        <v>88</v>
      </c>
      <c r="B25" t="s">
        <v>83</v>
      </c>
      <c r="C25" t="s">
        <v>24</v>
      </c>
      <c r="D25" s="4">
        <v>0</v>
      </c>
      <c r="E25" t="s">
        <v>83</v>
      </c>
      <c r="F25" t="s">
        <v>25</v>
      </c>
      <c r="G25" t="s">
        <v>29</v>
      </c>
      <c r="H25" t="s">
        <v>89</v>
      </c>
      <c r="I25" s="3">
        <v>55872</v>
      </c>
      <c r="L25" s="3">
        <v>55872</v>
      </c>
      <c r="M25" s="3">
        <v>5986.29</v>
      </c>
      <c r="N25" s="3">
        <v>49885.71</v>
      </c>
    </row>
    <row r="26" spans="1:14" hidden="1">
      <c r="A26" t="s">
        <v>90</v>
      </c>
      <c r="B26" t="s">
        <v>83</v>
      </c>
      <c r="C26" t="s">
        <v>24</v>
      </c>
      <c r="D26" s="4">
        <v>0</v>
      </c>
      <c r="E26" t="s">
        <v>83</v>
      </c>
      <c r="F26" t="s">
        <v>25</v>
      </c>
      <c r="G26" t="s">
        <v>29</v>
      </c>
      <c r="H26" t="s">
        <v>91</v>
      </c>
      <c r="I26" s="3">
        <v>11960</v>
      </c>
      <c r="L26" s="3">
        <v>11960</v>
      </c>
      <c r="M26" s="3">
        <v>1281.43</v>
      </c>
      <c r="N26" s="3">
        <v>10678.57</v>
      </c>
    </row>
    <row r="27" spans="1:14" hidden="1">
      <c r="A27" t="s">
        <v>92</v>
      </c>
      <c r="B27" t="s">
        <v>83</v>
      </c>
      <c r="C27" t="s">
        <v>24</v>
      </c>
      <c r="D27" s="4">
        <v>0</v>
      </c>
      <c r="E27" t="s">
        <v>83</v>
      </c>
      <c r="F27" t="s">
        <v>25</v>
      </c>
      <c r="G27" t="s">
        <v>29</v>
      </c>
      <c r="H27" t="s">
        <v>93</v>
      </c>
      <c r="I27" s="3">
        <v>71466</v>
      </c>
      <c r="L27" s="3">
        <v>71466</v>
      </c>
      <c r="M27" s="3">
        <v>7657.07</v>
      </c>
      <c r="N27" s="3">
        <v>63808.93</v>
      </c>
    </row>
    <row r="28" spans="1:14" hidden="1">
      <c r="A28" t="s">
        <v>95</v>
      </c>
      <c r="B28" t="s">
        <v>94</v>
      </c>
      <c r="C28" t="s">
        <v>24</v>
      </c>
      <c r="D28" s="4">
        <v>0</v>
      </c>
      <c r="E28" t="s">
        <v>94</v>
      </c>
      <c r="F28" t="s">
        <v>25</v>
      </c>
      <c r="G28" t="s">
        <v>29</v>
      </c>
      <c r="H28" t="s">
        <v>96</v>
      </c>
      <c r="I28" s="3">
        <v>145250</v>
      </c>
      <c r="L28" s="3">
        <v>145250</v>
      </c>
      <c r="M28" s="3">
        <v>15562.5</v>
      </c>
      <c r="N28" s="3">
        <v>129687.5</v>
      </c>
    </row>
    <row r="29" spans="1:14" hidden="1">
      <c r="A29" t="s">
        <v>98</v>
      </c>
      <c r="B29" t="s">
        <v>97</v>
      </c>
      <c r="C29" t="s">
        <v>24</v>
      </c>
      <c r="D29" s="4">
        <v>0</v>
      </c>
      <c r="E29" t="s">
        <v>97</v>
      </c>
      <c r="F29" t="s">
        <v>25</v>
      </c>
      <c r="G29" t="s">
        <v>29</v>
      </c>
      <c r="H29" t="s">
        <v>99</v>
      </c>
      <c r="I29" s="3">
        <v>44200</v>
      </c>
      <c r="L29" s="3">
        <v>44200</v>
      </c>
      <c r="M29" s="3">
        <v>4735.71</v>
      </c>
      <c r="N29" s="3">
        <v>39464.29</v>
      </c>
    </row>
    <row r="30" spans="1:14" hidden="1">
      <c r="A30" t="s">
        <v>100</v>
      </c>
      <c r="B30" t="s">
        <v>97</v>
      </c>
      <c r="C30" t="s">
        <v>24</v>
      </c>
      <c r="D30" s="4">
        <v>0</v>
      </c>
      <c r="E30" t="s">
        <v>97</v>
      </c>
      <c r="F30" t="s">
        <v>25</v>
      </c>
      <c r="G30" t="s">
        <v>29</v>
      </c>
      <c r="H30" t="s">
        <v>101</v>
      </c>
      <c r="I30" s="3">
        <v>381000</v>
      </c>
      <c r="L30" s="3">
        <v>381000</v>
      </c>
      <c r="M30" s="3">
        <v>40821.43</v>
      </c>
      <c r="N30" s="3">
        <v>340178.57</v>
      </c>
    </row>
    <row r="31" spans="1:14" hidden="1">
      <c r="A31" t="s">
        <v>102</v>
      </c>
      <c r="B31" t="s">
        <v>97</v>
      </c>
      <c r="C31" t="s">
        <v>24</v>
      </c>
      <c r="D31" s="4">
        <v>0</v>
      </c>
      <c r="E31" t="s">
        <v>97</v>
      </c>
      <c r="F31" t="s">
        <v>25</v>
      </c>
      <c r="G31" t="s">
        <v>29</v>
      </c>
      <c r="H31" t="s">
        <v>103</v>
      </c>
      <c r="I31" s="3">
        <v>5520</v>
      </c>
      <c r="L31" s="3">
        <v>5520</v>
      </c>
      <c r="M31" s="5">
        <v>591.42999999999995</v>
      </c>
      <c r="N31" s="3">
        <v>4928.57</v>
      </c>
    </row>
    <row r="32" spans="1:14" hidden="1">
      <c r="A32" t="s">
        <v>104</v>
      </c>
      <c r="B32" t="s">
        <v>97</v>
      </c>
      <c r="C32" t="s">
        <v>24</v>
      </c>
      <c r="D32" s="4">
        <v>0</v>
      </c>
      <c r="E32" t="s">
        <v>97</v>
      </c>
      <c r="F32" t="s">
        <v>25</v>
      </c>
      <c r="G32" t="s">
        <v>29</v>
      </c>
      <c r="H32" t="s">
        <v>105</v>
      </c>
      <c r="I32" s="3">
        <v>13500</v>
      </c>
      <c r="L32" s="3">
        <v>13500</v>
      </c>
      <c r="M32" s="3">
        <v>1446.43</v>
      </c>
      <c r="N32" s="3">
        <v>12053.57</v>
      </c>
    </row>
    <row r="33" spans="1:14" hidden="1">
      <c r="A33" t="s">
        <v>106</v>
      </c>
      <c r="B33" t="s">
        <v>97</v>
      </c>
      <c r="C33" t="s">
        <v>24</v>
      </c>
      <c r="D33" s="4">
        <v>0</v>
      </c>
      <c r="E33" t="s">
        <v>97</v>
      </c>
      <c r="F33" t="s">
        <v>25</v>
      </c>
      <c r="G33" t="s">
        <v>29</v>
      </c>
      <c r="H33" t="s">
        <v>107</v>
      </c>
      <c r="I33" s="3">
        <v>3200</v>
      </c>
      <c r="L33" s="3">
        <v>3200</v>
      </c>
      <c r="M33" s="5">
        <v>342.86</v>
      </c>
      <c r="N33" s="3">
        <v>2857.14</v>
      </c>
    </row>
    <row r="34" spans="1:14" hidden="1">
      <c r="A34" t="s">
        <v>109</v>
      </c>
      <c r="B34" t="s">
        <v>108</v>
      </c>
      <c r="C34" t="s">
        <v>24</v>
      </c>
      <c r="D34" s="4">
        <v>0</v>
      </c>
      <c r="E34" t="s">
        <v>108</v>
      </c>
      <c r="F34" t="s">
        <v>25</v>
      </c>
      <c r="G34" t="s">
        <v>29</v>
      </c>
      <c r="H34" t="s">
        <v>110</v>
      </c>
      <c r="I34" s="3">
        <v>101600</v>
      </c>
      <c r="L34" s="3">
        <v>101600</v>
      </c>
      <c r="M34" s="3">
        <v>10885.71</v>
      </c>
      <c r="N34" s="3">
        <v>90714.29</v>
      </c>
    </row>
    <row r="35" spans="1:14" hidden="1">
      <c r="A35" t="s">
        <v>111</v>
      </c>
      <c r="B35" t="s">
        <v>108</v>
      </c>
      <c r="C35" t="s">
        <v>24</v>
      </c>
      <c r="D35" s="4">
        <v>0</v>
      </c>
      <c r="E35" t="s">
        <v>108</v>
      </c>
      <c r="F35" t="s">
        <v>25</v>
      </c>
      <c r="G35" t="s">
        <v>29</v>
      </c>
      <c r="H35" t="s">
        <v>112</v>
      </c>
      <c r="I35" s="3">
        <v>29200</v>
      </c>
      <c r="L35" s="3">
        <v>29200</v>
      </c>
      <c r="M35" s="3">
        <v>3128.57</v>
      </c>
      <c r="N35" s="3">
        <v>26071.43</v>
      </c>
    </row>
    <row r="36" spans="1:14" hidden="1">
      <c r="A36" t="s">
        <v>113</v>
      </c>
      <c r="B36" t="s">
        <v>108</v>
      </c>
      <c r="C36" t="s">
        <v>24</v>
      </c>
      <c r="D36" s="4">
        <v>0</v>
      </c>
      <c r="E36" t="s">
        <v>108</v>
      </c>
      <c r="F36" t="s">
        <v>25</v>
      </c>
      <c r="G36" t="s">
        <v>29</v>
      </c>
      <c r="H36" t="s">
        <v>114</v>
      </c>
      <c r="I36" s="3">
        <v>19604</v>
      </c>
      <c r="L36" s="3">
        <v>19604</v>
      </c>
      <c r="M36" s="3">
        <v>2100.4299999999998</v>
      </c>
      <c r="N36" s="3">
        <v>17503.57</v>
      </c>
    </row>
    <row r="37" spans="1:14">
      <c r="A37" t="s">
        <v>117</v>
      </c>
      <c r="B37" t="s">
        <v>115</v>
      </c>
      <c r="C37" t="s">
        <v>23</v>
      </c>
      <c r="D37" s="4">
        <v>60</v>
      </c>
      <c r="E37" t="s">
        <v>116</v>
      </c>
      <c r="F37" t="s">
        <v>18</v>
      </c>
      <c r="G37" t="s">
        <v>118</v>
      </c>
      <c r="H37" t="s">
        <v>119</v>
      </c>
      <c r="I37" s="3">
        <v>124800</v>
      </c>
      <c r="L37" s="3">
        <v>124800</v>
      </c>
      <c r="M37" s="3">
        <v>13371.43</v>
      </c>
      <c r="N37" s="3">
        <v>111428.57</v>
      </c>
    </row>
    <row r="38" spans="1:14">
      <c r="A38" t="s">
        <v>120</v>
      </c>
      <c r="B38" t="s">
        <v>115</v>
      </c>
      <c r="C38" t="s">
        <v>23</v>
      </c>
      <c r="D38" s="4">
        <v>60</v>
      </c>
      <c r="E38" t="s">
        <v>116</v>
      </c>
      <c r="F38" t="s">
        <v>18</v>
      </c>
      <c r="G38" t="s">
        <v>118</v>
      </c>
      <c r="H38" t="s">
        <v>121</v>
      </c>
      <c r="I38" s="3">
        <v>600000</v>
      </c>
      <c r="L38" s="3">
        <v>600000</v>
      </c>
      <c r="M38" s="3">
        <v>64285.71</v>
      </c>
      <c r="N38" s="3">
        <v>535714.29</v>
      </c>
    </row>
    <row r="39" spans="1:14">
      <c r="A39" t="s">
        <v>122</v>
      </c>
      <c r="B39" t="s">
        <v>115</v>
      </c>
      <c r="C39" t="s">
        <v>23</v>
      </c>
      <c r="D39" s="4">
        <v>60</v>
      </c>
      <c r="E39" t="s">
        <v>116</v>
      </c>
      <c r="F39" t="s">
        <v>18</v>
      </c>
      <c r="G39" t="s">
        <v>118</v>
      </c>
      <c r="H39" t="s">
        <v>123</v>
      </c>
      <c r="I39" s="3">
        <v>10000</v>
      </c>
      <c r="L39" s="3">
        <v>10000</v>
      </c>
      <c r="M39" s="3">
        <v>1071.43</v>
      </c>
      <c r="N39" s="3">
        <v>8928.57</v>
      </c>
    </row>
    <row r="40" spans="1:14">
      <c r="A40" t="s">
        <v>124</v>
      </c>
      <c r="B40" t="s">
        <v>115</v>
      </c>
      <c r="C40" t="s">
        <v>23</v>
      </c>
      <c r="D40" s="4">
        <v>60</v>
      </c>
      <c r="E40" t="s">
        <v>116</v>
      </c>
      <c r="F40" t="s">
        <v>18</v>
      </c>
      <c r="G40" t="s">
        <v>118</v>
      </c>
      <c r="H40" t="s">
        <v>125</v>
      </c>
      <c r="I40" s="3">
        <v>100000</v>
      </c>
      <c r="L40" s="3">
        <v>100000</v>
      </c>
      <c r="M40" s="3">
        <v>10714.29</v>
      </c>
      <c r="N40" s="3">
        <v>89285.71</v>
      </c>
    </row>
    <row r="41" spans="1:14">
      <c r="A41" t="s">
        <v>126</v>
      </c>
      <c r="B41" t="s">
        <v>115</v>
      </c>
      <c r="C41" t="s">
        <v>23</v>
      </c>
      <c r="D41" s="4">
        <v>60</v>
      </c>
      <c r="E41" t="s">
        <v>116</v>
      </c>
      <c r="F41" t="s">
        <v>18</v>
      </c>
      <c r="G41" t="s">
        <v>118</v>
      </c>
      <c r="H41" t="s">
        <v>127</v>
      </c>
      <c r="I41" s="3">
        <v>414000</v>
      </c>
      <c r="L41" s="3">
        <v>414000</v>
      </c>
      <c r="M41" s="3">
        <v>44357.14</v>
      </c>
      <c r="N41" s="3">
        <v>369642.86</v>
      </c>
    </row>
    <row r="42" spans="1:14">
      <c r="A42" t="s">
        <v>128</v>
      </c>
      <c r="B42" t="s">
        <v>115</v>
      </c>
      <c r="C42" t="s">
        <v>23</v>
      </c>
      <c r="D42" s="4">
        <v>60</v>
      </c>
      <c r="E42" t="s">
        <v>116</v>
      </c>
      <c r="F42" t="s">
        <v>18</v>
      </c>
      <c r="G42" t="s">
        <v>118</v>
      </c>
      <c r="H42" t="s">
        <v>129</v>
      </c>
      <c r="I42" s="3">
        <v>239430</v>
      </c>
      <c r="L42" s="3">
        <v>239430</v>
      </c>
      <c r="M42" s="3">
        <v>25653.21</v>
      </c>
      <c r="N42" s="3">
        <v>213776.79</v>
      </c>
    </row>
    <row r="43" spans="1:14">
      <c r="A43" t="s">
        <v>130</v>
      </c>
      <c r="B43" t="s">
        <v>115</v>
      </c>
      <c r="C43" t="s">
        <v>23</v>
      </c>
      <c r="D43" s="4">
        <v>60</v>
      </c>
      <c r="E43" t="s">
        <v>116</v>
      </c>
      <c r="F43" t="s">
        <v>18</v>
      </c>
      <c r="G43" t="s">
        <v>118</v>
      </c>
      <c r="H43" t="s">
        <v>131</v>
      </c>
      <c r="I43" s="3">
        <v>306820</v>
      </c>
      <c r="L43" s="3">
        <v>306820</v>
      </c>
      <c r="M43" s="3">
        <v>32873.57</v>
      </c>
      <c r="N43" s="3">
        <v>273946.43</v>
      </c>
    </row>
    <row r="44" spans="1:14" hidden="1">
      <c r="A44" t="s">
        <v>133</v>
      </c>
      <c r="B44" t="s">
        <v>132</v>
      </c>
      <c r="C44" t="s">
        <v>24</v>
      </c>
      <c r="D44" s="4">
        <v>0</v>
      </c>
      <c r="E44" t="s">
        <v>132</v>
      </c>
      <c r="F44" t="s">
        <v>25</v>
      </c>
      <c r="G44" t="s">
        <v>29</v>
      </c>
      <c r="H44" t="s">
        <v>134</v>
      </c>
      <c r="I44" s="3">
        <v>156832</v>
      </c>
      <c r="L44" s="3">
        <v>156832</v>
      </c>
      <c r="M44" s="3">
        <v>16803.43</v>
      </c>
      <c r="N44" s="3">
        <v>140028.57</v>
      </c>
    </row>
    <row r="45" spans="1:14" hidden="1">
      <c r="A45" t="s">
        <v>135</v>
      </c>
      <c r="B45" t="s">
        <v>132</v>
      </c>
      <c r="C45" t="s">
        <v>24</v>
      </c>
      <c r="D45" s="4">
        <v>0</v>
      </c>
      <c r="E45" t="s">
        <v>132</v>
      </c>
      <c r="F45" t="s">
        <v>25</v>
      </c>
      <c r="G45" t="s">
        <v>29</v>
      </c>
      <c r="H45" t="s">
        <v>136</v>
      </c>
      <c r="I45" s="3">
        <v>21230</v>
      </c>
      <c r="L45" s="3">
        <v>21230</v>
      </c>
      <c r="M45" s="3">
        <v>2274.64</v>
      </c>
      <c r="N45" s="3">
        <v>18955.36</v>
      </c>
    </row>
    <row r="46" spans="1:14" hidden="1">
      <c r="A46" t="s">
        <v>138</v>
      </c>
      <c r="B46" t="s">
        <v>137</v>
      </c>
      <c r="C46" t="s">
        <v>24</v>
      </c>
      <c r="D46" s="4">
        <v>0</v>
      </c>
      <c r="E46" t="s">
        <v>137</v>
      </c>
      <c r="F46" t="s">
        <v>25</v>
      </c>
      <c r="G46" t="s">
        <v>29</v>
      </c>
      <c r="H46" t="s">
        <v>139</v>
      </c>
      <c r="I46" s="3">
        <v>221496</v>
      </c>
      <c r="L46" s="3">
        <v>221496</v>
      </c>
      <c r="M46" s="3">
        <v>23731.71</v>
      </c>
      <c r="N46" s="3">
        <v>197764.29</v>
      </c>
    </row>
    <row r="47" spans="1:14">
      <c r="A47" t="s">
        <v>140</v>
      </c>
      <c r="B47" t="s">
        <v>76</v>
      </c>
      <c r="C47" t="s">
        <v>23</v>
      </c>
      <c r="D47" s="4">
        <v>60</v>
      </c>
      <c r="E47" t="s">
        <v>81</v>
      </c>
      <c r="F47" t="s">
        <v>18</v>
      </c>
      <c r="G47" t="s">
        <v>118</v>
      </c>
      <c r="H47" t="s">
        <v>141</v>
      </c>
      <c r="I47" s="2">
        <v>-21908</v>
      </c>
      <c r="L47" s="2">
        <v>-21908</v>
      </c>
      <c r="M47" s="2">
        <v>-2347.29</v>
      </c>
      <c r="N47" s="2">
        <v>-19560.71</v>
      </c>
    </row>
    <row r="48" spans="1:14">
      <c r="A48" t="s">
        <v>142</v>
      </c>
      <c r="B48" t="s">
        <v>76</v>
      </c>
      <c r="C48" t="s">
        <v>23</v>
      </c>
      <c r="D48" s="4">
        <v>60</v>
      </c>
      <c r="E48" t="s">
        <v>81</v>
      </c>
      <c r="F48" t="s">
        <v>18</v>
      </c>
      <c r="G48" t="s">
        <v>118</v>
      </c>
      <c r="H48" t="s">
        <v>143</v>
      </c>
      <c r="I48" s="2">
        <v>-11000</v>
      </c>
      <c r="L48" s="2">
        <v>-11000</v>
      </c>
      <c r="M48" s="2">
        <v>-1178.57</v>
      </c>
      <c r="N48" s="2">
        <v>-9821.43</v>
      </c>
    </row>
    <row r="49" spans="1:14">
      <c r="A49" t="s">
        <v>144</v>
      </c>
      <c r="B49" t="s">
        <v>21</v>
      </c>
      <c r="C49" t="s">
        <v>23</v>
      </c>
      <c r="D49" s="4">
        <v>60</v>
      </c>
      <c r="E49" t="s">
        <v>17</v>
      </c>
      <c r="F49" t="s">
        <v>18</v>
      </c>
      <c r="G49" t="s">
        <v>118</v>
      </c>
      <c r="H49" t="s">
        <v>145</v>
      </c>
      <c r="I49" s="2">
        <v>-16706.849999999999</v>
      </c>
      <c r="L49" s="2">
        <v>-16706.849999999999</v>
      </c>
      <c r="M49" s="2">
        <v>-1790.02</v>
      </c>
      <c r="N49" s="2">
        <v>-14916.83</v>
      </c>
    </row>
    <row r="50" spans="1:14">
      <c r="A50" t="s">
        <v>146</v>
      </c>
      <c r="B50" t="s">
        <v>21</v>
      </c>
      <c r="C50" t="s">
        <v>23</v>
      </c>
      <c r="D50" s="4">
        <v>60</v>
      </c>
      <c r="E50" t="s">
        <v>17</v>
      </c>
      <c r="F50" t="s">
        <v>18</v>
      </c>
      <c r="G50" t="s">
        <v>118</v>
      </c>
      <c r="H50" t="s">
        <v>147</v>
      </c>
      <c r="I50" s="2">
        <v>-24000</v>
      </c>
      <c r="L50" s="2">
        <v>-24000</v>
      </c>
      <c r="M50" s="2">
        <v>-2571.4299999999998</v>
      </c>
      <c r="N50" s="2">
        <v>-21428.57</v>
      </c>
    </row>
    <row r="51" spans="1:14">
      <c r="H51" s="1" t="s">
        <v>148</v>
      </c>
      <c r="I51" s="6">
        <f>SUBTOTAL(9,Table1[Gross Amount])</f>
        <v>1721435.15</v>
      </c>
      <c r="J51" s="6">
        <f>SUBTOTAL(9,Table1[Discount])</f>
        <v>0</v>
      </c>
      <c r="K51" s="6">
        <f>SUBTOTAL(9,Table1[Charges])</f>
        <v>0</v>
      </c>
      <c r="L51" s="6">
        <f>SUBTOTAL(9,Table1[Net Amount])</f>
        <v>1721435.15</v>
      </c>
      <c r="M51" s="6">
        <f>SUBTOTAL(9,Table1[VAT])</f>
        <v>184439.47</v>
      </c>
      <c r="N51" s="7" t="s">
        <v>149</v>
      </c>
    </row>
    <row r="52" spans="1:14">
      <c r="K52" s="9"/>
      <c r="L52" s="8"/>
    </row>
    <row r="53" spans="1:14">
      <c r="K53" s="9"/>
      <c r="L53" s="8"/>
    </row>
  </sheetData>
  <mergeCells count="2">
    <mergeCell ref="A1:N1"/>
    <mergeCell ref="A2:N2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Jessa Marie</cp:lastModifiedBy>
  <dcterms:modified xsi:type="dcterms:W3CDTF">2026-09-04T07:04:35Z</dcterms:modified>
</cp:coreProperties>
</file>
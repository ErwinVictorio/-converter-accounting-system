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 defaultThemeVersion="164011"/>
  <mc:AlternateContent xmlns:mc="http://schemas.openxmlformats.org/markup-compatibility/2006">
    <mc:Choice Requires="x15">
      <x15ac:absPath xmlns:x15ac="http://schemas.microsoft.com/office/spreadsheetml/2010/11/ac" url="\\Server-1\accounting shared files\MA'AM ROSE\Reports - June 2026\"/>
    </mc:Choice>
  </mc:AlternateContent>
  <bookViews>
    <workbookView xWindow="0" yWindow="0" windowWidth="13545" windowHeight="7170" tabRatio="500"/>
  </bookViews>
  <sheets>
    <sheet name="Sheet1" sheetId="1" r:id="rId1"/>
    <sheet name="Sheet1 (2)" sheetId="2" r:id="rId2"/>
    <sheet name="SALES SUMMARY - JUNE 2026" sheetId="3" r:id="rId3"/>
    <sheet name="SALES PER AGENT - JUNE 2026 " sheetId="4" r:id="rId4"/>
    <sheet name="CHARGES" sheetId="5" r:id="rId5"/>
    <sheet name="SALES SUMMARY - FINAL JUNE 2026" sheetId="7" r:id="rId6"/>
    <sheet name="OTHER CHARGES" sheetId="6" r:id="rId7"/>
  </sheets>
  <definedNames>
    <definedName name="_xlnm._FilterDatabase" localSheetId="6" hidden="1">'OTHER CHARGES'!$A$68:$T$640</definedName>
    <definedName name="_xlnm._FilterDatabase" localSheetId="3" hidden="1">'SALES PER AGENT - JUNE 2026 '!$A$592:$S$636</definedName>
    <definedName name="_xlnm._FilterDatabase" localSheetId="5" hidden="1">'SALES SUMMARY - FINAL JUNE 2026'!$A$592:$S$636</definedName>
    <definedName name="_xlnm._FilterDatabase" localSheetId="0" hidden="1">Sheet1!$A$4:$N$708</definedName>
    <definedName name="_xlnm.Print_Area" localSheetId="6">'OTHER CHARGES'!$A$1:$Q$640</definedName>
    <definedName name="_xlnm.Print_Area" localSheetId="3">'SALES PER AGENT - JUNE 2026 '!$A$1:$Q$639</definedName>
    <definedName name="_xlnm.Print_Area" localSheetId="5">'SALES SUMMARY - FINAL JUNE 2026'!$A$1:$S$639</definedName>
    <definedName name="_xlnm.Print_Area" localSheetId="2">'SALES SUMMARY - JUNE 2026'!$A$1:$Q$639</definedName>
    <definedName name="_xlnm.Print_Titles" localSheetId="6">'OTHER CHARGES'!$1:$4</definedName>
    <definedName name="_xlnm.Print_Titles" localSheetId="3">'SALES PER AGENT - JUNE 2026 '!$1:$4</definedName>
    <definedName name="_xlnm.Print_Titles" localSheetId="5">'SALES SUMMARY - FINAL JUNE 2026'!$1:$4</definedName>
    <definedName name="_xlnm.Print_Titles" localSheetId="2">'SALES SUMMARY - JUNE 2026'!$1:$4</definedName>
  </definedNames>
  <calcPr calcId="162913"/>
</workbook>
</file>

<file path=xl/calcChain.xml><?xml version="1.0" encoding="utf-8"?>
<calcChain xmlns="http://schemas.openxmlformats.org/spreadsheetml/2006/main">
  <c r="L709" i="1" l="1"/>
  <c r="M709" i="1"/>
  <c r="N709" i="1"/>
  <c r="T625" i="6" l="1"/>
  <c r="T541" i="6"/>
  <c r="T457" i="6"/>
  <c r="T414" i="6"/>
  <c r="T269" i="6"/>
  <c r="T69" i="6"/>
  <c r="J640" i="6"/>
  <c r="K624" i="7"/>
  <c r="N639" i="7"/>
  <c r="J639" i="7"/>
  <c r="S637" i="7"/>
  <c r="R637" i="7"/>
  <c r="R636" i="7"/>
  <c r="R635" i="7"/>
  <c r="R633" i="7"/>
  <c r="R630" i="7"/>
  <c r="R629" i="7"/>
  <c r="R628" i="7"/>
  <c r="R625" i="7"/>
  <c r="R624" i="7"/>
  <c r="R623" i="7"/>
  <c r="R618" i="7"/>
  <c r="R616" i="7"/>
  <c r="R614" i="7"/>
  <c r="R613" i="7"/>
  <c r="R612" i="7"/>
  <c r="R611" i="7"/>
  <c r="R609" i="7"/>
  <c r="R604" i="7"/>
  <c r="R601" i="7"/>
  <c r="R597" i="7"/>
  <c r="R593" i="7"/>
  <c r="R592" i="7"/>
  <c r="S592" i="7" s="1"/>
  <c r="R589" i="7"/>
  <c r="R587" i="7"/>
  <c r="R586" i="7"/>
  <c r="R585" i="7"/>
  <c r="R583" i="7"/>
  <c r="R581" i="7"/>
  <c r="R580" i="7"/>
  <c r="R576" i="7"/>
  <c r="R574" i="7"/>
  <c r="R571" i="7"/>
  <c r="R570" i="7"/>
  <c r="R569" i="7"/>
  <c r="K566" i="7"/>
  <c r="K561" i="7"/>
  <c r="K559" i="7"/>
  <c r="K558" i="7"/>
  <c r="K557" i="7"/>
  <c r="K555" i="7"/>
  <c r="K554" i="7"/>
  <c r="R554" i="7" s="1"/>
  <c r="S536" i="7" s="1"/>
  <c r="R552" i="7"/>
  <c r="R549" i="7"/>
  <c r="R548" i="7"/>
  <c r="R546" i="7"/>
  <c r="R545" i="7"/>
  <c r="R544" i="7"/>
  <c r="R538" i="7"/>
  <c r="R536" i="7"/>
  <c r="R534" i="7"/>
  <c r="S534" i="7" s="1"/>
  <c r="R530" i="7"/>
  <c r="R514" i="7"/>
  <c r="R510" i="7"/>
  <c r="R508" i="7"/>
  <c r="S508" i="7" s="1"/>
  <c r="R506" i="7"/>
  <c r="R505" i="7"/>
  <c r="S505" i="7" s="1"/>
  <c r="S504" i="7"/>
  <c r="R504" i="7"/>
  <c r="R500" i="7"/>
  <c r="R489" i="7"/>
  <c r="R487" i="7"/>
  <c r="R482" i="7"/>
  <c r="R481" i="7"/>
  <c r="R479" i="7"/>
  <c r="R478" i="7"/>
  <c r="R476" i="7"/>
  <c r="R475" i="7"/>
  <c r="R468" i="7"/>
  <c r="R463" i="7"/>
  <c r="R459" i="7"/>
  <c r="R457" i="7"/>
  <c r="K456" i="7"/>
  <c r="R456" i="7" s="1"/>
  <c r="S437" i="7" s="1"/>
  <c r="R450" i="7"/>
  <c r="R445" i="7"/>
  <c r="R438" i="7"/>
  <c r="R437" i="7"/>
  <c r="R436" i="7"/>
  <c r="R428" i="7"/>
  <c r="R426" i="7"/>
  <c r="R424" i="7"/>
  <c r="R419" i="7"/>
  <c r="R418" i="7"/>
  <c r="R416" i="7"/>
  <c r="K413" i="7"/>
  <c r="R412" i="7" s="1"/>
  <c r="R405" i="7"/>
  <c r="R404" i="7"/>
  <c r="R403" i="7"/>
  <c r="R399" i="7"/>
  <c r="R398" i="7"/>
  <c r="R375" i="7"/>
  <c r="R367" i="7"/>
  <c r="R363" i="7"/>
  <c r="R361" i="7"/>
  <c r="R360" i="7"/>
  <c r="R356" i="7"/>
  <c r="R355" i="7"/>
  <c r="R354" i="7"/>
  <c r="R351" i="7"/>
  <c r="R345" i="7"/>
  <c r="R344" i="7"/>
  <c r="R343" i="7"/>
  <c r="R342" i="7"/>
  <c r="R340" i="7"/>
  <c r="R337" i="7"/>
  <c r="R336" i="7"/>
  <c r="R333" i="7"/>
  <c r="R331" i="7"/>
  <c r="R330" i="7"/>
  <c r="R329" i="7"/>
  <c r="R322" i="7"/>
  <c r="R319" i="7"/>
  <c r="R304" i="7"/>
  <c r="R300" i="7"/>
  <c r="R299" i="7"/>
  <c r="R298" i="7"/>
  <c r="R296" i="7"/>
  <c r="R293" i="7"/>
  <c r="S293" i="7" s="1"/>
  <c r="R291" i="7"/>
  <c r="R289" i="7"/>
  <c r="R288" i="7"/>
  <c r="S285" i="7"/>
  <c r="R285" i="7"/>
  <c r="R283" i="7"/>
  <c r="S283" i="7" s="1"/>
  <c r="R281" i="7"/>
  <c r="R280" i="7"/>
  <c r="R279" i="7"/>
  <c r="R273" i="7"/>
  <c r="R272" i="7"/>
  <c r="R266" i="7"/>
  <c r="R265" i="7"/>
  <c r="R264" i="7"/>
  <c r="R263" i="7"/>
  <c r="R260" i="7"/>
  <c r="R259" i="7"/>
  <c r="R252" i="7"/>
  <c r="R239" i="7"/>
  <c r="R238" i="7"/>
  <c r="R237" i="7"/>
  <c r="R227" i="7"/>
  <c r="R225" i="7"/>
  <c r="R224" i="7"/>
  <c r="R223" i="7"/>
  <c r="R221" i="7"/>
  <c r="R220" i="7"/>
  <c r="S217" i="7" s="1"/>
  <c r="R217" i="7"/>
  <c r="R216" i="7"/>
  <c r="R214" i="7"/>
  <c r="R212" i="7"/>
  <c r="R209" i="7"/>
  <c r="S209" i="7" s="1"/>
  <c r="R200" i="7"/>
  <c r="R195" i="7"/>
  <c r="R184" i="7"/>
  <c r="R183" i="7"/>
  <c r="R179" i="7"/>
  <c r="R176" i="7"/>
  <c r="R174" i="7"/>
  <c r="R133" i="7"/>
  <c r="R132" i="7"/>
  <c r="R126" i="7"/>
  <c r="R125" i="7"/>
  <c r="R122" i="7"/>
  <c r="R120" i="7"/>
  <c r="R119" i="7"/>
  <c r="R118" i="7"/>
  <c r="R116" i="7"/>
  <c r="R115" i="7"/>
  <c r="R114" i="7"/>
  <c r="R111" i="7"/>
  <c r="R109" i="7"/>
  <c r="S109" i="7" s="1"/>
  <c r="S106" i="7"/>
  <c r="R106" i="7"/>
  <c r="R102" i="7"/>
  <c r="R100" i="7"/>
  <c r="R99" i="7"/>
  <c r="R96" i="7"/>
  <c r="R94" i="7"/>
  <c r="S94" i="7" s="1"/>
  <c r="R93" i="7"/>
  <c r="R92" i="7"/>
  <c r="R90" i="7"/>
  <c r="R88" i="7"/>
  <c r="R87" i="7"/>
  <c r="R85" i="7"/>
  <c r="R80" i="7"/>
  <c r="S80" i="7" s="1"/>
  <c r="S79" i="7"/>
  <c r="R79" i="7"/>
  <c r="K77" i="7"/>
  <c r="K76" i="7"/>
  <c r="R72" i="7" s="1"/>
  <c r="R71" i="7"/>
  <c r="R70" i="7"/>
  <c r="R69" i="7"/>
  <c r="K68" i="7"/>
  <c r="K639" i="7" s="1"/>
  <c r="S61" i="7"/>
  <c r="R61" i="7"/>
  <c r="R60" i="7"/>
  <c r="R59" i="7"/>
  <c r="R56" i="7"/>
  <c r="R55" i="7"/>
  <c r="R53" i="7"/>
  <c r="R52" i="7"/>
  <c r="R50" i="7"/>
  <c r="R49" i="7"/>
  <c r="R38" i="7"/>
  <c r="R36" i="7"/>
  <c r="R35" i="7"/>
  <c r="R31" i="7"/>
  <c r="R30" i="7"/>
  <c r="R27" i="7"/>
  <c r="S25" i="7"/>
  <c r="R25" i="7"/>
  <c r="R24" i="7"/>
  <c r="R22" i="7"/>
  <c r="R12" i="7"/>
  <c r="R7" i="7"/>
  <c r="R6" i="7"/>
  <c r="R5" i="7"/>
  <c r="S5" i="7" s="1"/>
  <c r="N640" i="6"/>
  <c r="R638" i="6"/>
  <c r="S638" i="6" s="1"/>
  <c r="R637" i="6"/>
  <c r="R636" i="6"/>
  <c r="R634" i="6"/>
  <c r="R631" i="6"/>
  <c r="R630" i="6"/>
  <c r="R629" i="6"/>
  <c r="R626" i="6"/>
  <c r="K625" i="6"/>
  <c r="R625" i="6" s="1"/>
  <c r="R624" i="6"/>
  <c r="R619" i="6"/>
  <c r="R617" i="6"/>
  <c r="R615" i="6"/>
  <c r="R614" i="6"/>
  <c r="R613" i="6"/>
  <c r="R612" i="6"/>
  <c r="R610" i="6"/>
  <c r="R605" i="6"/>
  <c r="R602" i="6"/>
  <c r="R598" i="6"/>
  <c r="R594" i="6"/>
  <c r="R593" i="6"/>
  <c r="R590" i="6"/>
  <c r="R588" i="6"/>
  <c r="R587" i="6"/>
  <c r="R586" i="6"/>
  <c r="R584" i="6"/>
  <c r="R582" i="6"/>
  <c r="R581" i="6"/>
  <c r="R577" i="6"/>
  <c r="R575" i="6"/>
  <c r="R572" i="6"/>
  <c r="R571" i="6"/>
  <c r="R570" i="6"/>
  <c r="K567" i="6"/>
  <c r="K562" i="6"/>
  <c r="K560" i="6"/>
  <c r="K559" i="6"/>
  <c r="K558" i="6"/>
  <c r="K556" i="6"/>
  <c r="K555" i="6"/>
  <c r="R553" i="6"/>
  <c r="R550" i="6"/>
  <c r="R549" i="6"/>
  <c r="R547" i="6"/>
  <c r="R546" i="6"/>
  <c r="R545" i="6"/>
  <c r="R539" i="6"/>
  <c r="R537" i="6"/>
  <c r="R535" i="6"/>
  <c r="S535" i="6" s="1"/>
  <c r="R531" i="6"/>
  <c r="R515" i="6"/>
  <c r="R511" i="6"/>
  <c r="R509" i="6"/>
  <c r="R507" i="6"/>
  <c r="R506" i="6"/>
  <c r="R505" i="6"/>
  <c r="S505" i="6" s="1"/>
  <c r="R501" i="6"/>
  <c r="R490" i="6"/>
  <c r="R488" i="6"/>
  <c r="R483" i="6"/>
  <c r="R482" i="6"/>
  <c r="R480" i="6"/>
  <c r="R479" i="6"/>
  <c r="R477" i="6"/>
  <c r="R476" i="6"/>
  <c r="R469" i="6"/>
  <c r="R464" i="6"/>
  <c r="R460" i="6"/>
  <c r="R458" i="6"/>
  <c r="K457" i="6"/>
  <c r="R457" i="6" s="1"/>
  <c r="R451" i="6"/>
  <c r="R446" i="6"/>
  <c r="R439" i="6"/>
  <c r="R438" i="6"/>
  <c r="R437" i="6"/>
  <c r="R429" i="6"/>
  <c r="R427" i="6"/>
  <c r="R425" i="6"/>
  <c r="R420" i="6"/>
  <c r="R419" i="6"/>
  <c r="R417" i="6"/>
  <c r="K414" i="6"/>
  <c r="R413" i="6"/>
  <c r="R406" i="6"/>
  <c r="R405" i="6"/>
  <c r="R404" i="6"/>
  <c r="R400" i="6"/>
  <c r="R399" i="6"/>
  <c r="R376" i="6"/>
  <c r="R368" i="6"/>
  <c r="R364" i="6"/>
  <c r="R362" i="6"/>
  <c r="R361" i="6"/>
  <c r="R357" i="6"/>
  <c r="R356" i="6"/>
  <c r="R355" i="6"/>
  <c r="R352" i="6"/>
  <c r="R346" i="6"/>
  <c r="R345" i="6"/>
  <c r="R344" i="6"/>
  <c r="R343" i="6"/>
  <c r="R341" i="6"/>
  <c r="R338" i="6"/>
  <c r="R337" i="6"/>
  <c r="R334" i="6"/>
  <c r="R332" i="6"/>
  <c r="R331" i="6"/>
  <c r="R330" i="6"/>
  <c r="R323" i="6"/>
  <c r="R320" i="6"/>
  <c r="R305" i="6"/>
  <c r="R301" i="6"/>
  <c r="R300" i="6"/>
  <c r="R299" i="6"/>
  <c r="R297" i="6"/>
  <c r="R294" i="6"/>
  <c r="R292" i="6"/>
  <c r="R290" i="6"/>
  <c r="R289" i="6"/>
  <c r="R286" i="6"/>
  <c r="R284" i="6"/>
  <c r="S284" i="6" s="1"/>
  <c r="R282" i="6"/>
  <c r="R281" i="6"/>
  <c r="R280" i="6"/>
  <c r="R274" i="6"/>
  <c r="R273" i="6"/>
  <c r="R267" i="6"/>
  <c r="R266" i="6"/>
  <c r="R265" i="6"/>
  <c r="R264" i="6"/>
  <c r="R261" i="6"/>
  <c r="R260" i="6"/>
  <c r="R253" i="6"/>
  <c r="R240" i="6"/>
  <c r="R239" i="6"/>
  <c r="R238" i="6"/>
  <c r="R228" i="6"/>
  <c r="R226" i="6"/>
  <c r="R225" i="6"/>
  <c r="R224" i="6"/>
  <c r="R222" i="6"/>
  <c r="R221" i="6"/>
  <c r="R218" i="6"/>
  <c r="R217" i="6"/>
  <c r="R215" i="6"/>
  <c r="R213" i="6"/>
  <c r="R210" i="6"/>
  <c r="R201" i="6"/>
  <c r="R196" i="6"/>
  <c r="R185" i="6"/>
  <c r="R184" i="6"/>
  <c r="R180" i="6"/>
  <c r="R177" i="6"/>
  <c r="R175" i="6"/>
  <c r="R134" i="6"/>
  <c r="R133" i="6"/>
  <c r="R127" i="6"/>
  <c r="R126" i="6"/>
  <c r="R123" i="6"/>
  <c r="R121" i="6"/>
  <c r="R120" i="6"/>
  <c r="R119" i="6"/>
  <c r="R117" i="6"/>
  <c r="R116" i="6"/>
  <c r="R115" i="6"/>
  <c r="R112" i="6"/>
  <c r="R110" i="6"/>
  <c r="R107" i="6"/>
  <c r="S107" i="6" s="1"/>
  <c r="R103" i="6"/>
  <c r="R101" i="6"/>
  <c r="R100" i="6"/>
  <c r="R97" i="6"/>
  <c r="R95" i="6"/>
  <c r="R94" i="6"/>
  <c r="R93" i="6"/>
  <c r="R91" i="6"/>
  <c r="R89" i="6"/>
  <c r="R88" i="6"/>
  <c r="R86" i="6"/>
  <c r="R81" i="6"/>
  <c r="R80" i="6"/>
  <c r="S80" i="6" s="1"/>
  <c r="K78" i="6"/>
  <c r="K77" i="6"/>
  <c r="R73" i="6" s="1"/>
  <c r="R72" i="6"/>
  <c r="R71" i="6"/>
  <c r="R70" i="6"/>
  <c r="K69" i="6"/>
  <c r="R69" i="6" s="1"/>
  <c r="R61" i="6"/>
  <c r="S61" i="6" s="1"/>
  <c r="R60" i="6"/>
  <c r="R59" i="6"/>
  <c r="R56" i="6"/>
  <c r="R55" i="6"/>
  <c r="R53" i="6"/>
  <c r="R52" i="6"/>
  <c r="R50" i="6"/>
  <c r="R49" i="6"/>
  <c r="R38" i="6"/>
  <c r="R36" i="6"/>
  <c r="R35" i="6"/>
  <c r="R31" i="6"/>
  <c r="R30" i="6"/>
  <c r="R27" i="6"/>
  <c r="R25" i="6"/>
  <c r="R24" i="6"/>
  <c r="R22" i="6"/>
  <c r="R12" i="6"/>
  <c r="R7" i="6"/>
  <c r="R6" i="6"/>
  <c r="R5" i="6"/>
  <c r="L638" i="5"/>
  <c r="K638" i="5"/>
  <c r="T640" i="6" l="1"/>
  <c r="S506" i="6"/>
  <c r="R68" i="7"/>
  <c r="S68" i="7" s="1"/>
  <c r="S639" i="7" s="1"/>
  <c r="R639" i="7"/>
  <c r="S210" i="6"/>
  <c r="S95" i="6"/>
  <c r="S25" i="6"/>
  <c r="S69" i="6"/>
  <c r="S81" i="6"/>
  <c r="S438" i="6"/>
  <c r="R555" i="6"/>
  <c r="R640" i="6" s="1"/>
  <c r="S5" i="6"/>
  <c r="S110" i="6"/>
  <c r="K640" i="6"/>
  <c r="S218" i="6"/>
  <c r="S286" i="6"/>
  <c r="S294" i="6"/>
  <c r="S509" i="6"/>
  <c r="S593" i="6"/>
  <c r="S537" i="6" l="1"/>
  <c r="S640" i="6" s="1"/>
  <c r="S109" i="4" l="1"/>
  <c r="S639" i="4" s="1"/>
  <c r="S637" i="4"/>
  <c r="S592" i="4"/>
  <c r="S536" i="4"/>
  <c r="S534" i="4"/>
  <c r="S508" i="4"/>
  <c r="S505" i="4"/>
  <c r="S504" i="4"/>
  <c r="S437" i="4"/>
  <c r="S293" i="4"/>
  <c r="S285" i="4"/>
  <c r="S283" i="4"/>
  <c r="S217" i="4"/>
  <c r="S209" i="4"/>
  <c r="S106" i="4"/>
  <c r="S94" i="4"/>
  <c r="S80" i="4"/>
  <c r="S79" i="4"/>
  <c r="S68" i="4"/>
  <c r="S61" i="4"/>
  <c r="R639" i="4"/>
  <c r="S25" i="4"/>
  <c r="R637" i="4"/>
  <c r="R636" i="4"/>
  <c r="R635" i="4"/>
  <c r="R633" i="4"/>
  <c r="R630" i="4"/>
  <c r="R629" i="4"/>
  <c r="R628" i="4"/>
  <c r="R625" i="4"/>
  <c r="R624" i="4"/>
  <c r="R623" i="4"/>
  <c r="R618" i="4"/>
  <c r="R616" i="4"/>
  <c r="R614" i="4"/>
  <c r="R613" i="4"/>
  <c r="R612" i="4"/>
  <c r="R611" i="4"/>
  <c r="R609" i="4"/>
  <c r="R604" i="4"/>
  <c r="R601" i="4"/>
  <c r="R597" i="4"/>
  <c r="R593" i="4"/>
  <c r="R592" i="4"/>
  <c r="R589" i="4"/>
  <c r="R587" i="4"/>
  <c r="R586" i="4"/>
  <c r="R585" i="4"/>
  <c r="R583" i="4"/>
  <c r="R581" i="4"/>
  <c r="R580" i="4"/>
  <c r="R576" i="4"/>
  <c r="R574" i="4"/>
  <c r="R571" i="4"/>
  <c r="R570" i="4"/>
  <c r="R569" i="4"/>
  <c r="R554" i="4"/>
  <c r="R552" i="4"/>
  <c r="R549" i="4"/>
  <c r="R548" i="4"/>
  <c r="R546" i="4"/>
  <c r="R545" i="4"/>
  <c r="R544" i="4"/>
  <c r="R538" i="4"/>
  <c r="R536" i="4"/>
  <c r="R534" i="4"/>
  <c r="R530" i="4"/>
  <c r="R508" i="4"/>
  <c r="R510" i="4"/>
  <c r="R514" i="4"/>
  <c r="R506" i="4"/>
  <c r="R505" i="4"/>
  <c r="R504" i="4"/>
  <c r="R500" i="4"/>
  <c r="R489" i="4"/>
  <c r="R487" i="4"/>
  <c r="R482" i="4" l="1"/>
  <c r="R481" i="4"/>
  <c r="R479" i="4"/>
  <c r="R478" i="4"/>
  <c r="R476" i="4"/>
  <c r="R475" i="4"/>
  <c r="R468" i="4"/>
  <c r="R463" i="4"/>
  <c r="R459" i="4"/>
  <c r="R457" i="4"/>
  <c r="R456" i="4"/>
  <c r="R450" i="4"/>
  <c r="R445" i="4"/>
  <c r="R438" i="4"/>
  <c r="R437" i="4"/>
  <c r="R436" i="4"/>
  <c r="R428" i="4"/>
  <c r="R426" i="4"/>
  <c r="R424" i="4"/>
  <c r="R419" i="4"/>
  <c r="R418" i="4"/>
  <c r="R416" i="4"/>
  <c r="R412" i="4"/>
  <c r="R405" i="4"/>
  <c r="R404" i="4"/>
  <c r="R403" i="4"/>
  <c r="R399" i="4"/>
  <c r="R398" i="4"/>
  <c r="R375" i="4"/>
  <c r="R367" i="4"/>
  <c r="R363" i="4"/>
  <c r="R361" i="4"/>
  <c r="R360" i="4"/>
  <c r="R356" i="4"/>
  <c r="R355" i="4"/>
  <c r="R354" i="4"/>
  <c r="R351" i="4"/>
  <c r="R345" i="4"/>
  <c r="R344" i="4"/>
  <c r="R343" i="4"/>
  <c r="R342" i="4"/>
  <c r="R340" i="4"/>
  <c r="R337" i="4"/>
  <c r="R336" i="4"/>
  <c r="R333" i="4"/>
  <c r="R331" i="4"/>
  <c r="R330" i="4"/>
  <c r="R329" i="4"/>
  <c r="R322" i="4"/>
  <c r="R319" i="4"/>
  <c r="R304" i="4"/>
  <c r="R300" i="4"/>
  <c r="R299" i="4"/>
  <c r="R298" i="4"/>
  <c r="R296" i="4"/>
  <c r="R293" i="4"/>
  <c r="R291" i="4"/>
  <c r="R289" i="4"/>
  <c r="R288" i="4"/>
  <c r="R285" i="4"/>
  <c r="R283" i="4"/>
  <c r="R281" i="4"/>
  <c r="R280" i="4"/>
  <c r="R279" i="4"/>
  <c r="R273" i="4"/>
  <c r="R272" i="4"/>
  <c r="R266" i="4"/>
  <c r="R265" i="4"/>
  <c r="R264" i="4"/>
  <c r="R263" i="4"/>
  <c r="R260" i="4"/>
  <c r="R259" i="4"/>
  <c r="R252" i="4"/>
  <c r="R239" i="4"/>
  <c r="R238" i="4"/>
  <c r="R237" i="4"/>
  <c r="R227" i="4"/>
  <c r="R225" i="4"/>
  <c r="R224" i="4"/>
  <c r="R223" i="4"/>
  <c r="R221" i="4"/>
  <c r="R220" i="4"/>
  <c r="R217" i="4"/>
  <c r="R216" i="4"/>
  <c r="R214" i="4"/>
  <c r="R212" i="4"/>
  <c r="R209" i="4"/>
  <c r="R200" i="4" l="1"/>
  <c r="R195" i="4"/>
  <c r="R184" i="4"/>
  <c r="R183" i="4"/>
  <c r="R179" i="4"/>
  <c r="R176" i="4"/>
  <c r="R174" i="4"/>
  <c r="R133" i="4"/>
  <c r="R132" i="4"/>
  <c r="R126" i="4"/>
  <c r="R125" i="4"/>
  <c r="R122" i="4"/>
  <c r="R120" i="4"/>
  <c r="R119" i="4"/>
  <c r="R118" i="4"/>
  <c r="R116" i="4"/>
  <c r="R115" i="4"/>
  <c r="R114" i="4"/>
  <c r="R111" i="4"/>
  <c r="R109" i="4"/>
  <c r="R106" i="4"/>
  <c r="R102" i="4"/>
  <c r="R100" i="4"/>
  <c r="R99" i="4"/>
  <c r="R96" i="4"/>
  <c r="R94" i="4"/>
  <c r="R93" i="4"/>
  <c r="R92" i="4"/>
  <c r="R90" i="4"/>
  <c r="R88" i="4"/>
  <c r="R87" i="4"/>
  <c r="R85" i="4"/>
  <c r="R80" i="4"/>
  <c r="R79" i="4"/>
  <c r="R72" i="4"/>
  <c r="R71" i="4"/>
  <c r="R70" i="4"/>
  <c r="R69" i="4"/>
  <c r="R68" i="4"/>
  <c r="R61" i="4"/>
  <c r="R60" i="4"/>
  <c r="R59" i="4"/>
  <c r="R56" i="4"/>
  <c r="R55" i="4"/>
  <c r="R53" i="4"/>
  <c r="R52" i="4"/>
  <c r="R50" i="4"/>
  <c r="R49" i="4"/>
  <c r="R38" i="4"/>
  <c r="R36" i="4"/>
  <c r="R35" i="4"/>
  <c r="R31" i="4"/>
  <c r="R30" i="4"/>
  <c r="R27" i="4"/>
  <c r="R25" i="4"/>
  <c r="S5" i="4"/>
  <c r="R24" i="4"/>
  <c r="R22" i="4"/>
  <c r="R12" i="4"/>
  <c r="R7" i="4"/>
  <c r="R6" i="4"/>
  <c r="R5" i="4"/>
  <c r="N639" i="4"/>
  <c r="J639" i="4"/>
  <c r="K77" i="4"/>
  <c r="K68" i="4"/>
  <c r="K76" i="4"/>
  <c r="K566" i="4"/>
  <c r="K561" i="4"/>
  <c r="K559" i="4"/>
  <c r="K558" i="4"/>
  <c r="K557" i="4"/>
  <c r="K413" i="4"/>
  <c r="K456" i="4"/>
  <c r="K555" i="4"/>
  <c r="K554" i="4"/>
  <c r="K624" i="4"/>
  <c r="K411" i="3"/>
  <c r="K639" i="3" s="1"/>
  <c r="T638" i="3"/>
  <c r="T637" i="3"/>
  <c r="T636" i="3"/>
  <c r="T635" i="3"/>
  <c r="T634" i="3"/>
  <c r="T633" i="3"/>
  <c r="T632" i="3"/>
  <c r="T631" i="3"/>
  <c r="T630" i="3"/>
  <c r="T629" i="3"/>
  <c r="T628" i="3"/>
  <c r="T627" i="3"/>
  <c r="T626" i="3"/>
  <c r="T625" i="3"/>
  <c r="T624" i="3"/>
  <c r="T623" i="3"/>
  <c r="T622" i="3"/>
  <c r="T621" i="3"/>
  <c r="T620" i="3"/>
  <c r="T619" i="3"/>
  <c r="T618" i="3"/>
  <c r="T617" i="3"/>
  <c r="T616" i="3"/>
  <c r="T615" i="3"/>
  <c r="T614" i="3"/>
  <c r="T613" i="3"/>
  <c r="T612" i="3"/>
  <c r="T611" i="3"/>
  <c r="T610" i="3"/>
  <c r="T609" i="3"/>
  <c r="T608" i="3"/>
  <c r="T607" i="3"/>
  <c r="T606" i="3"/>
  <c r="T605" i="3"/>
  <c r="T604" i="3"/>
  <c r="T603" i="3"/>
  <c r="T602" i="3"/>
  <c r="T601" i="3"/>
  <c r="T600" i="3"/>
  <c r="T599" i="3"/>
  <c r="T598" i="3"/>
  <c r="T597" i="3"/>
  <c r="T596" i="3"/>
  <c r="T595" i="3"/>
  <c r="T594" i="3"/>
  <c r="T593" i="3"/>
  <c r="T592" i="3"/>
  <c r="T591" i="3"/>
  <c r="T590" i="3"/>
  <c r="T589" i="3"/>
  <c r="T588" i="3"/>
  <c r="T587" i="3"/>
  <c r="T586" i="3"/>
  <c r="T585" i="3"/>
  <c r="T584" i="3"/>
  <c r="T583" i="3"/>
  <c r="T582" i="3"/>
  <c r="T581" i="3"/>
  <c r="T580" i="3"/>
  <c r="T579" i="3"/>
  <c r="T578" i="3"/>
  <c r="T577" i="3"/>
  <c r="T576" i="3"/>
  <c r="T575" i="3"/>
  <c r="T574" i="3"/>
  <c r="T573" i="3"/>
  <c r="T572" i="3"/>
  <c r="T571" i="3"/>
  <c r="T570" i="3"/>
  <c r="T569" i="3"/>
  <c r="T568" i="3"/>
  <c r="T567" i="3"/>
  <c r="T566" i="3"/>
  <c r="T565" i="3"/>
  <c r="T564" i="3"/>
  <c r="T563" i="3"/>
  <c r="T562" i="3"/>
  <c r="T561" i="3"/>
  <c r="T560" i="3"/>
  <c r="T559" i="3"/>
  <c r="T558" i="3"/>
  <c r="T557" i="3"/>
  <c r="T556" i="3"/>
  <c r="T555" i="3"/>
  <c r="T554" i="3"/>
  <c r="T553" i="3"/>
  <c r="T552" i="3"/>
  <c r="T551" i="3"/>
  <c r="T550" i="3"/>
  <c r="T549" i="3"/>
  <c r="T548" i="3"/>
  <c r="T547" i="3"/>
  <c r="T546" i="3"/>
  <c r="T545" i="3"/>
  <c r="T544" i="3"/>
  <c r="T543" i="3"/>
  <c r="T542" i="3"/>
  <c r="T541" i="3"/>
  <c r="T540" i="3"/>
  <c r="T539" i="3"/>
  <c r="T538" i="3"/>
  <c r="T537" i="3"/>
  <c r="T536" i="3"/>
  <c r="T535" i="3"/>
  <c r="T534" i="3"/>
  <c r="T533" i="3"/>
  <c r="T532" i="3"/>
  <c r="T531" i="3"/>
  <c r="T530" i="3"/>
  <c r="T529" i="3"/>
  <c r="T528" i="3"/>
  <c r="T527" i="3"/>
  <c r="T526" i="3"/>
  <c r="T525" i="3"/>
  <c r="T524" i="3"/>
  <c r="T523" i="3"/>
  <c r="T522" i="3"/>
  <c r="T521" i="3"/>
  <c r="T520" i="3"/>
  <c r="T519" i="3"/>
  <c r="T518" i="3"/>
  <c r="T517" i="3"/>
  <c r="T516" i="3"/>
  <c r="T515" i="3"/>
  <c r="T514" i="3"/>
  <c r="T513" i="3"/>
  <c r="T512" i="3"/>
  <c r="T511" i="3"/>
  <c r="T510" i="3"/>
  <c r="T509" i="3"/>
  <c r="T508" i="3"/>
  <c r="T507" i="3"/>
  <c r="T506" i="3"/>
  <c r="T505" i="3"/>
  <c r="T504" i="3"/>
  <c r="T503" i="3"/>
  <c r="T502" i="3"/>
  <c r="T501" i="3"/>
  <c r="T500" i="3"/>
  <c r="T499" i="3"/>
  <c r="T498" i="3"/>
  <c r="T497" i="3"/>
  <c r="T496" i="3"/>
  <c r="T495" i="3"/>
  <c r="T494" i="3"/>
  <c r="T493" i="3"/>
  <c r="T492" i="3"/>
  <c r="T491" i="3"/>
  <c r="T490" i="3"/>
  <c r="T489" i="3"/>
  <c r="T488" i="3"/>
  <c r="T487" i="3"/>
  <c r="T486" i="3"/>
  <c r="T485" i="3"/>
  <c r="T484" i="3"/>
  <c r="T483" i="3"/>
  <c r="T482" i="3"/>
  <c r="T481" i="3"/>
  <c r="T480" i="3"/>
  <c r="T479" i="3"/>
  <c r="T478" i="3"/>
  <c r="T477" i="3"/>
  <c r="T476" i="3"/>
  <c r="T475" i="3"/>
  <c r="T474" i="3"/>
  <c r="T473" i="3"/>
  <c r="T472" i="3"/>
  <c r="T471" i="3"/>
  <c r="T470" i="3"/>
  <c r="T469" i="3"/>
  <c r="T468" i="3"/>
  <c r="T467" i="3"/>
  <c r="T466" i="3"/>
  <c r="T465" i="3"/>
  <c r="T464" i="3"/>
  <c r="T463" i="3"/>
  <c r="T462" i="3"/>
  <c r="T461" i="3"/>
  <c r="T460" i="3"/>
  <c r="T459" i="3"/>
  <c r="T458" i="3"/>
  <c r="T457" i="3"/>
  <c r="T456" i="3"/>
  <c r="T455" i="3"/>
  <c r="T454" i="3"/>
  <c r="T453" i="3"/>
  <c r="T452" i="3"/>
  <c r="T451" i="3"/>
  <c r="T450" i="3"/>
  <c r="T449" i="3"/>
  <c r="T448" i="3"/>
  <c r="T447" i="3"/>
  <c r="T446" i="3"/>
  <c r="T445" i="3"/>
  <c r="T444" i="3"/>
  <c r="T443" i="3"/>
  <c r="T442" i="3"/>
  <c r="T441" i="3"/>
  <c r="T440" i="3"/>
  <c r="T439" i="3"/>
  <c r="T438" i="3"/>
  <c r="T437" i="3"/>
  <c r="T436" i="3"/>
  <c r="T435" i="3"/>
  <c r="T434" i="3"/>
  <c r="T433" i="3"/>
  <c r="T432" i="3"/>
  <c r="T431" i="3"/>
  <c r="T430" i="3"/>
  <c r="T429" i="3"/>
  <c r="T428" i="3"/>
  <c r="T427" i="3"/>
  <c r="T426" i="3"/>
  <c r="T425" i="3"/>
  <c r="T424" i="3"/>
  <c r="T423" i="3"/>
  <c r="T422" i="3"/>
  <c r="T421" i="3"/>
  <c r="T420" i="3"/>
  <c r="T419" i="3"/>
  <c r="T418" i="3"/>
  <c r="T417" i="3"/>
  <c r="T416" i="3"/>
  <c r="T415" i="3"/>
  <c r="T414" i="3"/>
  <c r="T413" i="3"/>
  <c r="T412" i="3"/>
  <c r="T410" i="3"/>
  <c r="T409" i="3"/>
  <c r="T408" i="3"/>
  <c r="T407" i="3"/>
  <c r="T406" i="3"/>
  <c r="T405" i="3"/>
  <c r="T404" i="3"/>
  <c r="T403" i="3"/>
  <c r="T402" i="3"/>
  <c r="T401" i="3"/>
  <c r="T400" i="3"/>
  <c r="T399" i="3"/>
  <c r="T398" i="3"/>
  <c r="T397" i="3"/>
  <c r="T396" i="3"/>
  <c r="T395" i="3"/>
  <c r="T394" i="3"/>
  <c r="T393" i="3"/>
  <c r="T392" i="3"/>
  <c r="T391" i="3"/>
  <c r="T390" i="3"/>
  <c r="T389" i="3"/>
  <c r="T388" i="3"/>
  <c r="T387" i="3"/>
  <c r="T386" i="3"/>
  <c r="T385" i="3"/>
  <c r="T384" i="3"/>
  <c r="T383" i="3"/>
  <c r="T382" i="3"/>
  <c r="T381" i="3"/>
  <c r="T380" i="3"/>
  <c r="T379" i="3"/>
  <c r="T378" i="3"/>
  <c r="T377" i="3"/>
  <c r="T376" i="3"/>
  <c r="T375" i="3"/>
  <c r="T374" i="3"/>
  <c r="T373" i="3"/>
  <c r="T372" i="3"/>
  <c r="T371" i="3"/>
  <c r="T370" i="3"/>
  <c r="T369" i="3"/>
  <c r="T368" i="3"/>
  <c r="T367" i="3"/>
  <c r="T366" i="3"/>
  <c r="T365" i="3"/>
  <c r="T364" i="3"/>
  <c r="T363" i="3"/>
  <c r="T362" i="3"/>
  <c r="T361" i="3"/>
  <c r="T360" i="3"/>
  <c r="T359" i="3"/>
  <c r="T358" i="3"/>
  <c r="T357" i="3"/>
  <c r="T356" i="3"/>
  <c r="T355" i="3"/>
  <c r="T354" i="3"/>
  <c r="T353" i="3"/>
  <c r="T352" i="3"/>
  <c r="T351" i="3"/>
  <c r="T350" i="3"/>
  <c r="T349" i="3"/>
  <c r="T348" i="3"/>
  <c r="T347" i="3"/>
  <c r="T346" i="3"/>
  <c r="T345" i="3"/>
  <c r="T344" i="3"/>
  <c r="T343" i="3"/>
  <c r="T342" i="3"/>
  <c r="T341" i="3"/>
  <c r="T340" i="3"/>
  <c r="T339" i="3"/>
  <c r="T338" i="3"/>
  <c r="T337" i="3"/>
  <c r="T336" i="3"/>
  <c r="T335" i="3"/>
  <c r="T334" i="3"/>
  <c r="T333" i="3"/>
  <c r="T332" i="3"/>
  <c r="T331" i="3"/>
  <c r="T330" i="3"/>
  <c r="T329" i="3"/>
  <c r="T328" i="3"/>
  <c r="T327" i="3"/>
  <c r="T326" i="3"/>
  <c r="T325" i="3"/>
  <c r="T324" i="3"/>
  <c r="T323" i="3"/>
  <c r="T322" i="3"/>
  <c r="T321" i="3"/>
  <c r="T320" i="3"/>
  <c r="T319" i="3"/>
  <c r="T318" i="3"/>
  <c r="T317" i="3"/>
  <c r="T316" i="3"/>
  <c r="T315" i="3"/>
  <c r="T314" i="3"/>
  <c r="T313" i="3"/>
  <c r="T312" i="3"/>
  <c r="T311" i="3"/>
  <c r="T310" i="3"/>
  <c r="T309" i="3"/>
  <c r="T308" i="3"/>
  <c r="T307" i="3"/>
  <c r="T306" i="3"/>
  <c r="T305" i="3"/>
  <c r="T304" i="3"/>
  <c r="T303" i="3"/>
  <c r="T302" i="3"/>
  <c r="T301" i="3"/>
  <c r="T300" i="3"/>
  <c r="T299" i="3"/>
  <c r="T298" i="3"/>
  <c r="T297" i="3"/>
  <c r="T296" i="3"/>
  <c r="T295" i="3"/>
  <c r="T294" i="3"/>
  <c r="T293" i="3"/>
  <c r="T292" i="3"/>
  <c r="T291" i="3"/>
  <c r="T290" i="3"/>
  <c r="T289" i="3"/>
  <c r="T288" i="3"/>
  <c r="T287" i="3"/>
  <c r="T286" i="3"/>
  <c r="T285" i="3"/>
  <c r="T284" i="3"/>
  <c r="T283" i="3"/>
  <c r="T282" i="3"/>
  <c r="T281" i="3"/>
  <c r="T280" i="3"/>
  <c r="T279" i="3"/>
  <c r="T278" i="3"/>
  <c r="T277" i="3"/>
  <c r="T276" i="3"/>
  <c r="T275" i="3"/>
  <c r="T274" i="3"/>
  <c r="T273" i="3"/>
  <c r="T272" i="3"/>
  <c r="T271" i="3"/>
  <c r="T270" i="3"/>
  <c r="T269" i="3"/>
  <c r="T268" i="3"/>
  <c r="T267" i="3"/>
  <c r="T266" i="3"/>
  <c r="T265" i="3"/>
  <c r="T264" i="3"/>
  <c r="T263" i="3"/>
  <c r="T262" i="3"/>
  <c r="T261" i="3"/>
  <c r="T260" i="3"/>
  <c r="T259" i="3"/>
  <c r="T258" i="3"/>
  <c r="T257" i="3"/>
  <c r="T256" i="3"/>
  <c r="T255" i="3"/>
  <c r="T254" i="3"/>
  <c r="T253" i="3"/>
  <c r="T252" i="3"/>
  <c r="T251" i="3"/>
  <c r="T250" i="3"/>
  <c r="T249" i="3"/>
  <c r="T248" i="3"/>
  <c r="T247" i="3"/>
  <c r="T246" i="3"/>
  <c r="T245" i="3"/>
  <c r="T244" i="3"/>
  <c r="T243" i="3"/>
  <c r="T242" i="3"/>
  <c r="T241" i="3"/>
  <c r="T240" i="3"/>
  <c r="T239" i="3"/>
  <c r="T238" i="3"/>
  <c r="T237" i="3"/>
  <c r="T236" i="3"/>
  <c r="T235" i="3"/>
  <c r="T234" i="3"/>
  <c r="T233" i="3"/>
  <c r="T232" i="3"/>
  <c r="T231" i="3"/>
  <c r="T230" i="3"/>
  <c r="T229" i="3"/>
  <c r="T228" i="3"/>
  <c r="T227" i="3"/>
  <c r="T226" i="3"/>
  <c r="T225" i="3"/>
  <c r="T224" i="3"/>
  <c r="T223" i="3"/>
  <c r="T222" i="3"/>
  <c r="T221" i="3"/>
  <c r="T220" i="3"/>
  <c r="T219" i="3"/>
  <c r="T218" i="3"/>
  <c r="T217" i="3"/>
  <c r="T216" i="3"/>
  <c r="T215" i="3"/>
  <c r="T214" i="3"/>
  <c r="T213" i="3"/>
  <c r="T212" i="3"/>
  <c r="T211" i="3"/>
  <c r="T210" i="3"/>
  <c r="T209" i="3"/>
  <c r="T208" i="3"/>
  <c r="T207" i="3"/>
  <c r="T206" i="3"/>
  <c r="T205" i="3"/>
  <c r="T204" i="3"/>
  <c r="T203" i="3"/>
  <c r="T202" i="3"/>
  <c r="T201" i="3"/>
  <c r="T200" i="3"/>
  <c r="T199" i="3"/>
  <c r="T198" i="3"/>
  <c r="T197" i="3"/>
  <c r="T196" i="3"/>
  <c r="T195" i="3"/>
  <c r="T194" i="3"/>
  <c r="T193" i="3"/>
  <c r="T192" i="3"/>
  <c r="T191" i="3"/>
  <c r="T190" i="3"/>
  <c r="T189" i="3"/>
  <c r="T188" i="3"/>
  <c r="T187" i="3"/>
  <c r="T186" i="3"/>
  <c r="T185" i="3"/>
  <c r="T184" i="3"/>
  <c r="T183" i="3"/>
  <c r="T182" i="3"/>
  <c r="T181" i="3"/>
  <c r="T180" i="3"/>
  <c r="T179" i="3"/>
  <c r="T178" i="3"/>
  <c r="T177" i="3"/>
  <c r="T176" i="3"/>
  <c r="T175" i="3"/>
  <c r="T174" i="3"/>
  <c r="T173" i="3"/>
  <c r="T172" i="3"/>
  <c r="T171" i="3"/>
  <c r="T170" i="3"/>
  <c r="T169" i="3"/>
  <c r="T168" i="3"/>
  <c r="T167" i="3"/>
  <c r="T166" i="3"/>
  <c r="T165" i="3"/>
  <c r="T164" i="3"/>
  <c r="T163" i="3"/>
  <c r="T162" i="3"/>
  <c r="T161" i="3"/>
  <c r="T160" i="3"/>
  <c r="T159" i="3"/>
  <c r="T158" i="3"/>
  <c r="T157" i="3"/>
  <c r="T156" i="3"/>
  <c r="T155" i="3"/>
  <c r="T154" i="3"/>
  <c r="T153" i="3"/>
  <c r="T152" i="3"/>
  <c r="T151" i="3"/>
  <c r="T150" i="3"/>
  <c r="T149" i="3"/>
  <c r="T148" i="3"/>
  <c r="T147" i="3"/>
  <c r="T146" i="3"/>
  <c r="T145" i="3"/>
  <c r="T144" i="3"/>
  <c r="T143" i="3"/>
  <c r="T142" i="3"/>
  <c r="T141" i="3"/>
  <c r="T140" i="3"/>
  <c r="T139" i="3"/>
  <c r="T138" i="3"/>
  <c r="T137" i="3"/>
  <c r="T136" i="3"/>
  <c r="T135" i="3"/>
  <c r="T134" i="3"/>
  <c r="T133" i="3"/>
  <c r="T132" i="3"/>
  <c r="T131" i="3"/>
  <c r="T130" i="3"/>
  <c r="T129" i="3"/>
  <c r="T128" i="3"/>
  <c r="T127" i="3"/>
  <c r="T126" i="3"/>
  <c r="T125" i="3"/>
  <c r="T124" i="3"/>
  <c r="T123" i="3"/>
  <c r="T122" i="3"/>
  <c r="T121" i="3"/>
  <c r="T120" i="3"/>
  <c r="T119" i="3"/>
  <c r="T118" i="3"/>
  <c r="T117" i="3"/>
  <c r="T116" i="3"/>
  <c r="T115" i="3"/>
  <c r="T114" i="3"/>
  <c r="T113" i="3"/>
  <c r="T112" i="3"/>
  <c r="T111" i="3"/>
  <c r="T110" i="3"/>
  <c r="T109" i="3"/>
  <c r="T108" i="3"/>
  <c r="T107" i="3"/>
  <c r="T106" i="3"/>
  <c r="T105" i="3"/>
  <c r="T104" i="3"/>
  <c r="T103" i="3"/>
  <c r="T102" i="3"/>
  <c r="T101" i="3"/>
  <c r="T100" i="3"/>
  <c r="T99" i="3"/>
  <c r="T98" i="3"/>
  <c r="T97" i="3"/>
  <c r="T96" i="3"/>
  <c r="T95" i="3"/>
  <c r="T94" i="3"/>
  <c r="T93" i="3"/>
  <c r="T92" i="3"/>
  <c r="T91" i="3"/>
  <c r="T90" i="3"/>
  <c r="T89" i="3"/>
  <c r="T88" i="3"/>
  <c r="T87" i="3"/>
  <c r="T86" i="3"/>
  <c r="T85" i="3"/>
  <c r="T84" i="3"/>
  <c r="T83" i="3"/>
  <c r="T82" i="3"/>
  <c r="T81" i="3"/>
  <c r="T80" i="3"/>
  <c r="T79" i="3"/>
  <c r="T78" i="3"/>
  <c r="T77" i="3"/>
  <c r="T76" i="3"/>
  <c r="T75" i="3"/>
  <c r="T74" i="3"/>
  <c r="T73" i="3"/>
  <c r="T72" i="3"/>
  <c r="T71" i="3"/>
  <c r="T70" i="3"/>
  <c r="T69" i="3"/>
  <c r="T68" i="3"/>
  <c r="T67" i="3"/>
  <c r="T66" i="3"/>
  <c r="T65" i="3"/>
  <c r="T64" i="3"/>
  <c r="T63" i="3"/>
  <c r="T62" i="3"/>
  <c r="T61" i="3"/>
  <c r="T60" i="3"/>
  <c r="T59" i="3"/>
  <c r="T58" i="3"/>
  <c r="T57" i="3"/>
  <c r="T56" i="3"/>
  <c r="T55" i="3"/>
  <c r="T54" i="3"/>
  <c r="T53" i="3"/>
  <c r="T52" i="3"/>
  <c r="T51" i="3"/>
  <c r="T50" i="3"/>
  <c r="T49" i="3"/>
  <c r="T48" i="3"/>
  <c r="T47" i="3"/>
  <c r="T46" i="3"/>
  <c r="T45" i="3"/>
  <c r="T44" i="3"/>
  <c r="T43" i="3"/>
  <c r="T42" i="3"/>
  <c r="T41" i="3"/>
  <c r="T40" i="3"/>
  <c r="T39" i="3"/>
  <c r="T38" i="3"/>
  <c r="T37" i="3"/>
  <c r="T36" i="3"/>
  <c r="T35" i="3"/>
  <c r="T34" i="3"/>
  <c r="T33" i="3"/>
  <c r="T32" i="3"/>
  <c r="T31" i="3"/>
  <c r="T30" i="3"/>
  <c r="T29" i="3"/>
  <c r="T28" i="3"/>
  <c r="T27" i="3"/>
  <c r="T26" i="3"/>
  <c r="T25" i="3"/>
  <c r="T24" i="3"/>
  <c r="T23" i="3"/>
  <c r="T22" i="3"/>
  <c r="T21" i="3"/>
  <c r="T20" i="3"/>
  <c r="T19" i="3"/>
  <c r="T18" i="3"/>
  <c r="T17" i="3"/>
  <c r="T16" i="3"/>
  <c r="T15" i="3"/>
  <c r="T14" i="3"/>
  <c r="T13" i="3"/>
  <c r="T12" i="3"/>
  <c r="T11" i="3"/>
  <c r="T10" i="3"/>
  <c r="T9" i="3"/>
  <c r="T8" i="3"/>
  <c r="T7" i="3"/>
  <c r="T6" i="3"/>
  <c r="T5" i="3"/>
  <c r="S638" i="3"/>
  <c r="R638" i="3"/>
  <c r="S637" i="3"/>
  <c r="R637" i="3"/>
  <c r="S636" i="3"/>
  <c r="R636" i="3"/>
  <c r="S635" i="3"/>
  <c r="R635" i="3"/>
  <c r="S634" i="3"/>
  <c r="R634" i="3"/>
  <c r="S633" i="3"/>
  <c r="R633" i="3"/>
  <c r="S632" i="3"/>
  <c r="R632" i="3"/>
  <c r="S631" i="3"/>
  <c r="R631" i="3"/>
  <c r="S630" i="3"/>
  <c r="R630" i="3"/>
  <c r="S629" i="3"/>
  <c r="R629" i="3"/>
  <c r="S628" i="3"/>
  <c r="R628" i="3"/>
  <c r="S627" i="3"/>
  <c r="R627" i="3"/>
  <c r="S626" i="3"/>
  <c r="R626" i="3"/>
  <c r="S625" i="3"/>
  <c r="R625" i="3"/>
  <c r="S624" i="3"/>
  <c r="R624" i="3"/>
  <c r="S623" i="3"/>
  <c r="R623" i="3"/>
  <c r="S622" i="3"/>
  <c r="R622" i="3"/>
  <c r="S621" i="3"/>
  <c r="R621" i="3"/>
  <c r="S620" i="3"/>
  <c r="R620" i="3"/>
  <c r="S619" i="3"/>
  <c r="R619" i="3"/>
  <c r="S618" i="3"/>
  <c r="R618" i="3"/>
  <c r="S617" i="3"/>
  <c r="R617" i="3"/>
  <c r="S616" i="3"/>
  <c r="R616" i="3"/>
  <c r="S615" i="3"/>
  <c r="R615" i="3"/>
  <c r="S614" i="3"/>
  <c r="R614" i="3"/>
  <c r="S613" i="3"/>
  <c r="R613" i="3"/>
  <c r="S612" i="3"/>
  <c r="R612" i="3"/>
  <c r="S611" i="3"/>
  <c r="R611" i="3"/>
  <c r="S610" i="3"/>
  <c r="R610" i="3"/>
  <c r="S609" i="3"/>
  <c r="R609" i="3"/>
  <c r="S608" i="3"/>
  <c r="R608" i="3"/>
  <c r="S607" i="3"/>
  <c r="R607" i="3"/>
  <c r="S606" i="3"/>
  <c r="R606" i="3"/>
  <c r="S605" i="3"/>
  <c r="R605" i="3"/>
  <c r="S604" i="3"/>
  <c r="R604" i="3"/>
  <c r="S603" i="3"/>
  <c r="R603" i="3"/>
  <c r="S602" i="3"/>
  <c r="R602" i="3"/>
  <c r="S601" i="3"/>
  <c r="R601" i="3"/>
  <c r="S600" i="3"/>
  <c r="R600" i="3"/>
  <c r="S599" i="3"/>
  <c r="R599" i="3"/>
  <c r="S598" i="3"/>
  <c r="R598" i="3"/>
  <c r="S597" i="3"/>
  <c r="R597" i="3"/>
  <c r="S596" i="3"/>
  <c r="R596" i="3"/>
  <c r="S595" i="3"/>
  <c r="R595" i="3"/>
  <c r="S594" i="3"/>
  <c r="R594" i="3"/>
  <c r="S593" i="3"/>
  <c r="R593" i="3"/>
  <c r="S592" i="3"/>
  <c r="R592" i="3"/>
  <c r="S591" i="3"/>
  <c r="R591" i="3"/>
  <c r="S590" i="3"/>
  <c r="R590" i="3"/>
  <c r="S589" i="3"/>
  <c r="R589" i="3"/>
  <c r="S588" i="3"/>
  <c r="R588" i="3"/>
  <c r="S587" i="3"/>
  <c r="R587" i="3"/>
  <c r="S586" i="3"/>
  <c r="R586" i="3"/>
  <c r="S585" i="3"/>
  <c r="R585" i="3"/>
  <c r="S584" i="3"/>
  <c r="R584" i="3"/>
  <c r="S583" i="3"/>
  <c r="R583" i="3"/>
  <c r="S582" i="3"/>
  <c r="R582" i="3"/>
  <c r="S581" i="3"/>
  <c r="R581" i="3"/>
  <c r="S580" i="3"/>
  <c r="R580" i="3"/>
  <c r="S579" i="3"/>
  <c r="R579" i="3"/>
  <c r="S578" i="3"/>
  <c r="R578" i="3"/>
  <c r="S577" i="3"/>
  <c r="R577" i="3"/>
  <c r="S576" i="3"/>
  <c r="R576" i="3"/>
  <c r="S575" i="3"/>
  <c r="R575" i="3"/>
  <c r="S574" i="3"/>
  <c r="R574" i="3"/>
  <c r="S573" i="3"/>
  <c r="R573" i="3"/>
  <c r="S572" i="3"/>
  <c r="R572" i="3"/>
  <c r="S571" i="3"/>
  <c r="R571" i="3"/>
  <c r="S570" i="3"/>
  <c r="R570" i="3"/>
  <c r="S569" i="3"/>
  <c r="R569" i="3"/>
  <c r="S568" i="3"/>
  <c r="R568" i="3"/>
  <c r="S567" i="3"/>
  <c r="R567" i="3"/>
  <c r="S566" i="3"/>
  <c r="R566" i="3"/>
  <c r="S565" i="3"/>
  <c r="R565" i="3"/>
  <c r="S564" i="3"/>
  <c r="R564" i="3"/>
  <c r="S563" i="3"/>
  <c r="R563" i="3"/>
  <c r="S562" i="3"/>
  <c r="R562" i="3"/>
  <c r="S561" i="3"/>
  <c r="R561" i="3"/>
  <c r="S560" i="3"/>
  <c r="R560" i="3"/>
  <c r="S559" i="3"/>
  <c r="R559" i="3"/>
  <c r="S558" i="3"/>
  <c r="R558" i="3"/>
  <c r="S557" i="3"/>
  <c r="R557" i="3"/>
  <c r="S556" i="3"/>
  <c r="R556" i="3"/>
  <c r="S555" i="3"/>
  <c r="R555" i="3"/>
  <c r="S554" i="3"/>
  <c r="R554" i="3"/>
  <c r="S553" i="3"/>
  <c r="R553" i="3"/>
  <c r="S552" i="3"/>
  <c r="R552" i="3"/>
  <c r="S551" i="3"/>
  <c r="R551" i="3"/>
  <c r="S550" i="3"/>
  <c r="R550" i="3"/>
  <c r="S549" i="3"/>
  <c r="R549" i="3"/>
  <c r="S548" i="3"/>
  <c r="R548" i="3"/>
  <c r="S547" i="3"/>
  <c r="R547" i="3"/>
  <c r="S546" i="3"/>
  <c r="R546" i="3"/>
  <c r="S545" i="3"/>
  <c r="R545" i="3"/>
  <c r="S544" i="3"/>
  <c r="R544" i="3"/>
  <c r="S543" i="3"/>
  <c r="R543" i="3"/>
  <c r="S542" i="3"/>
  <c r="R542" i="3"/>
  <c r="S541" i="3"/>
  <c r="R541" i="3"/>
  <c r="S540" i="3"/>
  <c r="R540" i="3"/>
  <c r="S539" i="3"/>
  <c r="R539" i="3"/>
  <c r="S538" i="3"/>
  <c r="R538" i="3"/>
  <c r="S537" i="3"/>
  <c r="R537" i="3"/>
  <c r="S536" i="3"/>
  <c r="R536" i="3"/>
  <c r="S535" i="3"/>
  <c r="R535" i="3"/>
  <c r="S534" i="3"/>
  <c r="R534" i="3"/>
  <c r="S533" i="3"/>
  <c r="R533" i="3"/>
  <c r="S532" i="3"/>
  <c r="R532" i="3"/>
  <c r="S531" i="3"/>
  <c r="R531" i="3"/>
  <c r="S530" i="3"/>
  <c r="R530" i="3"/>
  <c r="S529" i="3"/>
  <c r="R529" i="3"/>
  <c r="S528" i="3"/>
  <c r="R528" i="3"/>
  <c r="S527" i="3"/>
  <c r="R527" i="3"/>
  <c r="S526" i="3"/>
  <c r="R526" i="3"/>
  <c r="S525" i="3"/>
  <c r="R525" i="3"/>
  <c r="S524" i="3"/>
  <c r="R524" i="3"/>
  <c r="S523" i="3"/>
  <c r="R523" i="3"/>
  <c r="S522" i="3"/>
  <c r="R522" i="3"/>
  <c r="S521" i="3"/>
  <c r="R521" i="3"/>
  <c r="S520" i="3"/>
  <c r="R520" i="3"/>
  <c r="S519" i="3"/>
  <c r="R519" i="3"/>
  <c r="S518" i="3"/>
  <c r="R518" i="3"/>
  <c r="S517" i="3"/>
  <c r="R517" i="3"/>
  <c r="S516" i="3"/>
  <c r="R516" i="3"/>
  <c r="S515" i="3"/>
  <c r="R515" i="3"/>
  <c r="S514" i="3"/>
  <c r="R514" i="3"/>
  <c r="S513" i="3"/>
  <c r="R513" i="3"/>
  <c r="S512" i="3"/>
  <c r="R512" i="3"/>
  <c r="S511" i="3"/>
  <c r="R511" i="3"/>
  <c r="S510" i="3"/>
  <c r="R510" i="3"/>
  <c r="S509" i="3"/>
  <c r="R509" i="3"/>
  <c r="S508" i="3"/>
  <c r="R508" i="3"/>
  <c r="S507" i="3"/>
  <c r="R507" i="3"/>
  <c r="S506" i="3"/>
  <c r="R506" i="3"/>
  <c r="S505" i="3"/>
  <c r="R505" i="3"/>
  <c r="S504" i="3"/>
  <c r="R504" i="3"/>
  <c r="S503" i="3"/>
  <c r="R503" i="3"/>
  <c r="S502" i="3"/>
  <c r="R502" i="3"/>
  <c r="S501" i="3"/>
  <c r="R501" i="3"/>
  <c r="S500" i="3"/>
  <c r="R500" i="3"/>
  <c r="S499" i="3"/>
  <c r="R499" i="3"/>
  <c r="S498" i="3"/>
  <c r="R498" i="3"/>
  <c r="S497" i="3"/>
  <c r="R497" i="3"/>
  <c r="S496" i="3"/>
  <c r="R496" i="3"/>
  <c r="S495" i="3"/>
  <c r="R495" i="3"/>
  <c r="S494" i="3"/>
  <c r="R494" i="3"/>
  <c r="S493" i="3"/>
  <c r="R493" i="3"/>
  <c r="S492" i="3"/>
  <c r="R492" i="3"/>
  <c r="S491" i="3"/>
  <c r="R491" i="3"/>
  <c r="S490" i="3"/>
  <c r="R490" i="3"/>
  <c r="S489" i="3"/>
  <c r="R489" i="3"/>
  <c r="S488" i="3"/>
  <c r="R488" i="3"/>
  <c r="S487" i="3"/>
  <c r="R487" i="3"/>
  <c r="S486" i="3"/>
  <c r="R486" i="3"/>
  <c r="S485" i="3"/>
  <c r="R485" i="3"/>
  <c r="S484" i="3"/>
  <c r="R484" i="3"/>
  <c r="S483" i="3"/>
  <c r="R483" i="3"/>
  <c r="S482" i="3"/>
  <c r="R482" i="3"/>
  <c r="S481" i="3"/>
  <c r="R481" i="3"/>
  <c r="S480" i="3"/>
  <c r="R480" i="3"/>
  <c r="S479" i="3"/>
  <c r="R479" i="3"/>
  <c r="S478" i="3"/>
  <c r="R478" i="3"/>
  <c r="S477" i="3"/>
  <c r="R477" i="3"/>
  <c r="S476" i="3"/>
  <c r="R476" i="3"/>
  <c r="S475" i="3"/>
  <c r="R475" i="3"/>
  <c r="S474" i="3"/>
  <c r="R474" i="3"/>
  <c r="S473" i="3"/>
  <c r="R473" i="3"/>
  <c r="S472" i="3"/>
  <c r="R472" i="3"/>
  <c r="S471" i="3"/>
  <c r="R471" i="3"/>
  <c r="S470" i="3"/>
  <c r="R470" i="3"/>
  <c r="S469" i="3"/>
  <c r="R469" i="3"/>
  <c r="S468" i="3"/>
  <c r="R468" i="3"/>
  <c r="S467" i="3"/>
  <c r="R467" i="3"/>
  <c r="S466" i="3"/>
  <c r="R466" i="3"/>
  <c r="S465" i="3"/>
  <c r="R465" i="3"/>
  <c r="S464" i="3"/>
  <c r="R464" i="3"/>
  <c r="S463" i="3"/>
  <c r="R463" i="3"/>
  <c r="S462" i="3"/>
  <c r="R462" i="3"/>
  <c r="S461" i="3"/>
  <c r="R461" i="3"/>
  <c r="S460" i="3"/>
  <c r="R460" i="3"/>
  <c r="S459" i="3"/>
  <c r="R459" i="3"/>
  <c r="S458" i="3"/>
  <c r="R458" i="3"/>
  <c r="S457" i="3"/>
  <c r="R457" i="3"/>
  <c r="S456" i="3"/>
  <c r="R456" i="3"/>
  <c r="S455" i="3"/>
  <c r="R455" i="3"/>
  <c r="S454" i="3"/>
  <c r="R454" i="3"/>
  <c r="S453" i="3"/>
  <c r="R453" i="3"/>
  <c r="S452" i="3"/>
  <c r="R452" i="3"/>
  <c r="S451" i="3"/>
  <c r="R451" i="3"/>
  <c r="S450" i="3"/>
  <c r="R450" i="3"/>
  <c r="S449" i="3"/>
  <c r="R449" i="3"/>
  <c r="S448" i="3"/>
  <c r="R448" i="3"/>
  <c r="S447" i="3"/>
  <c r="R447" i="3"/>
  <c r="S446" i="3"/>
  <c r="R446" i="3"/>
  <c r="S445" i="3"/>
  <c r="R445" i="3"/>
  <c r="S444" i="3"/>
  <c r="R444" i="3"/>
  <c r="S443" i="3"/>
  <c r="R443" i="3"/>
  <c r="S442" i="3"/>
  <c r="R442" i="3"/>
  <c r="S441" i="3"/>
  <c r="R441" i="3"/>
  <c r="S440" i="3"/>
  <c r="R440" i="3"/>
  <c r="S439" i="3"/>
  <c r="R439" i="3"/>
  <c r="S438" i="3"/>
  <c r="R438" i="3"/>
  <c r="S437" i="3"/>
  <c r="R437" i="3"/>
  <c r="S436" i="3"/>
  <c r="R436" i="3"/>
  <c r="S435" i="3"/>
  <c r="R435" i="3"/>
  <c r="S434" i="3"/>
  <c r="R434" i="3"/>
  <c r="S433" i="3"/>
  <c r="R433" i="3"/>
  <c r="S432" i="3"/>
  <c r="R432" i="3"/>
  <c r="S431" i="3"/>
  <c r="R431" i="3"/>
  <c r="S430" i="3"/>
  <c r="R430" i="3"/>
  <c r="S429" i="3"/>
  <c r="R429" i="3"/>
  <c r="S428" i="3"/>
  <c r="R428" i="3"/>
  <c r="S427" i="3"/>
  <c r="R427" i="3"/>
  <c r="S426" i="3"/>
  <c r="R426" i="3"/>
  <c r="S425" i="3"/>
  <c r="R425" i="3"/>
  <c r="S424" i="3"/>
  <c r="R424" i="3"/>
  <c r="S423" i="3"/>
  <c r="R423" i="3"/>
  <c r="S422" i="3"/>
  <c r="R422" i="3"/>
  <c r="S421" i="3"/>
  <c r="R421" i="3"/>
  <c r="S420" i="3"/>
  <c r="R420" i="3"/>
  <c r="S419" i="3"/>
  <c r="R419" i="3"/>
  <c r="S418" i="3"/>
  <c r="R418" i="3"/>
  <c r="S417" i="3"/>
  <c r="R417" i="3"/>
  <c r="S416" i="3"/>
  <c r="R416" i="3"/>
  <c r="S415" i="3"/>
  <c r="R415" i="3"/>
  <c r="S414" i="3"/>
  <c r="R414" i="3"/>
  <c r="S413" i="3"/>
  <c r="R413" i="3"/>
  <c r="S412" i="3"/>
  <c r="R412" i="3"/>
  <c r="S411" i="3"/>
  <c r="R411" i="3"/>
  <c r="T411" i="3" s="1"/>
  <c r="S410" i="3"/>
  <c r="R410" i="3"/>
  <c r="S409" i="3"/>
  <c r="R409" i="3"/>
  <c r="S408" i="3"/>
  <c r="R408" i="3"/>
  <c r="S407" i="3"/>
  <c r="R407" i="3"/>
  <c r="S406" i="3"/>
  <c r="R406" i="3"/>
  <c r="S405" i="3"/>
  <c r="R405" i="3"/>
  <c r="S404" i="3"/>
  <c r="R404" i="3"/>
  <c r="S403" i="3"/>
  <c r="R403" i="3"/>
  <c r="S402" i="3"/>
  <c r="R402" i="3"/>
  <c r="S401" i="3"/>
  <c r="R401" i="3"/>
  <c r="S400" i="3"/>
  <c r="R400" i="3"/>
  <c r="S399" i="3"/>
  <c r="R399" i="3"/>
  <c r="S398" i="3"/>
  <c r="R398" i="3"/>
  <c r="S397" i="3"/>
  <c r="R397" i="3"/>
  <c r="S396" i="3"/>
  <c r="R396" i="3"/>
  <c r="S395" i="3"/>
  <c r="R395" i="3"/>
  <c r="S394" i="3"/>
  <c r="R394" i="3"/>
  <c r="S393" i="3"/>
  <c r="R393" i="3"/>
  <c r="S392" i="3"/>
  <c r="R392" i="3"/>
  <c r="S391" i="3"/>
  <c r="R391" i="3"/>
  <c r="S390" i="3"/>
  <c r="R390" i="3"/>
  <c r="S389" i="3"/>
  <c r="R389" i="3"/>
  <c r="S388" i="3"/>
  <c r="R388" i="3"/>
  <c r="S387" i="3"/>
  <c r="R387" i="3"/>
  <c r="S386" i="3"/>
  <c r="R386" i="3"/>
  <c r="S385" i="3"/>
  <c r="R385" i="3"/>
  <c r="S384" i="3"/>
  <c r="R384" i="3"/>
  <c r="S383" i="3"/>
  <c r="R383" i="3"/>
  <c r="S382" i="3"/>
  <c r="R382" i="3"/>
  <c r="S381" i="3"/>
  <c r="R381" i="3"/>
  <c r="S380" i="3"/>
  <c r="R380" i="3"/>
  <c r="S379" i="3"/>
  <c r="R379" i="3"/>
  <c r="S378" i="3"/>
  <c r="R378" i="3"/>
  <c r="S377" i="3"/>
  <c r="R377" i="3"/>
  <c r="S376" i="3"/>
  <c r="R376" i="3"/>
  <c r="S375" i="3"/>
  <c r="R375" i="3"/>
  <c r="S374" i="3"/>
  <c r="R374" i="3"/>
  <c r="S373" i="3"/>
  <c r="R373" i="3"/>
  <c r="S372" i="3"/>
  <c r="R372" i="3"/>
  <c r="S371" i="3"/>
  <c r="R371" i="3"/>
  <c r="S370" i="3"/>
  <c r="R370" i="3"/>
  <c r="S369" i="3"/>
  <c r="R369" i="3"/>
  <c r="S368" i="3"/>
  <c r="R368" i="3"/>
  <c r="S367" i="3"/>
  <c r="R367" i="3"/>
  <c r="S366" i="3"/>
  <c r="R366" i="3"/>
  <c r="S365" i="3"/>
  <c r="R365" i="3"/>
  <c r="S364" i="3"/>
  <c r="R364" i="3"/>
  <c r="S363" i="3"/>
  <c r="R363" i="3"/>
  <c r="S362" i="3"/>
  <c r="R362" i="3"/>
  <c r="S361" i="3"/>
  <c r="R361" i="3"/>
  <c r="S360" i="3"/>
  <c r="R360" i="3"/>
  <c r="S359" i="3"/>
  <c r="R359" i="3"/>
  <c r="S358" i="3"/>
  <c r="R358" i="3"/>
  <c r="S357" i="3"/>
  <c r="R357" i="3"/>
  <c r="S356" i="3"/>
  <c r="R356" i="3"/>
  <c r="S355" i="3"/>
  <c r="R355" i="3"/>
  <c r="S354" i="3"/>
  <c r="R354" i="3"/>
  <c r="S353" i="3"/>
  <c r="R353" i="3"/>
  <c r="S352" i="3"/>
  <c r="R352" i="3"/>
  <c r="S351" i="3"/>
  <c r="R351" i="3"/>
  <c r="S350" i="3"/>
  <c r="R350" i="3"/>
  <c r="S349" i="3"/>
  <c r="R349" i="3"/>
  <c r="S348" i="3"/>
  <c r="R348" i="3"/>
  <c r="S347" i="3"/>
  <c r="R347" i="3"/>
  <c r="S346" i="3"/>
  <c r="R346" i="3"/>
  <c r="S345" i="3"/>
  <c r="R345" i="3"/>
  <c r="S344" i="3"/>
  <c r="R344" i="3"/>
  <c r="S343" i="3"/>
  <c r="R343" i="3"/>
  <c r="S342" i="3"/>
  <c r="R342" i="3"/>
  <c r="S341" i="3"/>
  <c r="R341" i="3"/>
  <c r="S340" i="3"/>
  <c r="R340" i="3"/>
  <c r="S339" i="3"/>
  <c r="R339" i="3"/>
  <c r="S338" i="3"/>
  <c r="R338" i="3"/>
  <c r="S337" i="3"/>
  <c r="R337" i="3"/>
  <c r="S336" i="3"/>
  <c r="R336" i="3"/>
  <c r="S335" i="3"/>
  <c r="R335" i="3"/>
  <c r="S334" i="3"/>
  <c r="R334" i="3"/>
  <c r="S333" i="3"/>
  <c r="R333" i="3"/>
  <c r="S332" i="3"/>
  <c r="R332" i="3"/>
  <c r="S331" i="3"/>
  <c r="R331" i="3"/>
  <c r="S330" i="3"/>
  <c r="R330" i="3"/>
  <c r="S329" i="3"/>
  <c r="R329" i="3"/>
  <c r="S328" i="3"/>
  <c r="R328" i="3"/>
  <c r="S327" i="3"/>
  <c r="R327" i="3"/>
  <c r="S326" i="3"/>
  <c r="R326" i="3"/>
  <c r="S325" i="3"/>
  <c r="R325" i="3"/>
  <c r="S324" i="3"/>
  <c r="R324" i="3"/>
  <c r="S323" i="3"/>
  <c r="R323" i="3"/>
  <c r="S322" i="3"/>
  <c r="R322" i="3"/>
  <c r="S321" i="3"/>
  <c r="R321" i="3"/>
  <c r="S320" i="3"/>
  <c r="R320" i="3"/>
  <c r="S319" i="3"/>
  <c r="R319" i="3"/>
  <c r="S318" i="3"/>
  <c r="R318" i="3"/>
  <c r="S317" i="3"/>
  <c r="R317" i="3"/>
  <c r="S316" i="3"/>
  <c r="R316" i="3"/>
  <c r="S315" i="3"/>
  <c r="R315" i="3"/>
  <c r="S314" i="3"/>
  <c r="R314" i="3"/>
  <c r="S313" i="3"/>
  <c r="R313" i="3"/>
  <c r="S312" i="3"/>
  <c r="R312" i="3"/>
  <c r="S311" i="3"/>
  <c r="R311" i="3"/>
  <c r="S310" i="3"/>
  <c r="R310" i="3"/>
  <c r="S309" i="3"/>
  <c r="R309" i="3"/>
  <c r="S308" i="3"/>
  <c r="R308" i="3"/>
  <c r="S307" i="3"/>
  <c r="R307" i="3"/>
  <c r="S306" i="3"/>
  <c r="R306" i="3"/>
  <c r="S305" i="3"/>
  <c r="R305" i="3"/>
  <c r="S304" i="3"/>
  <c r="R304" i="3"/>
  <c r="S303" i="3"/>
  <c r="R303" i="3"/>
  <c r="S302" i="3"/>
  <c r="R302" i="3"/>
  <c r="S301" i="3"/>
  <c r="R301" i="3"/>
  <c r="S300" i="3"/>
  <c r="R300" i="3"/>
  <c r="S299" i="3"/>
  <c r="R299" i="3"/>
  <c r="S298" i="3"/>
  <c r="R298" i="3"/>
  <c r="S297" i="3"/>
  <c r="R297" i="3"/>
  <c r="S296" i="3"/>
  <c r="R296" i="3"/>
  <c r="S295" i="3"/>
  <c r="R295" i="3"/>
  <c r="S294" i="3"/>
  <c r="R294" i="3"/>
  <c r="S293" i="3"/>
  <c r="R293" i="3"/>
  <c r="S292" i="3"/>
  <c r="R292" i="3"/>
  <c r="S291" i="3"/>
  <c r="R291" i="3"/>
  <c r="S290" i="3"/>
  <c r="R290" i="3"/>
  <c r="S289" i="3"/>
  <c r="R289" i="3"/>
  <c r="S288" i="3"/>
  <c r="R288" i="3"/>
  <c r="S287" i="3"/>
  <c r="R287" i="3"/>
  <c r="S286" i="3"/>
  <c r="R286" i="3"/>
  <c r="S285" i="3"/>
  <c r="R285" i="3"/>
  <c r="S284" i="3"/>
  <c r="R284" i="3"/>
  <c r="S283" i="3"/>
  <c r="R283" i="3"/>
  <c r="S282" i="3"/>
  <c r="R282" i="3"/>
  <c r="S281" i="3"/>
  <c r="R281" i="3"/>
  <c r="S280" i="3"/>
  <c r="R280" i="3"/>
  <c r="S279" i="3"/>
  <c r="R279" i="3"/>
  <c r="S278" i="3"/>
  <c r="R278" i="3"/>
  <c r="S277" i="3"/>
  <c r="R277" i="3"/>
  <c r="S276" i="3"/>
  <c r="R276" i="3"/>
  <c r="S275" i="3"/>
  <c r="R275" i="3"/>
  <c r="S274" i="3"/>
  <c r="R274" i="3"/>
  <c r="S273" i="3"/>
  <c r="R273" i="3"/>
  <c r="S272" i="3"/>
  <c r="R272" i="3"/>
  <c r="S271" i="3"/>
  <c r="R271" i="3"/>
  <c r="S270" i="3"/>
  <c r="R270" i="3"/>
  <c r="S269" i="3"/>
  <c r="R269" i="3"/>
  <c r="S268" i="3"/>
  <c r="R268" i="3"/>
  <c r="S267" i="3"/>
  <c r="R267" i="3"/>
  <c r="S266" i="3"/>
  <c r="R266" i="3"/>
  <c r="S265" i="3"/>
  <c r="R265" i="3"/>
  <c r="S264" i="3"/>
  <c r="R264" i="3"/>
  <c r="S263" i="3"/>
  <c r="R263" i="3"/>
  <c r="S262" i="3"/>
  <c r="R262" i="3"/>
  <c r="S261" i="3"/>
  <c r="R261" i="3"/>
  <c r="S260" i="3"/>
  <c r="R260" i="3"/>
  <c r="S259" i="3"/>
  <c r="R259" i="3"/>
  <c r="S258" i="3"/>
  <c r="R258" i="3"/>
  <c r="S257" i="3"/>
  <c r="R257" i="3"/>
  <c r="S256" i="3"/>
  <c r="R256" i="3"/>
  <c r="S255" i="3"/>
  <c r="R255" i="3"/>
  <c r="S254" i="3"/>
  <c r="R254" i="3"/>
  <c r="S253" i="3"/>
  <c r="R253" i="3"/>
  <c r="S252" i="3"/>
  <c r="R252" i="3"/>
  <c r="S251" i="3"/>
  <c r="R251" i="3"/>
  <c r="S250" i="3"/>
  <c r="R250" i="3"/>
  <c r="S249" i="3"/>
  <c r="R249" i="3"/>
  <c r="S248" i="3"/>
  <c r="R248" i="3"/>
  <c r="S247" i="3"/>
  <c r="R247" i="3"/>
  <c r="S246" i="3"/>
  <c r="R246" i="3"/>
  <c r="S245" i="3"/>
  <c r="R245" i="3"/>
  <c r="S244" i="3"/>
  <c r="R244" i="3"/>
  <c r="S243" i="3"/>
  <c r="R243" i="3"/>
  <c r="S242" i="3"/>
  <c r="R242" i="3"/>
  <c r="S241" i="3"/>
  <c r="R241" i="3"/>
  <c r="S240" i="3"/>
  <c r="R240" i="3"/>
  <c r="S239" i="3"/>
  <c r="R239" i="3"/>
  <c r="S238" i="3"/>
  <c r="R238" i="3"/>
  <c r="S237" i="3"/>
  <c r="R237" i="3"/>
  <c r="S236" i="3"/>
  <c r="R236" i="3"/>
  <c r="S235" i="3"/>
  <c r="R235" i="3"/>
  <c r="S234" i="3"/>
  <c r="R234" i="3"/>
  <c r="S233" i="3"/>
  <c r="R233" i="3"/>
  <c r="S232" i="3"/>
  <c r="R232" i="3"/>
  <c r="S231" i="3"/>
  <c r="R231" i="3"/>
  <c r="S230" i="3"/>
  <c r="R230" i="3"/>
  <c r="S229" i="3"/>
  <c r="R229" i="3"/>
  <c r="S228" i="3"/>
  <c r="R228" i="3"/>
  <c r="S227" i="3"/>
  <c r="R227" i="3"/>
  <c r="S226" i="3"/>
  <c r="R226" i="3"/>
  <c r="S225" i="3"/>
  <c r="R225" i="3"/>
  <c r="S224" i="3"/>
  <c r="R224" i="3"/>
  <c r="S223" i="3"/>
  <c r="R223" i="3"/>
  <c r="S222" i="3"/>
  <c r="R222" i="3"/>
  <c r="S221" i="3"/>
  <c r="R221" i="3"/>
  <c r="S220" i="3"/>
  <c r="R220" i="3"/>
  <c r="S219" i="3"/>
  <c r="R219" i="3"/>
  <c r="S218" i="3"/>
  <c r="R218" i="3"/>
  <c r="S217" i="3"/>
  <c r="R217" i="3"/>
  <c r="S216" i="3"/>
  <c r="R216" i="3"/>
  <c r="S215" i="3"/>
  <c r="R215" i="3"/>
  <c r="S214" i="3"/>
  <c r="R214" i="3"/>
  <c r="S213" i="3"/>
  <c r="R213" i="3"/>
  <c r="S212" i="3"/>
  <c r="R212" i="3"/>
  <c r="S211" i="3"/>
  <c r="R211" i="3"/>
  <c r="S210" i="3"/>
  <c r="R210" i="3"/>
  <c r="S209" i="3"/>
  <c r="R209" i="3"/>
  <c r="S208" i="3"/>
  <c r="R208" i="3"/>
  <c r="S207" i="3"/>
  <c r="R207" i="3"/>
  <c r="S206" i="3"/>
  <c r="R206" i="3"/>
  <c r="S205" i="3"/>
  <c r="R205" i="3"/>
  <c r="S204" i="3"/>
  <c r="R204" i="3"/>
  <c r="S203" i="3"/>
  <c r="R203" i="3"/>
  <c r="S202" i="3"/>
  <c r="R202" i="3"/>
  <c r="S201" i="3"/>
  <c r="R201" i="3"/>
  <c r="S200" i="3"/>
  <c r="R200" i="3"/>
  <c r="S199" i="3"/>
  <c r="R199" i="3"/>
  <c r="S198" i="3"/>
  <c r="R198" i="3"/>
  <c r="S197" i="3"/>
  <c r="R197" i="3"/>
  <c r="S196" i="3"/>
  <c r="R196" i="3"/>
  <c r="S195" i="3"/>
  <c r="R195" i="3"/>
  <c r="S194" i="3"/>
  <c r="R194" i="3"/>
  <c r="S193" i="3"/>
  <c r="R193" i="3"/>
  <c r="S192" i="3"/>
  <c r="R192" i="3"/>
  <c r="S191" i="3"/>
  <c r="R191" i="3"/>
  <c r="S190" i="3"/>
  <c r="R190" i="3"/>
  <c r="S189" i="3"/>
  <c r="R189" i="3"/>
  <c r="S188" i="3"/>
  <c r="R188" i="3"/>
  <c r="S187" i="3"/>
  <c r="R187" i="3"/>
  <c r="S186" i="3"/>
  <c r="R186" i="3"/>
  <c r="S185" i="3"/>
  <c r="R185" i="3"/>
  <c r="S184" i="3"/>
  <c r="R184" i="3"/>
  <c r="S183" i="3"/>
  <c r="R183" i="3"/>
  <c r="S182" i="3"/>
  <c r="R182" i="3"/>
  <c r="S181" i="3"/>
  <c r="R181" i="3"/>
  <c r="S180" i="3"/>
  <c r="R180" i="3"/>
  <c r="S179" i="3"/>
  <c r="R179" i="3"/>
  <c r="S178" i="3"/>
  <c r="R178" i="3"/>
  <c r="S177" i="3"/>
  <c r="R177" i="3"/>
  <c r="S176" i="3"/>
  <c r="R176" i="3"/>
  <c r="S175" i="3"/>
  <c r="R175" i="3"/>
  <c r="S174" i="3"/>
  <c r="R174" i="3"/>
  <c r="S173" i="3"/>
  <c r="R173" i="3"/>
  <c r="S172" i="3"/>
  <c r="R172" i="3"/>
  <c r="S171" i="3"/>
  <c r="R171" i="3"/>
  <c r="S170" i="3"/>
  <c r="R170" i="3"/>
  <c r="S169" i="3"/>
  <c r="R169" i="3"/>
  <c r="S168" i="3"/>
  <c r="R168" i="3"/>
  <c r="S167" i="3"/>
  <c r="R167" i="3"/>
  <c r="S166" i="3"/>
  <c r="R166" i="3"/>
  <c r="S165" i="3"/>
  <c r="R165" i="3"/>
  <c r="S164" i="3"/>
  <c r="R164" i="3"/>
  <c r="S163" i="3"/>
  <c r="R163" i="3"/>
  <c r="S162" i="3"/>
  <c r="R162" i="3"/>
  <c r="S161" i="3"/>
  <c r="R161" i="3"/>
  <c r="S160" i="3"/>
  <c r="R160" i="3"/>
  <c r="S159" i="3"/>
  <c r="R159" i="3"/>
  <c r="S158" i="3"/>
  <c r="R158" i="3"/>
  <c r="S157" i="3"/>
  <c r="R157" i="3"/>
  <c r="S156" i="3"/>
  <c r="R156" i="3"/>
  <c r="S155" i="3"/>
  <c r="R155" i="3"/>
  <c r="S154" i="3"/>
  <c r="R154" i="3"/>
  <c r="S153" i="3"/>
  <c r="R153" i="3"/>
  <c r="S152" i="3"/>
  <c r="R152" i="3"/>
  <c r="S151" i="3"/>
  <c r="R151" i="3"/>
  <c r="S150" i="3"/>
  <c r="R150" i="3"/>
  <c r="S149" i="3"/>
  <c r="R149" i="3"/>
  <c r="S148" i="3"/>
  <c r="R148" i="3"/>
  <c r="S147" i="3"/>
  <c r="R147" i="3"/>
  <c r="S146" i="3"/>
  <c r="R146" i="3"/>
  <c r="S145" i="3"/>
  <c r="R145" i="3"/>
  <c r="S144" i="3"/>
  <c r="R144" i="3"/>
  <c r="S143" i="3"/>
  <c r="R143" i="3"/>
  <c r="S142" i="3"/>
  <c r="R142" i="3"/>
  <c r="S141" i="3"/>
  <c r="R141" i="3"/>
  <c r="S140" i="3"/>
  <c r="R140" i="3"/>
  <c r="S139" i="3"/>
  <c r="R139" i="3"/>
  <c r="S138" i="3"/>
  <c r="R138" i="3"/>
  <c r="S137" i="3"/>
  <c r="R137" i="3"/>
  <c r="S136" i="3"/>
  <c r="R136" i="3"/>
  <c r="S135" i="3"/>
  <c r="R135" i="3"/>
  <c r="S134" i="3"/>
  <c r="R134" i="3"/>
  <c r="S133" i="3"/>
  <c r="R133" i="3"/>
  <c r="S132" i="3"/>
  <c r="R132" i="3"/>
  <c r="S131" i="3"/>
  <c r="R131" i="3"/>
  <c r="S130" i="3"/>
  <c r="R130" i="3"/>
  <c r="S129" i="3"/>
  <c r="R129" i="3"/>
  <c r="S128" i="3"/>
  <c r="R128" i="3"/>
  <c r="S127" i="3"/>
  <c r="R127" i="3"/>
  <c r="S126" i="3"/>
  <c r="R126" i="3"/>
  <c r="S125" i="3"/>
  <c r="R125" i="3"/>
  <c r="S124" i="3"/>
  <c r="R124" i="3"/>
  <c r="S123" i="3"/>
  <c r="R123" i="3"/>
  <c r="S122" i="3"/>
  <c r="R122" i="3"/>
  <c r="S121" i="3"/>
  <c r="R121" i="3"/>
  <c r="S120" i="3"/>
  <c r="R120" i="3"/>
  <c r="S119" i="3"/>
  <c r="R119" i="3"/>
  <c r="S118" i="3"/>
  <c r="R118" i="3"/>
  <c r="S117" i="3"/>
  <c r="R117" i="3"/>
  <c r="S116" i="3"/>
  <c r="R116" i="3"/>
  <c r="S115" i="3"/>
  <c r="R115" i="3"/>
  <c r="S114" i="3"/>
  <c r="R114" i="3"/>
  <c r="S113" i="3"/>
  <c r="R113" i="3"/>
  <c r="S112" i="3"/>
  <c r="R112" i="3"/>
  <c r="S111" i="3"/>
  <c r="R111" i="3"/>
  <c r="S110" i="3"/>
  <c r="R110" i="3"/>
  <c r="S109" i="3"/>
  <c r="R109" i="3"/>
  <c r="S108" i="3"/>
  <c r="R108" i="3"/>
  <c r="S107" i="3"/>
  <c r="R107" i="3"/>
  <c r="S106" i="3"/>
  <c r="R106" i="3"/>
  <c r="S105" i="3"/>
  <c r="R105" i="3"/>
  <c r="S104" i="3"/>
  <c r="R104" i="3"/>
  <c r="S103" i="3"/>
  <c r="R103" i="3"/>
  <c r="S102" i="3"/>
  <c r="R102" i="3"/>
  <c r="S101" i="3"/>
  <c r="R101" i="3"/>
  <c r="S100" i="3"/>
  <c r="R100" i="3"/>
  <c r="S99" i="3"/>
  <c r="R99" i="3"/>
  <c r="S98" i="3"/>
  <c r="R98" i="3"/>
  <c r="S97" i="3"/>
  <c r="R97" i="3"/>
  <c r="S96" i="3"/>
  <c r="R96" i="3"/>
  <c r="S95" i="3"/>
  <c r="R95" i="3"/>
  <c r="S94" i="3"/>
  <c r="R94" i="3"/>
  <c r="S93" i="3"/>
  <c r="R93" i="3"/>
  <c r="S92" i="3"/>
  <c r="R92" i="3"/>
  <c r="S91" i="3"/>
  <c r="R91" i="3"/>
  <c r="S90" i="3"/>
  <c r="R90" i="3"/>
  <c r="S89" i="3"/>
  <c r="R89" i="3"/>
  <c r="S88" i="3"/>
  <c r="R88" i="3"/>
  <c r="S87" i="3"/>
  <c r="R87" i="3"/>
  <c r="S86" i="3"/>
  <c r="R86" i="3"/>
  <c r="S85" i="3"/>
  <c r="R85" i="3"/>
  <c r="S84" i="3"/>
  <c r="R84" i="3"/>
  <c r="S83" i="3"/>
  <c r="R83" i="3"/>
  <c r="S82" i="3"/>
  <c r="R82" i="3"/>
  <c r="S81" i="3"/>
  <c r="R81" i="3"/>
  <c r="S80" i="3"/>
  <c r="R80" i="3"/>
  <c r="S79" i="3"/>
  <c r="R79" i="3"/>
  <c r="S78" i="3"/>
  <c r="R78" i="3"/>
  <c r="S77" i="3"/>
  <c r="R77" i="3"/>
  <c r="S76" i="3"/>
  <c r="R76" i="3"/>
  <c r="S75" i="3"/>
  <c r="R75" i="3"/>
  <c r="S74" i="3"/>
  <c r="R74" i="3"/>
  <c r="S73" i="3"/>
  <c r="R73" i="3"/>
  <c r="S72" i="3"/>
  <c r="R72" i="3"/>
  <c r="S71" i="3"/>
  <c r="R71" i="3"/>
  <c r="S70" i="3"/>
  <c r="R70" i="3"/>
  <c r="S69" i="3"/>
  <c r="R69" i="3"/>
  <c r="S68" i="3"/>
  <c r="R68" i="3"/>
  <c r="S67" i="3"/>
  <c r="R67" i="3"/>
  <c r="S66" i="3"/>
  <c r="R66" i="3"/>
  <c r="S65" i="3"/>
  <c r="R65" i="3"/>
  <c r="S64" i="3"/>
  <c r="R64" i="3"/>
  <c r="S63" i="3"/>
  <c r="R63" i="3"/>
  <c r="S62" i="3"/>
  <c r="R62" i="3"/>
  <c r="S61" i="3"/>
  <c r="R61" i="3"/>
  <c r="S60" i="3"/>
  <c r="R60" i="3"/>
  <c r="S59" i="3"/>
  <c r="R59" i="3"/>
  <c r="S58" i="3"/>
  <c r="R58" i="3"/>
  <c r="S57" i="3"/>
  <c r="R57" i="3"/>
  <c r="S56" i="3"/>
  <c r="R56" i="3"/>
  <c r="S55" i="3"/>
  <c r="R55" i="3"/>
  <c r="S54" i="3"/>
  <c r="R54" i="3"/>
  <c r="S53" i="3"/>
  <c r="R53" i="3"/>
  <c r="S52" i="3"/>
  <c r="R52" i="3"/>
  <c r="S51" i="3"/>
  <c r="R51" i="3"/>
  <c r="S50" i="3"/>
  <c r="R50" i="3"/>
  <c r="S49" i="3"/>
  <c r="R49" i="3"/>
  <c r="S48" i="3"/>
  <c r="R48" i="3"/>
  <c r="S47" i="3"/>
  <c r="R47" i="3"/>
  <c r="S46" i="3"/>
  <c r="R46" i="3"/>
  <c r="S45" i="3"/>
  <c r="R45" i="3"/>
  <c r="S44" i="3"/>
  <c r="R44" i="3"/>
  <c r="S43" i="3"/>
  <c r="R43" i="3"/>
  <c r="S42" i="3"/>
  <c r="R42" i="3"/>
  <c r="S41" i="3"/>
  <c r="R41" i="3"/>
  <c r="S40" i="3"/>
  <c r="R40" i="3"/>
  <c r="S39" i="3"/>
  <c r="R39" i="3"/>
  <c r="S38" i="3"/>
  <c r="R38" i="3"/>
  <c r="S37" i="3"/>
  <c r="R37" i="3"/>
  <c r="S36" i="3"/>
  <c r="R36" i="3"/>
  <c r="S35" i="3"/>
  <c r="R35" i="3"/>
  <c r="S34" i="3"/>
  <c r="R34" i="3"/>
  <c r="S33" i="3"/>
  <c r="R33" i="3"/>
  <c r="S32" i="3"/>
  <c r="R32" i="3"/>
  <c r="S31" i="3"/>
  <c r="R31" i="3"/>
  <c r="S30" i="3"/>
  <c r="R30" i="3"/>
  <c r="S29" i="3"/>
  <c r="R29" i="3"/>
  <c r="S28" i="3"/>
  <c r="R28" i="3"/>
  <c r="S27" i="3"/>
  <c r="R27" i="3"/>
  <c r="S26" i="3"/>
  <c r="R26" i="3"/>
  <c r="S25" i="3"/>
  <c r="R25" i="3"/>
  <c r="S24" i="3"/>
  <c r="R24" i="3"/>
  <c r="S23" i="3"/>
  <c r="R23" i="3"/>
  <c r="S22" i="3"/>
  <c r="R22" i="3"/>
  <c r="S21" i="3"/>
  <c r="R21" i="3"/>
  <c r="S20" i="3"/>
  <c r="R20" i="3"/>
  <c r="S19" i="3"/>
  <c r="R19" i="3"/>
  <c r="S18" i="3"/>
  <c r="R18" i="3"/>
  <c r="S17" i="3"/>
  <c r="R17" i="3"/>
  <c r="S16" i="3"/>
  <c r="R16" i="3"/>
  <c r="S15" i="3"/>
  <c r="R15" i="3"/>
  <c r="S14" i="3"/>
  <c r="R14" i="3"/>
  <c r="S13" i="3"/>
  <c r="R13" i="3"/>
  <c r="S12" i="3"/>
  <c r="R12" i="3"/>
  <c r="S11" i="3"/>
  <c r="R11" i="3"/>
  <c r="S10" i="3"/>
  <c r="R10" i="3"/>
  <c r="S9" i="3"/>
  <c r="R9" i="3"/>
  <c r="S8" i="3"/>
  <c r="R8" i="3"/>
  <c r="S7" i="3"/>
  <c r="R7" i="3"/>
  <c r="S6" i="3"/>
  <c r="R6" i="3"/>
  <c r="S5" i="3"/>
  <c r="R5" i="3"/>
  <c r="N639" i="3"/>
  <c r="K639" i="1"/>
  <c r="L639" i="1"/>
  <c r="J639" i="3"/>
  <c r="K639" i="4" l="1"/>
  <c r="K621" i="3"/>
  <c r="K546" i="3"/>
  <c r="K242" i="3"/>
  <c r="K171" i="3"/>
  <c r="K163" i="3"/>
  <c r="K162" i="3"/>
  <c r="K135" i="3"/>
  <c r="K107" i="3"/>
  <c r="K80" i="3"/>
  <c r="K29" i="3"/>
  <c r="K569" i="3"/>
  <c r="K152" i="3"/>
</calcChain>
</file>

<file path=xl/sharedStrings.xml><?xml version="1.0" encoding="utf-8"?>
<sst xmlns="http://schemas.openxmlformats.org/spreadsheetml/2006/main" count="34530" uniqueCount="1789">
  <si>
    <t>SALES SUMMARY BY DOCUMENT NUMBER</t>
  </si>
  <si>
    <t>Period Covered: June 1, 2026 - June 30, 2026</t>
  </si>
  <si>
    <t>Document No</t>
  </si>
  <si>
    <t>Date</t>
  </si>
  <si>
    <t>Terms</t>
  </si>
  <si>
    <t>Days</t>
  </si>
  <si>
    <t>Due Date</t>
  </si>
  <si>
    <t>Agent</t>
  </si>
  <si>
    <t>Customer Name</t>
  </si>
  <si>
    <t>SO/DR/SI</t>
  </si>
  <si>
    <t>Gross Amount</t>
  </si>
  <si>
    <t>Discount</t>
  </si>
  <si>
    <t>Charges</t>
  </si>
  <si>
    <t>Net Amount</t>
  </si>
  <si>
    <t>VAT</t>
  </si>
  <si>
    <t>Net of VAT</t>
  </si>
  <si>
    <t>SI#14528</t>
  </si>
  <si>
    <t>06/01/2026</t>
  </si>
  <si>
    <t>CASH-IBD-BD</t>
  </si>
  <si>
    <t>NORMA L. CHAN/MILES PANGAN</t>
  </si>
  <si>
    <t>GOLDREEL HARDWARE TRADING</t>
  </si>
  <si>
    <t>012603 / 14395</t>
  </si>
  <si>
    <t>SI#14529</t>
  </si>
  <si>
    <t>30 DAYS PDC-BP</t>
  </si>
  <si>
    <t>07/01/2026</t>
  </si>
  <si>
    <t>CARMEN RAMORES</t>
  </si>
  <si>
    <t>NEW VANDAMME OIL MILL CORP</t>
  </si>
  <si>
    <t>012936 / 14397</t>
  </si>
  <si>
    <t>SI#14530</t>
  </si>
  <si>
    <t>DC-AP</t>
  </si>
  <si>
    <t>ERNESTO CHUA</t>
  </si>
  <si>
    <t>P &amp; H MERCHANDISING CORPORATION</t>
  </si>
  <si>
    <t>012940 / 14398</t>
  </si>
  <si>
    <t>SI#14531</t>
  </si>
  <si>
    <t>60 DAYS PDC-BP</t>
  </si>
  <si>
    <t>07/31/2026</t>
  </si>
  <si>
    <t>LORETA POMAREJOS</t>
  </si>
  <si>
    <t>PAMCORE STEEL CORP.</t>
  </si>
  <si>
    <t>012915 / 14409</t>
  </si>
  <si>
    <t>SI#14532</t>
  </si>
  <si>
    <t>TKL STEEL CORPORATION</t>
  </si>
  <si>
    <t>012930 / 14407</t>
  </si>
  <si>
    <t>SI#14533</t>
  </si>
  <si>
    <t>012899 / 14408</t>
  </si>
  <si>
    <t>SI#14534</t>
  </si>
  <si>
    <t>DC-BP w/ CC</t>
  </si>
  <si>
    <t>PETY I. ENGUERO</t>
  </si>
  <si>
    <t>INTEGRATED CONTRACTOR &amp; PLUMBING WORKS INC</t>
  </si>
  <si>
    <t>012589 / 14411</t>
  </si>
  <si>
    <t>SI#14535</t>
  </si>
  <si>
    <t>NORMA L. CHAN/BING RAMORES</t>
  </si>
  <si>
    <t>MONUMENTAL STEEL TRADING CORPORATION</t>
  </si>
  <si>
    <t>011278 / 14410</t>
  </si>
  <si>
    <t>SI#14536</t>
  </si>
  <si>
    <t>90 DAYS PDC-BD</t>
  </si>
  <si>
    <t>08/30/2026</t>
  </si>
  <si>
    <t>JULIET HUI-SY</t>
  </si>
  <si>
    <t>R. R. ENCABO CONSTRUCTORS INCORPORATED</t>
  </si>
  <si>
    <t>012916 / 14412</t>
  </si>
  <si>
    <t>SI#14537</t>
  </si>
  <si>
    <t>CASH-IBD-BP</t>
  </si>
  <si>
    <t>R.A.R. DE LEON BUILDERS</t>
  </si>
  <si>
    <t>012954 / 14406</t>
  </si>
  <si>
    <t>SI#14538</t>
  </si>
  <si>
    <t>30 DAYS PDC-BD</t>
  </si>
  <si>
    <t>819 HABITAT BUILDERS INC.</t>
  </si>
  <si>
    <t>012917 / 14405</t>
  </si>
  <si>
    <t>SI#14539</t>
  </si>
  <si>
    <t>60 DAYS PDC-AD</t>
  </si>
  <si>
    <t>KENNETH CHAN</t>
  </si>
  <si>
    <t>TOKWING CONSTRUCTION  CORP.</t>
  </si>
  <si>
    <t>012890 / 14404</t>
  </si>
  <si>
    <t>SI#14540</t>
  </si>
  <si>
    <t>30 DAYS PDC-AD</t>
  </si>
  <si>
    <t>PROPERTY COMPANY OF FRIENDS, INC.</t>
  </si>
  <si>
    <t>012552 / 14403</t>
  </si>
  <si>
    <t>SI#14541</t>
  </si>
  <si>
    <t>012910 / 14402</t>
  </si>
  <si>
    <t>SI#14542</t>
  </si>
  <si>
    <t>30 DAYS DC-DD</t>
  </si>
  <si>
    <t>STEEL ASIA MANUFACTURING CORP.</t>
  </si>
  <si>
    <t>011934 / 14401</t>
  </si>
  <si>
    <t>SI#14543</t>
  </si>
  <si>
    <t>012879 / 14400</t>
  </si>
  <si>
    <t>SI#14544</t>
  </si>
  <si>
    <t>TWINBAR METAL INDUSTRIES INC.</t>
  </si>
  <si>
    <t>012895 / 14399</t>
  </si>
  <si>
    <t>SI#14545</t>
  </si>
  <si>
    <t>012891 / 14396</t>
  </si>
  <si>
    <t>SI#14546</t>
  </si>
  <si>
    <t>JOSEFA SLIPWAYS, INC.</t>
  </si>
  <si>
    <t>012342 / 14394</t>
  </si>
  <si>
    <t>SI#14547</t>
  </si>
  <si>
    <t>06/02/2026</t>
  </si>
  <si>
    <t>CASH-IBD-AD</t>
  </si>
  <si>
    <t>ROYU SYSTEMS, INC.</t>
  </si>
  <si>
    <t>012154 / 14413</t>
  </si>
  <si>
    <t>SI#14548</t>
  </si>
  <si>
    <t>DC-UD</t>
  </si>
  <si>
    <t>AMREY CASKET MANUFACTURING INC.</t>
  </si>
  <si>
    <t>012950 / 14414</t>
  </si>
  <si>
    <t>SI#14549</t>
  </si>
  <si>
    <t>012956 / 14415</t>
  </si>
  <si>
    <t>SI#14550</t>
  </si>
  <si>
    <t>DC-AD</t>
  </si>
  <si>
    <t>FERDIE HUI</t>
  </si>
  <si>
    <t>MAJESTY LUMBER &amp; CONSTRUCTION  SUPPLY INC.</t>
  </si>
  <si>
    <t>012754 / 14416</t>
  </si>
  <si>
    <t>SI#14551</t>
  </si>
  <si>
    <t>012944 / 14417</t>
  </si>
  <si>
    <t>SI#14552</t>
  </si>
  <si>
    <t>RAMCO HARDWARE &amp; CONSTRUCTION SUPPLY</t>
  </si>
  <si>
    <t>012967 / 14418</t>
  </si>
  <si>
    <t>SI#14553</t>
  </si>
  <si>
    <t>DADDS FISHING CORPORATION</t>
  </si>
  <si>
    <t>012977 / 14420</t>
  </si>
  <si>
    <t>SI#14554</t>
  </si>
  <si>
    <t>120 DAYS PDC-BD</t>
  </si>
  <si>
    <t>09/30/2026</t>
  </si>
  <si>
    <t>AMAYA DOCKYARD &amp; MARINE SERVICES INC.</t>
  </si>
  <si>
    <t>012673 / 14421</t>
  </si>
  <si>
    <t>SI#14555</t>
  </si>
  <si>
    <t>012868 / 14422</t>
  </si>
  <si>
    <t>SI#14556</t>
  </si>
  <si>
    <t>012838 / 14423</t>
  </si>
  <si>
    <t>SI#14557</t>
  </si>
  <si>
    <t>EEI CORPORATION</t>
  </si>
  <si>
    <t>012809 / 14428</t>
  </si>
  <si>
    <t>SI#14558</t>
  </si>
  <si>
    <t>EQUIBUILD ENTERPRISES</t>
  </si>
  <si>
    <t>012928 / 14432</t>
  </si>
  <si>
    <t>SI#14559</t>
  </si>
  <si>
    <t>DC-BP w/o CC</t>
  </si>
  <si>
    <t>GOODSPEED INDUSTRIAL SALES INC.</t>
  </si>
  <si>
    <t>012989 / 14434</t>
  </si>
  <si>
    <t>SI#14560</t>
  </si>
  <si>
    <t>08/01/2026</t>
  </si>
  <si>
    <t>013003 / 14437</t>
  </si>
  <si>
    <t>SI#14561</t>
  </si>
  <si>
    <t>HYACINTH YVETTE L. CHAN</t>
  </si>
  <si>
    <t>PETER BENA CONSTRUCTION AND DEVELOPMENT CORPORATION</t>
  </si>
  <si>
    <t>012999 / 14439</t>
  </si>
  <si>
    <t>SI#14562</t>
  </si>
  <si>
    <t>J.F.M.B CONSTRUCTION MATERIALS TRADING</t>
  </si>
  <si>
    <t>012998 / 14442</t>
  </si>
  <si>
    <t>SI#14563</t>
  </si>
  <si>
    <t>90 DAYS PDC-AD</t>
  </si>
  <si>
    <t>08/31/2026</t>
  </si>
  <si>
    <t>ACR-ACE MARKETING CORP.</t>
  </si>
  <si>
    <t>012926 / 14419</t>
  </si>
  <si>
    <t>SI#14564</t>
  </si>
  <si>
    <t>60 DAYS PDC-AP</t>
  </si>
  <si>
    <t>MIDTOWN INDUSTRIAL SALES, INC.</t>
  </si>
  <si>
    <t>012952 / 14424</t>
  </si>
  <si>
    <t>SI#14565</t>
  </si>
  <si>
    <t>V.H.P.A. CORPORATION</t>
  </si>
  <si>
    <t>012972 / 14425</t>
  </si>
  <si>
    <t>SI#14566</t>
  </si>
  <si>
    <t>012807 / 14426</t>
  </si>
  <si>
    <t>SI#14567</t>
  </si>
  <si>
    <t>012914 / 14427</t>
  </si>
  <si>
    <t>SI#14568</t>
  </si>
  <si>
    <t>90 DAYS PDC-AP</t>
  </si>
  <si>
    <t>TERENCE L. CHAN</t>
  </si>
  <si>
    <t>ASTRON METAL WORKS CORP.</t>
  </si>
  <si>
    <t>012924 / 14429</t>
  </si>
  <si>
    <t>SI#14569</t>
  </si>
  <si>
    <t>90 DAYS PDC-BP</t>
  </si>
  <si>
    <t>MASAYOSHI CORPORATION</t>
  </si>
  <si>
    <t>012965 / 14430</t>
  </si>
  <si>
    <t>SI#14570</t>
  </si>
  <si>
    <t>012965 / 14431</t>
  </si>
  <si>
    <t>SI#14571</t>
  </si>
  <si>
    <t>DE JESUS STEEL SALES CO., LTD.</t>
  </si>
  <si>
    <t>012988 / 14433</t>
  </si>
  <si>
    <t>SI#14572</t>
  </si>
  <si>
    <t>60 DAYS PDC-UD</t>
  </si>
  <si>
    <t>W.T.O. STEEL TRADING</t>
  </si>
  <si>
    <t>012909 / 14435</t>
  </si>
  <si>
    <t>SI#14573</t>
  </si>
  <si>
    <t>AMELITA PANGAN</t>
  </si>
  <si>
    <t>SEMPERFICON CORP.</t>
  </si>
  <si>
    <t>012811 / 14438</t>
  </si>
  <si>
    <t>SI#14574</t>
  </si>
  <si>
    <t>JCCF CONSTRUCTION SUPPLIES</t>
  </si>
  <si>
    <t>012983 / 14436</t>
  </si>
  <si>
    <t>SI#14575</t>
  </si>
  <si>
    <t>DC TIBURCIO BUILDERS INC</t>
  </si>
  <si>
    <t>012854 / 14440</t>
  </si>
  <si>
    <t>SI#14576</t>
  </si>
  <si>
    <t>MC STEEL MERCHANDISING INC.</t>
  </si>
  <si>
    <t>012996 / 14441</t>
  </si>
  <si>
    <t>SI#14577</t>
  </si>
  <si>
    <t>LORDFEL MARINE &amp; HARDWARE CORP.</t>
  </si>
  <si>
    <t>012975 / 14443</t>
  </si>
  <si>
    <t>SI#14578</t>
  </si>
  <si>
    <t>AL-ONE STEEL ENTERPRISES INC.</t>
  </si>
  <si>
    <t>012986 / 14444</t>
  </si>
  <si>
    <t>SI#14579</t>
  </si>
  <si>
    <t>06/03/2026</t>
  </si>
  <si>
    <t>08/02/2026</t>
  </si>
  <si>
    <t>LONG ISLAND ENTERPRISES</t>
  </si>
  <si>
    <t>013017 / 14448</t>
  </si>
  <si>
    <t>SI#14580</t>
  </si>
  <si>
    <t>DE GUZMAN, MA. BELEN R. (F)</t>
  </si>
  <si>
    <t>GJ WINARC INDUSTRIAL TRADING CORP.</t>
  </si>
  <si>
    <t>013020 / 14452</t>
  </si>
  <si>
    <t>SI#14581</t>
  </si>
  <si>
    <t>VIBROMIX CONSTRUCTION TRADING &amp; SUPPLY I</t>
  </si>
  <si>
    <t>013018 / 14454</t>
  </si>
  <si>
    <t>SI#14582</t>
  </si>
  <si>
    <t>GLJ CONSTRUCTION</t>
  </si>
  <si>
    <t>012937 / 14453</t>
  </si>
  <si>
    <t>SI#14583</t>
  </si>
  <si>
    <t>012938 / 14455</t>
  </si>
  <si>
    <t>SI#14584</t>
  </si>
  <si>
    <t>012939 / 14456</t>
  </si>
  <si>
    <t>SI#14585</t>
  </si>
  <si>
    <t>WINMIL INDUSTRIAL SALES CORP.</t>
  </si>
  <si>
    <t>013008 / 14449</t>
  </si>
  <si>
    <t>SI#14586</t>
  </si>
  <si>
    <t>013015 / 14460</t>
  </si>
  <si>
    <t>SI#14587</t>
  </si>
  <si>
    <t>07/03/2026</t>
  </si>
  <si>
    <t>MEGACOOL AIR SYSTEMS CORP.</t>
  </si>
  <si>
    <t>012478 / 14472</t>
  </si>
  <si>
    <t>SI#14588</t>
  </si>
  <si>
    <t>012783 / 14470</t>
  </si>
  <si>
    <t>SI#14589</t>
  </si>
  <si>
    <t>012922 / 14471</t>
  </si>
  <si>
    <t>SI#14590</t>
  </si>
  <si>
    <t>012890 / 14473</t>
  </si>
  <si>
    <t>SI#14591</t>
  </si>
  <si>
    <t>09/01/2026</t>
  </si>
  <si>
    <t>MERIDIAN SHIPPING &amp; CONTAINER CARRIER, INC.</t>
  </si>
  <si>
    <t>013019 / 14469</t>
  </si>
  <si>
    <t>SI#14592</t>
  </si>
  <si>
    <t>60 DAYS PDC AD</t>
  </si>
  <si>
    <t>PROTECTION TECHNOLOGY INC.</t>
  </si>
  <si>
    <t>012984 / 14468</t>
  </si>
  <si>
    <t>SI#14593</t>
  </si>
  <si>
    <t>012966 / 14467</t>
  </si>
  <si>
    <t>SI#14594</t>
  </si>
  <si>
    <t>30 DAYS PDC-AP</t>
  </si>
  <si>
    <t>GOLDWYN CONTRACTOR &amp; ALLIED SERVICES COR</t>
  </si>
  <si>
    <t>012976 / 14466</t>
  </si>
  <si>
    <t>SI#14595</t>
  </si>
  <si>
    <t>ROBERTS AUTOMOTIVE &amp; INDL PARTS MFG. CORP</t>
  </si>
  <si>
    <t>012945 / 14465</t>
  </si>
  <si>
    <t>SI#14596</t>
  </si>
  <si>
    <t>5 R'S CONSTRUCTION CORPORATION</t>
  </si>
  <si>
    <t>012961 / 14464</t>
  </si>
  <si>
    <t>SI#14597</t>
  </si>
  <si>
    <t>EGB CONSTRUCTION CORPORATION/SANRAY METRO BUILDERS CORP-JV</t>
  </si>
  <si>
    <t>012866 / 14463</t>
  </si>
  <si>
    <t>SI#14598</t>
  </si>
  <si>
    <t>012865 / 14462</t>
  </si>
  <si>
    <t>SI#14599</t>
  </si>
  <si>
    <t>012864 / 14461</t>
  </si>
  <si>
    <t>SI#14600</t>
  </si>
  <si>
    <t>012863 / 14459</t>
  </si>
  <si>
    <t>SI#14601</t>
  </si>
  <si>
    <t>012863 / 14458</t>
  </si>
  <si>
    <t>SI#14602</t>
  </si>
  <si>
    <t>SUNRISERS SALES CORPORATION</t>
  </si>
  <si>
    <t>013005 / 14457</t>
  </si>
  <si>
    <t>SI#14603</t>
  </si>
  <si>
    <t>BORLAND DEVELOPMENT CORPORATION</t>
  </si>
  <si>
    <t>012179 / 14450</t>
  </si>
  <si>
    <t>SI#14604</t>
  </si>
  <si>
    <t>ANNIE R. BANSIL</t>
  </si>
  <si>
    <t>PIONEER FLOAT GLASS MANUFACTURING INC.</t>
  </si>
  <si>
    <t>012968 / 14451</t>
  </si>
  <si>
    <t>SI#14605</t>
  </si>
  <si>
    <t>JHDJ ENTERPRISES</t>
  </si>
  <si>
    <t>012623 / 14447</t>
  </si>
  <si>
    <t>SI#14606</t>
  </si>
  <si>
    <t>ASIAN SHIPPING CORPORATION</t>
  </si>
  <si>
    <t>011686 / 14446</t>
  </si>
  <si>
    <t>SI#14607</t>
  </si>
  <si>
    <t>012979 / 14445</t>
  </si>
  <si>
    <t>SI#14608</t>
  </si>
  <si>
    <t>06/04/2026</t>
  </si>
  <si>
    <t>STEAMACH INDUSTRIAL CORP.</t>
  </si>
  <si>
    <t>012943 / 14474</t>
  </si>
  <si>
    <t>SI#14609</t>
  </si>
  <si>
    <t>08/03/2026</t>
  </si>
  <si>
    <t>GREAT DURA STEEL FABRICATORS INC.</t>
  </si>
  <si>
    <t>013006 / 14478</t>
  </si>
  <si>
    <t>SI#14610</t>
  </si>
  <si>
    <t>09/02/2026</t>
  </si>
  <si>
    <t>013022 / 14479</t>
  </si>
  <si>
    <t>SI#14611</t>
  </si>
  <si>
    <t>1HB CONSTRUCTION CORP.</t>
  </si>
  <si>
    <t>013001 / 14483</t>
  </si>
  <si>
    <t>SI#14612</t>
  </si>
  <si>
    <t>07/04/2026</t>
  </si>
  <si>
    <t>DRAGON METAL INDUSTRIES OPC</t>
  </si>
  <si>
    <t>013038 / 14485</t>
  </si>
  <si>
    <t>SI#14613</t>
  </si>
  <si>
    <t>SKYLINE ENGINEERING</t>
  </si>
  <si>
    <t>013046 / 14490</t>
  </si>
  <si>
    <t>SI#14614</t>
  </si>
  <si>
    <t>NCR CONSTRUCTION SUPPLY, INC.</t>
  </si>
  <si>
    <t>012932 / 14489</t>
  </si>
  <si>
    <t>SI#14615</t>
  </si>
  <si>
    <t>012932 / 14488</t>
  </si>
  <si>
    <t>SI#14616</t>
  </si>
  <si>
    <t>013047 / 14487</t>
  </si>
  <si>
    <t>SI#14617</t>
  </si>
  <si>
    <t>012884 / 14486</t>
  </si>
  <si>
    <t>SI#14618</t>
  </si>
  <si>
    <t>IMELDA LUSTINA</t>
  </si>
  <si>
    <t>SOUTHERN METAL AND INDUSTRIAL SALES CORP</t>
  </si>
  <si>
    <t>013034 / 14484</t>
  </si>
  <si>
    <t>SI#14619</t>
  </si>
  <si>
    <t>NEW ANC CORP.</t>
  </si>
  <si>
    <t>012997 / 14477</t>
  </si>
  <si>
    <t>SI#14620</t>
  </si>
  <si>
    <t>GRUMPY JOE OPC</t>
  </si>
  <si>
    <t>012080 / 14482</t>
  </si>
  <si>
    <t>SI#14621</t>
  </si>
  <si>
    <t>011172 / 14481</t>
  </si>
  <si>
    <t>SI#14622</t>
  </si>
  <si>
    <t>012549 / 14480</t>
  </si>
  <si>
    <t>SI#14623</t>
  </si>
  <si>
    <t>ANTATICO, KIM HILBERT DORADO</t>
  </si>
  <si>
    <t>012707 / 14476</t>
  </si>
  <si>
    <t>SI#14624</t>
  </si>
  <si>
    <t>JOSE MARI PILAPIL</t>
  </si>
  <si>
    <t>ELEMENT INDUSTRIAL BUILDERS INC.</t>
  </si>
  <si>
    <t>013016 / 14493</t>
  </si>
  <si>
    <t>SI#14625</t>
  </si>
  <si>
    <t>STRICTLY 30D DC-DD</t>
  </si>
  <si>
    <t>NARRA TANKER CORPORATION</t>
  </si>
  <si>
    <t>011992 / 14296</t>
  </si>
  <si>
    <t>SI#14626</t>
  </si>
  <si>
    <t>SMC SHIPPING AND LIGHTERAGE CORPORATION</t>
  </si>
  <si>
    <t>012775 / 14295</t>
  </si>
  <si>
    <t>SI#14627</t>
  </si>
  <si>
    <t>SL MARIVELES DRYDOCKING &amp; SHIPYARD CORPORATION</t>
  </si>
  <si>
    <t>012805 / 14279</t>
  </si>
  <si>
    <t>SI#14628</t>
  </si>
  <si>
    <t>012799 / 14278</t>
  </si>
  <si>
    <t>SI#14629</t>
  </si>
  <si>
    <t>QUIBOQUIBO, PAT NORSON OTANES</t>
  </si>
  <si>
    <t>012889 / 14475</t>
  </si>
  <si>
    <t>SI#14630</t>
  </si>
  <si>
    <t>011306 / 14491</t>
  </si>
  <si>
    <t>SI#14631</t>
  </si>
  <si>
    <t>011938 / 14492</t>
  </si>
  <si>
    <t>SI#14632</t>
  </si>
  <si>
    <t>AMPARO METAL &amp; CONST. SUPPLY</t>
  </si>
  <si>
    <t>012980 / 14494</t>
  </si>
  <si>
    <t>SI#14633</t>
  </si>
  <si>
    <t>CREDIBUILD DEVELOPMENT CORP.</t>
  </si>
  <si>
    <t>012472 / 14495</t>
  </si>
  <si>
    <t>SI#14634</t>
  </si>
  <si>
    <t>012474 / 14496</t>
  </si>
  <si>
    <t>SI#14635</t>
  </si>
  <si>
    <t>012745 / 14497</t>
  </si>
  <si>
    <t>SI#14636</t>
  </si>
  <si>
    <t>012948 / 14498</t>
  </si>
  <si>
    <t>SI#14637</t>
  </si>
  <si>
    <t>013032 / 14500</t>
  </si>
  <si>
    <t>SI#14638</t>
  </si>
  <si>
    <t>012948 / 14499</t>
  </si>
  <si>
    <t>SI#14639</t>
  </si>
  <si>
    <t>06/05/2026</t>
  </si>
  <si>
    <t>30 DAYS PDC-UD</t>
  </si>
  <si>
    <t>07/05/2026</t>
  </si>
  <si>
    <t>LUCKY 888 AUTOWORKS INC</t>
  </si>
  <si>
    <t>012995 /</t>
  </si>
  <si>
    <t>SI#14640</t>
  </si>
  <si>
    <t>012993 / 14503</t>
  </si>
  <si>
    <t>SI#14641</t>
  </si>
  <si>
    <t>08/04/2026</t>
  </si>
  <si>
    <t>013043 / 14505</t>
  </si>
  <si>
    <t>SI#14642</t>
  </si>
  <si>
    <t>012958 / 14510</t>
  </si>
  <si>
    <t>SI#14643</t>
  </si>
  <si>
    <t>013026 / 14511</t>
  </si>
  <si>
    <t>SI#14644</t>
  </si>
  <si>
    <t>09/03/2026</t>
  </si>
  <si>
    <t>LEC STEEL MANUFACTURING</t>
  </si>
  <si>
    <t>012923 / 14517</t>
  </si>
  <si>
    <t>SI#14645</t>
  </si>
  <si>
    <t>013044 / 14516</t>
  </si>
  <si>
    <t>SI#14646</t>
  </si>
  <si>
    <t>11 FTC ENTERPRISES INC</t>
  </si>
  <si>
    <t>013035 / 14515</t>
  </si>
  <si>
    <t>SI#14647</t>
  </si>
  <si>
    <t>ARTY FERROCAST INC.</t>
  </si>
  <si>
    <t>013027 / 14520</t>
  </si>
  <si>
    <t>SI#14648</t>
  </si>
  <si>
    <t>013055 / 14525</t>
  </si>
  <si>
    <t>SI#14649</t>
  </si>
  <si>
    <t>013055 / 14518</t>
  </si>
  <si>
    <t>SI#14650</t>
  </si>
  <si>
    <t>CUBAO METAL SUPPLY CO. INC.</t>
  </si>
  <si>
    <t>013088 / 14523</t>
  </si>
  <si>
    <t>SI#14651</t>
  </si>
  <si>
    <t>013031 / 14521</t>
  </si>
  <si>
    <t>SI#14652</t>
  </si>
  <si>
    <t>012922 / 14522</t>
  </si>
  <si>
    <t>SI#14653</t>
  </si>
  <si>
    <t>A.K.SHA STEEL TRADING</t>
  </si>
  <si>
    <t>013007 / 14512</t>
  </si>
  <si>
    <t>SI#14654</t>
  </si>
  <si>
    <t>ALL TRANSPORT NETWORK INC.</t>
  </si>
  <si>
    <t>013090 / 14531</t>
  </si>
  <si>
    <t>SI#14655</t>
  </si>
  <si>
    <t>ANGEL METASCRAP CONSTRUCTION SUPPLIES WHOLESALING</t>
  </si>
  <si>
    <t>013053 / 14530</t>
  </si>
  <si>
    <t>SI#14656</t>
  </si>
  <si>
    <t>ARLO ALUMINUM CO., INC.</t>
  </si>
  <si>
    <t>012946 / 14529</t>
  </si>
  <si>
    <t>SI#14657</t>
  </si>
  <si>
    <t>013029 / 14528</t>
  </si>
  <si>
    <t>SI#14658</t>
  </si>
  <si>
    <t>HERMA SHIPYARD, INCORPORATED</t>
  </si>
  <si>
    <t>012931 / 14527</t>
  </si>
  <si>
    <t>SI#14659</t>
  </si>
  <si>
    <t>ELIZABETH NGO</t>
  </si>
  <si>
    <t>DRAGON CONSTRUCTION INC.</t>
  </si>
  <si>
    <t>013087 / 14526</t>
  </si>
  <si>
    <t>SI#14660</t>
  </si>
  <si>
    <t>012889 / 14524</t>
  </si>
  <si>
    <t>SI#14661</t>
  </si>
  <si>
    <t>013033 / 14514</t>
  </si>
  <si>
    <t>SI#14662</t>
  </si>
  <si>
    <t>013030 / 14513</t>
  </si>
  <si>
    <t>SI#14663</t>
  </si>
  <si>
    <t>012974 / 14509</t>
  </si>
  <si>
    <t>SI#14664</t>
  </si>
  <si>
    <t>012971 / 14508</t>
  </si>
  <si>
    <t>SI#14665</t>
  </si>
  <si>
    <t>012962 / 14507</t>
  </si>
  <si>
    <t>SI#14666</t>
  </si>
  <si>
    <t>013024 / 14506</t>
  </si>
  <si>
    <t>SI#14667</t>
  </si>
  <si>
    <t>013022 / 14504</t>
  </si>
  <si>
    <t>SI#14668</t>
  </si>
  <si>
    <t>013025 / 14502</t>
  </si>
  <si>
    <t>SI#14669</t>
  </si>
  <si>
    <t>SI#14670</t>
  </si>
  <si>
    <t>012978 / 14501</t>
  </si>
  <si>
    <t>SI#14671</t>
  </si>
  <si>
    <t>06/08/2026</t>
  </si>
  <si>
    <t>SOPHIA GLOBAL TRADING CORPORATION</t>
  </si>
  <si>
    <t>012798 / 14538</t>
  </si>
  <si>
    <t>SI#14672</t>
  </si>
  <si>
    <t>012798 / 14537</t>
  </si>
  <si>
    <t>SI#14673</t>
  </si>
  <si>
    <t>SADIRI, LARRY LACAMBRA</t>
  </si>
  <si>
    <t>013028 / 14543</t>
  </si>
  <si>
    <t>SI#14674</t>
  </si>
  <si>
    <t>PRIMETECH INDUSTRIAL SALES CORP.</t>
  </si>
  <si>
    <t>013040 /</t>
  </si>
  <si>
    <t>SI#14675</t>
  </si>
  <si>
    <t>013108 /</t>
  </si>
  <si>
    <t>SI#14676</t>
  </si>
  <si>
    <t>GRASCO ALLIED METALWORKS SPECIALIST, INC.</t>
  </si>
  <si>
    <t>012045 / 14548</t>
  </si>
  <si>
    <t>SI#14677</t>
  </si>
  <si>
    <t>013105 / 14552</t>
  </si>
  <si>
    <t>SI#14678</t>
  </si>
  <si>
    <t>013084 / 14551</t>
  </si>
  <si>
    <t>SI#14679</t>
  </si>
  <si>
    <t>013103 / 14550</t>
  </si>
  <si>
    <t>SI#14680</t>
  </si>
  <si>
    <t>013115 / 14549</t>
  </si>
  <si>
    <t>SI#14681</t>
  </si>
  <si>
    <t>013012 / 14545</t>
  </si>
  <si>
    <t>SI#14682</t>
  </si>
  <si>
    <t>013110 / 14542</t>
  </si>
  <si>
    <t>SI#14683</t>
  </si>
  <si>
    <t>012438 / 14532</t>
  </si>
  <si>
    <t>SI#14684</t>
  </si>
  <si>
    <t>09/06/2026</t>
  </si>
  <si>
    <t>013094 / 14544</t>
  </si>
  <si>
    <t>SI#14685</t>
  </si>
  <si>
    <t>07/08/2026</t>
  </si>
  <si>
    <t>011436 / 14535</t>
  </si>
  <si>
    <t>SI#14686</t>
  </si>
  <si>
    <t>011017 / 14536</t>
  </si>
  <si>
    <t>SI#14687</t>
  </si>
  <si>
    <t>M.P. REG STRUCTURAL SYSTEM CORPORATION</t>
  </si>
  <si>
    <t>012546 / 14539</t>
  </si>
  <si>
    <t>SI#14688</t>
  </si>
  <si>
    <t>CHI-CHAY METAL PRODUCTS, INC.</t>
  </si>
  <si>
    <t>013081 / 14540</t>
  </si>
  <si>
    <t>SI#14689</t>
  </si>
  <si>
    <t>012948 / 14541</t>
  </si>
  <si>
    <t>SI#14690</t>
  </si>
  <si>
    <t>013091 / 14546</t>
  </si>
  <si>
    <t>SI#14691</t>
  </si>
  <si>
    <t>013064 / 14547</t>
  </si>
  <si>
    <t>SI#14692</t>
  </si>
  <si>
    <t>013059 / 14553</t>
  </si>
  <si>
    <t>SI#14693</t>
  </si>
  <si>
    <t>013095 / 14554</t>
  </si>
  <si>
    <t>SI#14694</t>
  </si>
  <si>
    <t>012237 / 14555</t>
  </si>
  <si>
    <t>SI#14695</t>
  </si>
  <si>
    <t>06/09/2026</t>
  </si>
  <si>
    <t>APEX HARDWARE &amp; CONST. SUPPLY</t>
  </si>
  <si>
    <t>013104 / 14558</t>
  </si>
  <si>
    <t>SI#14696</t>
  </si>
  <si>
    <t>08/08/2026</t>
  </si>
  <si>
    <t>013114 / 14562</t>
  </si>
  <si>
    <t>SI#14697</t>
  </si>
  <si>
    <t>012942 / 14571</t>
  </si>
  <si>
    <t>SI#14698</t>
  </si>
  <si>
    <t>012992 / 14570</t>
  </si>
  <si>
    <t>SI#14699</t>
  </si>
  <si>
    <t>012956 / 14569</t>
  </si>
  <si>
    <t>SI#14700</t>
  </si>
  <si>
    <t>07/09/2026</t>
  </si>
  <si>
    <t>MEGATRANSPORT, INC.</t>
  </si>
  <si>
    <t>013134 / 14575</t>
  </si>
  <si>
    <t>SI#14701</t>
  </si>
  <si>
    <t>KUY CORP.</t>
  </si>
  <si>
    <t>012900 / 14577</t>
  </si>
  <si>
    <t>SI#14702</t>
  </si>
  <si>
    <t>013120 / 14579</t>
  </si>
  <si>
    <t>SI#14703</t>
  </si>
  <si>
    <t>013000 / 14574</t>
  </si>
  <si>
    <t>SI#14704</t>
  </si>
  <si>
    <t>Z &amp; P GLOBAL STEEL MANUFACTURING CORP.</t>
  </si>
  <si>
    <t>013061 / 14584</t>
  </si>
  <si>
    <t>SI#14705</t>
  </si>
  <si>
    <t>09/07/2026</t>
  </si>
  <si>
    <t>012782 / 14585</t>
  </si>
  <si>
    <t>SI#14706</t>
  </si>
  <si>
    <t>013051 / 14573</t>
  </si>
  <si>
    <t>SI#14707</t>
  </si>
  <si>
    <t>013113 / 14567</t>
  </si>
  <si>
    <t>SI#14708</t>
  </si>
  <si>
    <t>013098 / 14563</t>
  </si>
  <si>
    <t>SI#14709</t>
  </si>
  <si>
    <t>013063 / 14589</t>
  </si>
  <si>
    <t>SI#14710</t>
  </si>
  <si>
    <t>WORLD BEST IND'L. SALES, INC.</t>
  </si>
  <si>
    <t>013093 / 14557</t>
  </si>
  <si>
    <t>SI#14711</t>
  </si>
  <si>
    <t>3KINGS STEEL TRADING</t>
  </si>
  <si>
    <t>012970 / 14578</t>
  </si>
  <si>
    <t>SI#14712</t>
  </si>
  <si>
    <t>013116 / 14568</t>
  </si>
  <si>
    <t>SI#14713</t>
  </si>
  <si>
    <t>013065 / 14586</t>
  </si>
  <si>
    <t>SI#14714</t>
  </si>
  <si>
    <t>VIA MARINE CORPORATION</t>
  </si>
  <si>
    <t>012439 / 14587</t>
  </si>
  <si>
    <t>SI#14715</t>
  </si>
  <si>
    <t>013054 / 14588</t>
  </si>
  <si>
    <t>SI#14716</t>
  </si>
  <si>
    <t>BEJER BASCO FUNERAL PARLOR</t>
  </si>
  <si>
    <t>011390 / 14591</t>
  </si>
  <si>
    <t>SI#14717</t>
  </si>
  <si>
    <t>011390 / 14592</t>
  </si>
  <si>
    <t>SI#14718</t>
  </si>
  <si>
    <t>013124 / 14590</t>
  </si>
  <si>
    <t>SI#14719</t>
  </si>
  <si>
    <t>SI#14720</t>
  </si>
  <si>
    <t>013121 / 14583</t>
  </si>
  <si>
    <t>SI#14721</t>
  </si>
  <si>
    <t>012760 / 14582</t>
  </si>
  <si>
    <t>SI#14722</t>
  </si>
  <si>
    <t>013031 / 14581</t>
  </si>
  <si>
    <t>SI#14723</t>
  </si>
  <si>
    <t>012948 / 14580</t>
  </si>
  <si>
    <t>SI#14724</t>
  </si>
  <si>
    <t>SHOGUN SHIPS CO. INC.</t>
  </si>
  <si>
    <t>013100 / 14576</t>
  </si>
  <si>
    <t>SI#14725</t>
  </si>
  <si>
    <t>LIM, JUDSON KEITH O.</t>
  </si>
  <si>
    <t>CONLUCK CONSTRUCTION &amp; DEVELOPMENT CORPORATION</t>
  </si>
  <si>
    <t>013052 / 14572</t>
  </si>
  <si>
    <t>SI#14726</t>
  </si>
  <si>
    <t>WINCH MECHANICAL INNOVATIONS &amp; GEN. CONS</t>
  </si>
  <si>
    <t>012955 / 14566</t>
  </si>
  <si>
    <t>SI#14727</t>
  </si>
  <si>
    <t>012969 / 14565</t>
  </si>
  <si>
    <t>SI#14728</t>
  </si>
  <si>
    <t>DON FASTWERX STEEL FABRICATION SERVICES</t>
  </si>
  <si>
    <t>012604 / 14564</t>
  </si>
  <si>
    <t>SI#14729</t>
  </si>
  <si>
    <t>TONAEKI INDUSTRIAL CORP.</t>
  </si>
  <si>
    <t>013060 / 14561</t>
  </si>
  <si>
    <t>SI#14730</t>
  </si>
  <si>
    <t>013100 / 14560</t>
  </si>
  <si>
    <t>SI#14731</t>
  </si>
  <si>
    <t>013100 / 14559</t>
  </si>
  <si>
    <t>SI#14732</t>
  </si>
  <si>
    <t>06/10/2026</t>
  </si>
  <si>
    <t>09/08/2026</t>
  </si>
  <si>
    <t>WIL-AN ALUMINUM CENTER INC.</t>
  </si>
  <si>
    <t>012987 / 14596</t>
  </si>
  <si>
    <t>SI#14733</t>
  </si>
  <si>
    <t>013126 / 14600</t>
  </si>
  <si>
    <t>SI#14734</t>
  </si>
  <si>
    <t>012948 / 14594</t>
  </si>
  <si>
    <t>SI#14735</t>
  </si>
  <si>
    <t>SOUTH CENTRAL STEEL TRADING INC.</t>
  </si>
  <si>
    <t>013117 / 14595</t>
  </si>
  <si>
    <t>SI#14736</t>
  </si>
  <si>
    <t>MAZON-MONTOYA ASSOCIATES CO</t>
  </si>
  <si>
    <t>012844 / 14597</t>
  </si>
  <si>
    <t>SI#14737</t>
  </si>
  <si>
    <t>012844 / 14598</t>
  </si>
  <si>
    <t>SI#14738</t>
  </si>
  <si>
    <t>08/09/2026</t>
  </si>
  <si>
    <t>LINEAR COOLING TOWER, INC.</t>
  </si>
  <si>
    <t>013009 / 14601</t>
  </si>
  <si>
    <t>SI#14739</t>
  </si>
  <si>
    <t>013145 / 14602</t>
  </si>
  <si>
    <t>SI#14740</t>
  </si>
  <si>
    <t>07/10/2026</t>
  </si>
  <si>
    <t>ELITEAIR CLIMATE CONTROL INCORPORATED</t>
  </si>
  <si>
    <t>013102 / 14605</t>
  </si>
  <si>
    <t>SI#14741</t>
  </si>
  <si>
    <t>012438 / 14603</t>
  </si>
  <si>
    <t>SI#14742</t>
  </si>
  <si>
    <t>NORMA L. CHAN/JOSE MARI PILAPIL</t>
  </si>
  <si>
    <t>FINEBEND INDUSTRIAL ENTERPRISES CORPORATION</t>
  </si>
  <si>
    <t>013147 / 14604</t>
  </si>
  <si>
    <t>SI#14743</t>
  </si>
  <si>
    <t>013133 / 14606</t>
  </si>
  <si>
    <t>SI#14744</t>
  </si>
  <si>
    <t>013066 / 14608</t>
  </si>
  <si>
    <t>SI#14745</t>
  </si>
  <si>
    <t>013151 / 14609</t>
  </si>
  <si>
    <t>SI#14746</t>
  </si>
  <si>
    <t>012964 / 14610</t>
  </si>
  <si>
    <t>SI#14747</t>
  </si>
  <si>
    <t>06/11/2026</t>
  </si>
  <si>
    <t>07/11/2026</t>
  </si>
  <si>
    <t>013119 / 14611</t>
  </si>
  <si>
    <t>SI#14748</t>
  </si>
  <si>
    <t>10/09/2026</t>
  </si>
  <si>
    <t>FULL SPEED CHARTERING AND SHIPPING AGENCY, INC.</t>
  </si>
  <si>
    <t>013049 / 14614</t>
  </si>
  <si>
    <t>SI#14749</t>
  </si>
  <si>
    <t>013012 / 14619</t>
  </si>
  <si>
    <t>SI#14750</t>
  </si>
  <si>
    <t>013122 / 14618</t>
  </si>
  <si>
    <t>SI#14751</t>
  </si>
  <si>
    <t>013168 / 14617</t>
  </si>
  <si>
    <t>SI#14752</t>
  </si>
  <si>
    <t>012922 / 14616</t>
  </si>
  <si>
    <t>SI#14753</t>
  </si>
  <si>
    <t>013092 / 14615</t>
  </si>
  <si>
    <t>SI#14754</t>
  </si>
  <si>
    <t>09/09/2026</t>
  </si>
  <si>
    <t>013158 / 14613</t>
  </si>
  <si>
    <t>SI#14755</t>
  </si>
  <si>
    <t>STRICTLY 60 DAYS PDC-AP</t>
  </si>
  <si>
    <t>08/10/2026</t>
  </si>
  <si>
    <t>ZARRBUILT KONSTRUCTION</t>
  </si>
  <si>
    <t>013156 / 14621</t>
  </si>
  <si>
    <t>SI#14756</t>
  </si>
  <si>
    <t>REGAN INDUSTRIAL SALES, INC.</t>
  </si>
  <si>
    <t>013118 / 14620</t>
  </si>
  <si>
    <t>SI#14757</t>
  </si>
  <si>
    <t>CALBAYOG E.C. MARKETING INCORPORATED</t>
  </si>
  <si>
    <t>012841 / 14612</t>
  </si>
  <si>
    <t>SI#14758</t>
  </si>
  <si>
    <t>NIU SUMMIT METAL TRADING INC.</t>
  </si>
  <si>
    <t>013155 / 14622</t>
  </si>
  <si>
    <t>SI#14759</t>
  </si>
  <si>
    <t>HENSON INDUSTRIAL CENTER CORP.</t>
  </si>
  <si>
    <t>013129 / 14625</t>
  </si>
  <si>
    <t>SI#14760</t>
  </si>
  <si>
    <t>SI#14761</t>
  </si>
  <si>
    <t>013162 / 14624</t>
  </si>
  <si>
    <t>SI#14762</t>
  </si>
  <si>
    <t>SPIRAL GROUP INC.</t>
  </si>
  <si>
    <t>012991 / 14623</t>
  </si>
  <si>
    <t>SI#14763</t>
  </si>
  <si>
    <t>CASH-BP</t>
  </si>
  <si>
    <t>DEMANZ ENTERPRISES</t>
  </si>
  <si>
    <t>012475 / 14627</t>
  </si>
  <si>
    <t>SI#14764</t>
  </si>
  <si>
    <t>013173 / 14626</t>
  </si>
  <si>
    <t>SI#14765</t>
  </si>
  <si>
    <t>011910 / 14628</t>
  </si>
  <si>
    <t>SI#14766</t>
  </si>
  <si>
    <t>06/15/2026</t>
  </si>
  <si>
    <t>013131 / 14638</t>
  </si>
  <si>
    <t>SI#14767</t>
  </si>
  <si>
    <t>08/14/2026</t>
  </si>
  <si>
    <t>013152 / 14636</t>
  </si>
  <si>
    <t>SI#14768</t>
  </si>
  <si>
    <t>013188 / 14637</t>
  </si>
  <si>
    <t>SI#14769</t>
  </si>
  <si>
    <t>RB SORIANO CONSTRUCTION CORPORATION</t>
  </si>
  <si>
    <t>013042 / 14634</t>
  </si>
  <si>
    <t>SI#14770</t>
  </si>
  <si>
    <t>013167 / 14632</t>
  </si>
  <si>
    <t>SI#14771</t>
  </si>
  <si>
    <t>013176 / 14633</t>
  </si>
  <si>
    <t>SI#14772</t>
  </si>
  <si>
    <t>07/15/2026</t>
  </si>
  <si>
    <t>PLASCORP PACKAGING INC.</t>
  </si>
  <si>
    <t>012693 / 14640</t>
  </si>
  <si>
    <t>SI#14773</t>
  </si>
  <si>
    <t>010665 / 14639</t>
  </si>
  <si>
    <t>SI#14774</t>
  </si>
  <si>
    <t>013178 / 14641</t>
  </si>
  <si>
    <t>SI#14775</t>
  </si>
  <si>
    <t>SENO METAL INC.</t>
  </si>
  <si>
    <t>013107 / 14629</t>
  </si>
  <si>
    <t>SI#14776</t>
  </si>
  <si>
    <t>013164 / 14630</t>
  </si>
  <si>
    <t>SI#14777</t>
  </si>
  <si>
    <t>013174 / 14631</t>
  </si>
  <si>
    <t>SI#14778</t>
  </si>
  <si>
    <t>013177 / 14635</t>
  </si>
  <si>
    <t>SI#14779</t>
  </si>
  <si>
    <t>012478 / 14645</t>
  </si>
  <si>
    <t>SI#14780</t>
  </si>
  <si>
    <t>012479 / 14646</t>
  </si>
  <si>
    <t>SI#14781</t>
  </si>
  <si>
    <t>013082 / 14647</t>
  </si>
  <si>
    <t>SI#14782</t>
  </si>
  <si>
    <t>ARTHUR A. GO</t>
  </si>
  <si>
    <t>GOLDEN TOWER STEEL TRADING CORPORATION</t>
  </si>
  <si>
    <t>012832 / 14651</t>
  </si>
  <si>
    <t>SI#14783</t>
  </si>
  <si>
    <t>012833 / 14650</t>
  </si>
  <si>
    <t>SI#14784</t>
  </si>
  <si>
    <t>013148 / 14649</t>
  </si>
  <si>
    <t>SI#14785</t>
  </si>
  <si>
    <t>012825 / 14648</t>
  </si>
  <si>
    <t>SI#14786</t>
  </si>
  <si>
    <t>013148 / 14655</t>
  </si>
  <si>
    <t>SI#14787</t>
  </si>
  <si>
    <t>013139 / 14652</t>
  </si>
  <si>
    <t>SI#14788</t>
  </si>
  <si>
    <t>013186 / 14653</t>
  </si>
  <si>
    <t>SI#14789</t>
  </si>
  <si>
    <t>013198 / 14654</t>
  </si>
  <si>
    <t>SI#14790</t>
  </si>
  <si>
    <t>013193 / 14656</t>
  </si>
  <si>
    <t>SI#14791</t>
  </si>
  <si>
    <t>012483 / 14661</t>
  </si>
  <si>
    <t>SI#14792</t>
  </si>
  <si>
    <t>013205 / 14660</t>
  </si>
  <si>
    <t>SI#14793</t>
  </si>
  <si>
    <t>09/13/2026</t>
  </si>
  <si>
    <t>013207 / 14659</t>
  </si>
  <si>
    <t>SI#14794</t>
  </si>
  <si>
    <t>FELJES HARDWARE &amp; MARINE INC.</t>
  </si>
  <si>
    <t>013189 / 14658</t>
  </si>
  <si>
    <t>SI#14795</t>
  </si>
  <si>
    <t>013067 / 14657</t>
  </si>
  <si>
    <t>SI#14796</t>
  </si>
  <si>
    <t>EDGAR TAN</t>
  </si>
  <si>
    <t>CONLUCK INDUSTRIAL CORPORATION</t>
  </si>
  <si>
    <t>012892 / 14644</t>
  </si>
  <si>
    <t>SI#14797</t>
  </si>
  <si>
    <t>TACLOBAN PNT VENTURES CORP.</t>
  </si>
  <si>
    <t>013130 / 14643</t>
  </si>
  <si>
    <t>SI#14798</t>
  </si>
  <si>
    <t>ORO SOLID HARDWARE INC.</t>
  </si>
  <si>
    <t>012834 / 14642</t>
  </si>
  <si>
    <t>SI#14799</t>
  </si>
  <si>
    <t>06/16/2026</t>
  </si>
  <si>
    <t>08/15/2026</t>
  </si>
  <si>
    <t>012881 / 14670</t>
  </si>
  <si>
    <t>SI#14800</t>
  </si>
  <si>
    <t>012957 / 14671</t>
  </si>
  <si>
    <t>SI#14801</t>
  </si>
  <si>
    <t>013050 / 14672</t>
  </si>
  <si>
    <t>SI#14802</t>
  </si>
  <si>
    <t>013179 / 14677</t>
  </si>
  <si>
    <t>SI#14803</t>
  </si>
  <si>
    <t>50%DP/50%CASH IBD-BD</t>
  </si>
  <si>
    <t>JDS CONSTRUCTION PHILS., INC,</t>
  </si>
  <si>
    <t>013056 / 14665</t>
  </si>
  <si>
    <t>SI#14804</t>
  </si>
  <si>
    <t>013058 / 14666</t>
  </si>
  <si>
    <t>SI#14805</t>
  </si>
  <si>
    <t>013057 / 14668</t>
  </si>
  <si>
    <t>SI#14806</t>
  </si>
  <si>
    <t>NORTHMETAL INC.</t>
  </si>
  <si>
    <t>013212 / 14673</t>
  </si>
  <si>
    <t>SI#14807</t>
  </si>
  <si>
    <t>LAZARUS MERCHANDISING OPC</t>
  </si>
  <si>
    <t>013195 / 14682</t>
  </si>
  <si>
    <t>SI#14808</t>
  </si>
  <si>
    <t>PAMBANSANGBAKAL CORPORATION</t>
  </si>
  <si>
    <t>013223 / 14689</t>
  </si>
  <si>
    <t>SI#14809</t>
  </si>
  <si>
    <t>ESTRELLA ICE PLANT &amp; COLD STORAGE CO. INC.</t>
  </si>
  <si>
    <t>013220 / 14683</t>
  </si>
  <si>
    <t>SI#14810</t>
  </si>
  <si>
    <t>012850 / 14686</t>
  </si>
  <si>
    <t>SI#14811</t>
  </si>
  <si>
    <t>012921 / 14685</t>
  </si>
  <si>
    <t>SI#14812</t>
  </si>
  <si>
    <t>012972 / 14684</t>
  </si>
  <si>
    <t>SI#14813</t>
  </si>
  <si>
    <t>07/16/2026</t>
  </si>
  <si>
    <t>PHILIPPINE SPIRAL DUCT MANUFACTURING INC.</t>
  </si>
  <si>
    <t>013123 / 14662</t>
  </si>
  <si>
    <t>SI#14814</t>
  </si>
  <si>
    <t>ETL BUILDERS CORPORATION</t>
  </si>
  <si>
    <t>013111 / 14663</t>
  </si>
  <si>
    <t>SI#14815</t>
  </si>
  <si>
    <t>OCEANIC CONTAINER LINES, INC.</t>
  </si>
  <si>
    <t>013180 / 14669</t>
  </si>
  <si>
    <t>SI#14816</t>
  </si>
  <si>
    <t>09/14/2026</t>
  </si>
  <si>
    <t>RSV INDUSTRIAL &amp; MILL SUPPLY</t>
  </si>
  <si>
    <t>013225 / 14688</t>
  </si>
  <si>
    <t>SI#14817</t>
  </si>
  <si>
    <t>013140 / 14664</t>
  </si>
  <si>
    <t>SI#14818</t>
  </si>
  <si>
    <t>LIWAYWAY MARKETING CORPORATION</t>
  </si>
  <si>
    <t>013157 / 14674</t>
  </si>
  <si>
    <t>SI#14819</t>
  </si>
  <si>
    <t>CIMECH SYSTEMS INDUSTRIES INC.</t>
  </si>
  <si>
    <t>013221 /</t>
  </si>
  <si>
    <t>SI#14820</t>
  </si>
  <si>
    <t>013080 / 14675</t>
  </si>
  <si>
    <t>SI#14821</t>
  </si>
  <si>
    <t>013226 /</t>
  </si>
  <si>
    <t>SI#14822</t>
  </si>
  <si>
    <t>012870 / 14678</t>
  </si>
  <si>
    <t>SI#14823</t>
  </si>
  <si>
    <t>012919 / 14676</t>
  </si>
  <si>
    <t>SI#14824</t>
  </si>
  <si>
    <t>012874 / 14679</t>
  </si>
  <si>
    <t>SI#14825</t>
  </si>
  <si>
    <t>012709 / 14680</t>
  </si>
  <si>
    <t>SI#14826</t>
  </si>
  <si>
    <t>012169 / 14681</t>
  </si>
  <si>
    <t>SI#14827</t>
  </si>
  <si>
    <t>GENERAL CHEMICALS &amp; RESINS CONSORTIUM INC</t>
  </si>
  <si>
    <t>013217 / 14693</t>
  </si>
  <si>
    <t>SI#14828</t>
  </si>
  <si>
    <t>013186 / 14687</t>
  </si>
  <si>
    <t>SI#14829</t>
  </si>
  <si>
    <t>A.H. ARAULLO &amp; SONS RIZAL SLIPWAYS, INC.</t>
  </si>
  <si>
    <t>013216 / 14690</t>
  </si>
  <si>
    <t>SI#14830</t>
  </si>
  <si>
    <t>013182 / 14691</t>
  </si>
  <si>
    <t>SI#14831</t>
  </si>
  <si>
    <t>013068 / 14695</t>
  </si>
  <si>
    <t>SI#14832</t>
  </si>
  <si>
    <t>RR STEEL CENTER INC.</t>
  </si>
  <si>
    <t>013224 / 14694</t>
  </si>
  <si>
    <t>SI#14833</t>
  </si>
  <si>
    <t>LAWRENCE LIM</t>
  </si>
  <si>
    <t>LEGAZPI OLYMPIA MARKETING, INC.</t>
  </si>
  <si>
    <t>013021 / 14692</t>
  </si>
  <si>
    <t>SI#14834</t>
  </si>
  <si>
    <t>013122 / 14698</t>
  </si>
  <si>
    <t>SI#14835</t>
  </si>
  <si>
    <t>013144 / 14697</t>
  </si>
  <si>
    <t>SI#14836</t>
  </si>
  <si>
    <t>013011 / 14696</t>
  </si>
  <si>
    <t>SI#14837</t>
  </si>
  <si>
    <t>06/17/2026</t>
  </si>
  <si>
    <t>012993 / 14702</t>
  </si>
  <si>
    <t>SI#14838</t>
  </si>
  <si>
    <t>013181 / 14706</t>
  </si>
  <si>
    <t>SI#14839</t>
  </si>
  <si>
    <t>013192 / 14711</t>
  </si>
  <si>
    <t>SI#14840</t>
  </si>
  <si>
    <t>08/16/2026</t>
  </si>
  <si>
    <t>012908 / 14703</t>
  </si>
  <si>
    <t>SI#14841</t>
  </si>
  <si>
    <t>012909 / 14704</t>
  </si>
  <si>
    <t>SI#14842</t>
  </si>
  <si>
    <t>012947 / 14705</t>
  </si>
  <si>
    <t>SI#14843</t>
  </si>
  <si>
    <t>07/17/2026</t>
  </si>
  <si>
    <t>013125 / 14719</t>
  </si>
  <si>
    <t>SI#14844</t>
  </si>
  <si>
    <t>013229 / 14712</t>
  </si>
  <si>
    <t>SI#14845</t>
  </si>
  <si>
    <t>09/15/2026</t>
  </si>
  <si>
    <t>RAMOSCO SALES &amp; DISTRIBUTION INC.</t>
  </si>
  <si>
    <t>013165 / 14716</t>
  </si>
  <si>
    <t>SI#14846</t>
  </si>
  <si>
    <t>013100 / 14720</t>
  </si>
  <si>
    <t>SI#14847</t>
  </si>
  <si>
    <t>CSE BUILDERS</t>
  </si>
  <si>
    <t>013264 / 14722</t>
  </si>
  <si>
    <t>SI#14848</t>
  </si>
  <si>
    <t>012923 / 14723</t>
  </si>
  <si>
    <t>SI#14849</t>
  </si>
  <si>
    <t>013219 / 14724</t>
  </si>
  <si>
    <t>SI#14850</t>
  </si>
  <si>
    <t>013229 / 14725</t>
  </si>
  <si>
    <t>SI#14851</t>
  </si>
  <si>
    <t>013256 / 14715</t>
  </si>
  <si>
    <t>SI#14852</t>
  </si>
  <si>
    <t>013245 / 14714</t>
  </si>
  <si>
    <t>SI#14853</t>
  </si>
  <si>
    <t>MLC HDWE. &amp; GEN. CONST. SUPPLY</t>
  </si>
  <si>
    <t>013232 / 14713</t>
  </si>
  <si>
    <t>SI#14854</t>
  </si>
  <si>
    <t>F.B. SANTOS ENTERPRISES</t>
  </si>
  <si>
    <t>013222 / 14718</t>
  </si>
  <si>
    <t>SI#14855</t>
  </si>
  <si>
    <t>SECOND SONS CONSTRUCTION</t>
  </si>
  <si>
    <t>013201 / 14707</t>
  </si>
  <si>
    <t>SI#14856</t>
  </si>
  <si>
    <t>013150 / 14726</t>
  </si>
  <si>
    <t>SI#14857</t>
  </si>
  <si>
    <t>06/18/2026</t>
  </si>
  <si>
    <t>07/18/2026</t>
  </si>
  <si>
    <t>SI#14858</t>
  </si>
  <si>
    <t>08/17/2026</t>
  </si>
  <si>
    <t>013210 / 14729</t>
  </si>
  <si>
    <t>SI#14859</t>
  </si>
  <si>
    <t>SUPER SEVEN SALES IND'L CORP</t>
  </si>
  <si>
    <t>012729 / 14727</t>
  </si>
  <si>
    <t>SI#14860</t>
  </si>
  <si>
    <t>09/16/2026</t>
  </si>
  <si>
    <t>011346 / 14728</t>
  </si>
  <si>
    <t>SI#14861</t>
  </si>
  <si>
    <t>011973 / 14730</t>
  </si>
  <si>
    <t>SI#14862</t>
  </si>
  <si>
    <t>011975 / 14731</t>
  </si>
  <si>
    <t>SI#14863</t>
  </si>
  <si>
    <t>011979 / 14732</t>
  </si>
  <si>
    <t>SI#14864</t>
  </si>
  <si>
    <t>012567 / 14733</t>
  </si>
  <si>
    <t>SI#14865</t>
  </si>
  <si>
    <t>012982 / 14734</t>
  </si>
  <si>
    <t>SI#14866</t>
  </si>
  <si>
    <t>MATSON BUILDERS AND DEVELOPMENT CORPORATION</t>
  </si>
  <si>
    <t>013160 / 14735</t>
  </si>
  <si>
    <t>SI#14867</t>
  </si>
  <si>
    <t>THE TENT CITY RENTALS AND SALES SERVICES CORP.</t>
  </si>
  <si>
    <t>013280 / 14736</t>
  </si>
  <si>
    <t>SI#14868</t>
  </si>
  <si>
    <t>PIGMENTEX INC</t>
  </si>
  <si>
    <t>011449 / 14737</t>
  </si>
  <si>
    <t>SI#14869</t>
  </si>
  <si>
    <t>013287 / 14738</t>
  </si>
  <si>
    <t>SI#14870</t>
  </si>
  <si>
    <t>013281 / 14744</t>
  </si>
  <si>
    <t>SI#14871</t>
  </si>
  <si>
    <t>013279 / 14745</t>
  </si>
  <si>
    <t>SI#14872</t>
  </si>
  <si>
    <t>013278 / 14741</t>
  </si>
  <si>
    <t>SI#14873</t>
  </si>
  <si>
    <t>013234 / 14742</t>
  </si>
  <si>
    <t>SI#14874</t>
  </si>
  <si>
    <t>013265 / 14743</t>
  </si>
  <si>
    <t>SI#14875</t>
  </si>
  <si>
    <t>ERWIN R. INSON</t>
  </si>
  <si>
    <t>012973 / 14748</t>
  </si>
  <si>
    <t>SI#14876</t>
  </si>
  <si>
    <t>013290 / 14749</t>
  </si>
  <si>
    <t>SI#14877</t>
  </si>
  <si>
    <t>013271 / 14747</t>
  </si>
  <si>
    <t>SI#14878</t>
  </si>
  <si>
    <t>012080 / 14739</t>
  </si>
  <si>
    <t>SI#14879</t>
  </si>
  <si>
    <t>012549 / 14740</t>
  </si>
  <si>
    <t>SI#14880</t>
  </si>
  <si>
    <t>013056 / 14746</t>
  </si>
  <si>
    <t>SI#14881</t>
  </si>
  <si>
    <t>06/19/2026</t>
  </si>
  <si>
    <t>15 DAYS PDC-UD</t>
  </si>
  <si>
    <t>JORISCO TRADING</t>
  </si>
  <si>
    <t>012851 / 14757</t>
  </si>
  <si>
    <t>SI#14882</t>
  </si>
  <si>
    <t>PHILIPPINES DONG YUN PLATE MAKING CORPORATION</t>
  </si>
  <si>
    <t>013297 / 14763</t>
  </si>
  <si>
    <t>SI#14883</t>
  </si>
  <si>
    <t>A.T. MALLARI BUILDERS</t>
  </si>
  <si>
    <t>013169 / 14751</t>
  </si>
  <si>
    <t>SI#14884</t>
  </si>
  <si>
    <t>013170 / 14752</t>
  </si>
  <si>
    <t>SI#14885</t>
  </si>
  <si>
    <t>013299 / 14764</t>
  </si>
  <si>
    <t>SI#14886</t>
  </si>
  <si>
    <t>09/17/2026</t>
  </si>
  <si>
    <t>013269 / 14770</t>
  </si>
  <si>
    <t>SI#14887</t>
  </si>
  <si>
    <t>012791 / 14771</t>
  </si>
  <si>
    <t>SI#14888</t>
  </si>
  <si>
    <t>08/18/2026</t>
  </si>
  <si>
    <t>013310 / 14772</t>
  </si>
  <si>
    <t>SI#14889</t>
  </si>
  <si>
    <t>013305 / 14774</t>
  </si>
  <si>
    <t>SI#14890</t>
  </si>
  <si>
    <t>REGINE&amp; RANNIE WELDING SHOP</t>
  </si>
  <si>
    <t>013248 / 14775</t>
  </si>
  <si>
    <t>SI#14891</t>
  </si>
  <si>
    <t>013014 / 14750</t>
  </si>
  <si>
    <t>SI#14892</t>
  </si>
  <si>
    <t>013274 / 14754</t>
  </si>
  <si>
    <t>SI#14893</t>
  </si>
  <si>
    <t>HI-TONE CONSTRUCTION &amp; DEVELOPMENT CORPORATION</t>
  </si>
  <si>
    <t>013149 / 14755</t>
  </si>
  <si>
    <t>SI#14894</t>
  </si>
  <si>
    <t>FCLARANANG DEVELOPMENT CORPORATION</t>
  </si>
  <si>
    <t>013211 / 14756</t>
  </si>
  <si>
    <t>SI#14895</t>
  </si>
  <si>
    <t>013184 / 14758</t>
  </si>
  <si>
    <t>SI#14896</t>
  </si>
  <si>
    <t>60 DAYS PDC-BD</t>
  </si>
  <si>
    <t>MALLERS INVESTMENTS CORPORATION</t>
  </si>
  <si>
    <t>013288 / 14759</t>
  </si>
  <si>
    <t>SI#14897</t>
  </si>
  <si>
    <t>013266 / 14760</t>
  </si>
  <si>
    <t>SI#14898</t>
  </si>
  <si>
    <t>013292 / 14762</t>
  </si>
  <si>
    <t>SI#14899</t>
  </si>
  <si>
    <t>013284 / 14768</t>
  </si>
  <si>
    <t>SI#14900</t>
  </si>
  <si>
    <t>013288 / 14769</t>
  </si>
  <si>
    <t>SI#14901</t>
  </si>
  <si>
    <t>012819 / 14765</t>
  </si>
  <si>
    <t>SI#14902</t>
  </si>
  <si>
    <t>METRO STONERICH CORPORATION</t>
  </si>
  <si>
    <t>013253 / 14780</t>
  </si>
  <si>
    <t>SI#14903</t>
  </si>
  <si>
    <t>013286 / 14779</t>
  </si>
  <si>
    <t>SI#14904</t>
  </si>
  <si>
    <t>013285 / 14778</t>
  </si>
  <si>
    <t>SI#14905</t>
  </si>
  <si>
    <t>013252 / 14777</t>
  </si>
  <si>
    <t>SI#14906</t>
  </si>
  <si>
    <t>013282 / 14776</t>
  </si>
  <si>
    <t>SI#14907</t>
  </si>
  <si>
    <t>013309 / 14773</t>
  </si>
  <si>
    <t>SI#14908</t>
  </si>
  <si>
    <t>GRANDSPAN DEVELOPMENT CORP.</t>
  </si>
  <si>
    <t>013263 / 14767</t>
  </si>
  <si>
    <t>SI#14909</t>
  </si>
  <si>
    <t>013261 / 14766</t>
  </si>
  <si>
    <t>SI#14910</t>
  </si>
  <si>
    <t>SOLIDMASTER GLOBAL TRADE CORPORATION</t>
  </si>
  <si>
    <t>012875 / 14761</t>
  </si>
  <si>
    <t>SI#14911</t>
  </si>
  <si>
    <t>013230 / 14753</t>
  </si>
  <si>
    <t>SI#14912</t>
  </si>
  <si>
    <t>06/22/2026</t>
  </si>
  <si>
    <t>013127 / 14792</t>
  </si>
  <si>
    <t>SI#14913</t>
  </si>
  <si>
    <t>013244 / 14791</t>
  </si>
  <si>
    <t>SI#14914</t>
  </si>
  <si>
    <t>013012 / 14788</t>
  </si>
  <si>
    <t>SI#14915</t>
  </si>
  <si>
    <t>STRICTLY 30D PDC-AD</t>
  </si>
  <si>
    <t>07/22/2026</t>
  </si>
  <si>
    <t>ELECTRICAL CONTROL CORPORATION</t>
  </si>
  <si>
    <t>013337 / 14789</t>
  </si>
  <si>
    <t>SI#14916</t>
  </si>
  <si>
    <t>012480 / 14796</t>
  </si>
  <si>
    <t>SI#14917</t>
  </si>
  <si>
    <t>013082 / 14797</t>
  </si>
  <si>
    <t>SI#14918</t>
  </si>
  <si>
    <t>09/20/2026</t>
  </si>
  <si>
    <t>013340 / 14799</t>
  </si>
  <si>
    <t>SI#14919</t>
  </si>
  <si>
    <t>08/21/2026</t>
  </si>
  <si>
    <t>013333 / 14795</t>
  </si>
  <si>
    <t>SI#14920</t>
  </si>
  <si>
    <t>013318 / 14793</t>
  </si>
  <si>
    <t>SI#14921</t>
  </si>
  <si>
    <t>013328 / 14803</t>
  </si>
  <si>
    <t>SI#14922</t>
  </si>
  <si>
    <t>.C.O.D</t>
  </si>
  <si>
    <t>M.K.U. CONSTRUCTION &amp; SUPPLY</t>
  </si>
  <si>
    <t>012901 / 14781</t>
  </si>
  <si>
    <t>SI#14923</t>
  </si>
  <si>
    <t>THERMO-AIRE EXPRESS AIR CONDITIONING CORP.</t>
  </si>
  <si>
    <t>011426 / 14782</t>
  </si>
  <si>
    <t>SI#14924</t>
  </si>
  <si>
    <t>011429 / 14783</t>
  </si>
  <si>
    <t>SI#14925</t>
  </si>
  <si>
    <t>MORE BUILDERS INC.</t>
  </si>
  <si>
    <t>013146 / 14787</t>
  </si>
  <si>
    <t>SI#14926</t>
  </si>
  <si>
    <t>SI#14927</t>
  </si>
  <si>
    <t>013308 / 14802</t>
  </si>
  <si>
    <t>SI#14928</t>
  </si>
  <si>
    <t>012850 / 14801</t>
  </si>
  <si>
    <t>SI#14929</t>
  </si>
  <si>
    <t>013190 / 14800</t>
  </si>
  <si>
    <t>SI#14930</t>
  </si>
  <si>
    <t>CRISANTO NIPA</t>
  </si>
  <si>
    <t>HENMAR VAULT SPECIALIST CORP.</t>
  </si>
  <si>
    <t>013358 / 14806</t>
  </si>
  <si>
    <t>SI#14931</t>
  </si>
  <si>
    <t>AMARANTHE TRADING</t>
  </si>
  <si>
    <t>012536 / 14805</t>
  </si>
  <si>
    <t>SI#14932</t>
  </si>
  <si>
    <t>012886 / 14804</t>
  </si>
  <si>
    <t>SI#14933</t>
  </si>
  <si>
    <t>STRICTLY 60D PDC-AD</t>
  </si>
  <si>
    <t>013326 / 14798</t>
  </si>
  <si>
    <t>SI#14934</t>
  </si>
  <si>
    <t>012459 / 14790</t>
  </si>
  <si>
    <t>SI#14935</t>
  </si>
  <si>
    <t>012459 / 14794</t>
  </si>
  <si>
    <t>SI#14936</t>
  </si>
  <si>
    <t>ALESON SHIPPING LINES, INC.</t>
  </si>
  <si>
    <t>013277 / 14786</t>
  </si>
  <si>
    <t>SI#14937</t>
  </si>
  <si>
    <t>013275 / 14785</t>
  </si>
  <si>
    <t>SI#14938</t>
  </si>
  <si>
    <t>ELEGANT PARAMOUNT REALTY RESOURCES CORP</t>
  </si>
  <si>
    <t>013249 / 14784</t>
  </si>
  <si>
    <t>SI#14939</t>
  </si>
  <si>
    <t>06/23/2026</t>
  </si>
  <si>
    <t>07/23/2026</t>
  </si>
  <si>
    <t>BALYENA TANKER CORPORATION</t>
  </si>
  <si>
    <t>012985 / 14721</t>
  </si>
  <si>
    <t>SI#14940</t>
  </si>
  <si>
    <t>AL P. TORRES CONSTRUCTION BUILDERS</t>
  </si>
  <si>
    <t>013262 / 14812</t>
  </si>
  <si>
    <t>SI#14941</t>
  </si>
  <si>
    <t>012985 / 14717</t>
  </si>
  <si>
    <t>SI#14942</t>
  </si>
  <si>
    <t>HILARIO, EDGAR DE LEON</t>
  </si>
  <si>
    <t>013089 / 14813</t>
  </si>
  <si>
    <t>SI#14943</t>
  </si>
  <si>
    <t>MANLAPAZ, VICTOR MONTEVILLA</t>
  </si>
  <si>
    <t>013270 / 14809</t>
  </si>
  <si>
    <t>SI#14944</t>
  </si>
  <si>
    <t>012557 / 14710</t>
  </si>
  <si>
    <t>SI#14945</t>
  </si>
  <si>
    <t>013085 / 14709</t>
  </si>
  <si>
    <t>SI#14946</t>
  </si>
  <si>
    <t>013171 / 14708</t>
  </si>
  <si>
    <t>SI#14947</t>
  </si>
  <si>
    <t>08/22/2026</t>
  </si>
  <si>
    <t>SI#14948</t>
  </si>
  <si>
    <t>NICANOR H. PAGUIO JR.</t>
  </si>
  <si>
    <t>CHERRIELYNE MURIELZEUS (CMZ) BUILDERS CORP.</t>
  </si>
  <si>
    <t>013187 / 14819</t>
  </si>
  <si>
    <t>SI#14949</t>
  </si>
  <si>
    <t>013332 / 14822</t>
  </si>
  <si>
    <t>SI#14950</t>
  </si>
  <si>
    <t>013154 / 14817</t>
  </si>
  <si>
    <t>SI#14951</t>
  </si>
  <si>
    <t>L M PRECISION PRODUCTS, INC.</t>
  </si>
  <si>
    <t>013251 / 14829</t>
  </si>
  <si>
    <t>SI#14952</t>
  </si>
  <si>
    <t>013082 / 14831</t>
  </si>
  <si>
    <t>SI#14953</t>
  </si>
  <si>
    <t>012480 / 14830</t>
  </si>
  <si>
    <t>SI#14954</t>
  </si>
  <si>
    <t>09/21/2026</t>
  </si>
  <si>
    <t>LINKBELT INDUSTRIAL CORPORATION</t>
  </si>
  <si>
    <t>013348 / 14828</t>
  </si>
  <si>
    <t>SI#14955</t>
  </si>
  <si>
    <t>013348 / 14821</t>
  </si>
  <si>
    <t>SI#14956</t>
  </si>
  <si>
    <t>013141 / 14824</t>
  </si>
  <si>
    <t>SI#14957</t>
  </si>
  <si>
    <t>013296 / 14825</t>
  </si>
  <si>
    <t>SI#14958</t>
  </si>
  <si>
    <t>013161 / 14827</t>
  </si>
  <si>
    <t>SI#14959</t>
  </si>
  <si>
    <t>013160 / 14826</t>
  </si>
  <si>
    <t>SI#14960</t>
  </si>
  <si>
    <t>013277 / 14807</t>
  </si>
  <si>
    <t>SI#14961</t>
  </si>
  <si>
    <t>013275 / 14808</t>
  </si>
  <si>
    <t>SI#14962</t>
  </si>
  <si>
    <t>013159 / 14811</t>
  </si>
  <si>
    <t>SI#14963</t>
  </si>
  <si>
    <t>ACC HYPERMART CORPORATION</t>
  </si>
  <si>
    <t>013037 / 14820</t>
  </si>
  <si>
    <t>SI#14964</t>
  </si>
  <si>
    <t>013097 / 14810</t>
  </si>
  <si>
    <t>SI#14965</t>
  </si>
  <si>
    <t>013175 / 14814</t>
  </si>
  <si>
    <t>SI#14966</t>
  </si>
  <si>
    <t>013325 / 14815</t>
  </si>
  <si>
    <t>SI#14967</t>
  </si>
  <si>
    <t>013326 / 14816</t>
  </si>
  <si>
    <t>SI#14968</t>
  </si>
  <si>
    <t>013363 / 14823</t>
  </si>
  <si>
    <t>SI#14969</t>
  </si>
  <si>
    <t>013370 / 14832</t>
  </si>
  <si>
    <t>SI#14970</t>
  </si>
  <si>
    <t>JLP PACKAGING ENTERPRISE</t>
  </si>
  <si>
    <t>013132 / 14833</t>
  </si>
  <si>
    <t>SI#14971</t>
  </si>
  <si>
    <t>013317 / 14837</t>
  </si>
  <si>
    <t>SI#14972</t>
  </si>
  <si>
    <t>012862 / 14836</t>
  </si>
  <si>
    <t>SI#14973</t>
  </si>
  <si>
    <t>013294 / 14834</t>
  </si>
  <si>
    <t>SI#14974</t>
  </si>
  <si>
    <t>STANDFIRM CONSTRUCTION INC.</t>
  </si>
  <si>
    <t>013378 / 14835</t>
  </si>
  <si>
    <t>SI#14975</t>
  </si>
  <si>
    <t>013372 / 14838</t>
  </si>
  <si>
    <t>SI#14976</t>
  </si>
  <si>
    <t>013337 / 14840</t>
  </si>
  <si>
    <t>SI#14977</t>
  </si>
  <si>
    <t>013037 / 14841</t>
  </si>
  <si>
    <t>SI#14978</t>
  </si>
  <si>
    <t>013343 / 14839</t>
  </si>
  <si>
    <t>SI#14979</t>
  </si>
  <si>
    <t>013388 / 14844</t>
  </si>
  <si>
    <t>SI#14980</t>
  </si>
  <si>
    <t>013397 / 14843</t>
  </si>
  <si>
    <t>SI#14981</t>
  </si>
  <si>
    <t>013375 / 14842</t>
  </si>
  <si>
    <t>SI#14982</t>
  </si>
  <si>
    <t>06/24/2026</t>
  </si>
  <si>
    <t>RAK ELECTRICAL MATERIALS TRADING</t>
  </si>
  <si>
    <t>012421 / 14845</t>
  </si>
  <si>
    <t>SI#14983</t>
  </si>
  <si>
    <t>013339 / 14849</t>
  </si>
  <si>
    <t>SI#14984</t>
  </si>
  <si>
    <t>08/23/2026</t>
  </si>
  <si>
    <t>013368 / 14850</t>
  </si>
  <si>
    <t>SI#14985</t>
  </si>
  <si>
    <t>VECTOR ELECTRODYNAMIC TECHNOLOGIES, INC.</t>
  </si>
  <si>
    <t>013360 / 14851</t>
  </si>
  <si>
    <t>SI#14986</t>
  </si>
  <si>
    <t>012421 / 14854</t>
  </si>
  <si>
    <t>SI#14987</t>
  </si>
  <si>
    <t>07/24/2026</t>
  </si>
  <si>
    <t>G &amp; J INDUSTRIAL CORP.</t>
  </si>
  <si>
    <t>013410 / 14853</t>
  </si>
  <si>
    <t>SI#14988</t>
  </si>
  <si>
    <t>09/22/2026</t>
  </si>
  <si>
    <t>013321 / 14855</t>
  </si>
  <si>
    <t>SI#14989</t>
  </si>
  <si>
    <t>013369 / 14859</t>
  </si>
  <si>
    <t>SI#14990</t>
  </si>
  <si>
    <t>013329 / 14860</t>
  </si>
  <si>
    <t>SI#14991</t>
  </si>
  <si>
    <t>EM SABORDO HARDWARE CO.</t>
  </si>
  <si>
    <t>013345 / 14862</t>
  </si>
  <si>
    <t>SI#14992</t>
  </si>
  <si>
    <t>THREE W BUILDERS, INC.</t>
  </si>
  <si>
    <t>013335 / 14865</t>
  </si>
  <si>
    <t>SI#14993</t>
  </si>
  <si>
    <t>SC BROTHERS PACKAGING CORP.</t>
  </si>
  <si>
    <t>013376 / 14866</t>
  </si>
  <si>
    <t>SI#14994</t>
  </si>
  <si>
    <t>013267 / 14871</t>
  </si>
  <si>
    <t>SI#14995</t>
  </si>
  <si>
    <t>013419 / 14873</t>
  </si>
  <si>
    <t>SI#14996</t>
  </si>
  <si>
    <t>NEW MILLENIUM HARDWARE, INC.</t>
  </si>
  <si>
    <t>013199 / 14846</t>
  </si>
  <si>
    <t>SI#14997</t>
  </si>
  <si>
    <t>013249 / 14847</t>
  </si>
  <si>
    <t>SI#14998</t>
  </si>
  <si>
    <t>013319 / 14852</t>
  </si>
  <si>
    <t>SI#14999</t>
  </si>
  <si>
    <t>ELITE MARINE CONSTRUCTION CORPORATION</t>
  </si>
  <si>
    <t>013400 / 14856</t>
  </si>
  <si>
    <t>SI#15000</t>
  </si>
  <si>
    <t>013398 / 14857</t>
  </si>
  <si>
    <t>SI#15001</t>
  </si>
  <si>
    <t>013355 / 14858</t>
  </si>
  <si>
    <t>SI#15002</t>
  </si>
  <si>
    <t>013272 / 14861</t>
  </si>
  <si>
    <t>SI#15003</t>
  </si>
  <si>
    <t>013347 / 14863</t>
  </si>
  <si>
    <t>SI#15004</t>
  </si>
  <si>
    <t>013346 / 14864</t>
  </si>
  <si>
    <t>SI#15005</t>
  </si>
  <si>
    <t>013424 / 14867</t>
  </si>
  <si>
    <t>SI#15006</t>
  </si>
  <si>
    <t>013272 / 14868</t>
  </si>
  <si>
    <t>SI#15007</t>
  </si>
  <si>
    <t>013295 / 14869</t>
  </si>
  <si>
    <t>SI#15008</t>
  </si>
  <si>
    <t>013390 / 14870</t>
  </si>
  <si>
    <t>SI#15009</t>
  </si>
  <si>
    <t>013069 / 14872</t>
  </si>
  <si>
    <t>SI#15010</t>
  </si>
  <si>
    <t>013324 / 14874</t>
  </si>
  <si>
    <t>SI#15011</t>
  </si>
  <si>
    <t>06/25/2026</t>
  </si>
  <si>
    <t>ATC ROCKBUILT RESOURCES, INC.</t>
  </si>
  <si>
    <t>013396 / 14879</t>
  </si>
  <si>
    <t>SI#15012</t>
  </si>
  <si>
    <t>013396 / 14880</t>
  </si>
  <si>
    <t>SI#15013</t>
  </si>
  <si>
    <t>013414 / 14881</t>
  </si>
  <si>
    <t>SI#15014</t>
  </si>
  <si>
    <t>013421 / 14882</t>
  </si>
  <si>
    <t>SI#15015</t>
  </si>
  <si>
    <t>07/25/2026</t>
  </si>
  <si>
    <t>013364 / 14883</t>
  </si>
  <si>
    <t>SI#15016</t>
  </si>
  <si>
    <t>RJ SPRING RUBBER &amp; METAL PARTS MFG.CORP.</t>
  </si>
  <si>
    <t>013138 / 14888</t>
  </si>
  <si>
    <t>SI#15017</t>
  </si>
  <si>
    <t>013273 / 14889</t>
  </si>
  <si>
    <t>SI#15018</t>
  </si>
  <si>
    <t>013254 / 14885</t>
  </si>
  <si>
    <t>SI#15019</t>
  </si>
  <si>
    <t>013257 / 14886</t>
  </si>
  <si>
    <t>SI#15020</t>
  </si>
  <si>
    <t>013259 / 14887</t>
  </si>
  <si>
    <t>SI#15021</t>
  </si>
  <si>
    <t>013250 / 14892</t>
  </si>
  <si>
    <t>SI#15022</t>
  </si>
  <si>
    <t>013393 / 14890</t>
  </si>
  <si>
    <t>SI#15023</t>
  </si>
  <si>
    <t>09/23/2026</t>
  </si>
  <si>
    <t>RICKMARK INDUSTRIAL SALES</t>
  </si>
  <si>
    <t>013391 / 14891</t>
  </si>
  <si>
    <t>SI#15024</t>
  </si>
  <si>
    <t>013451 / 14896</t>
  </si>
  <si>
    <t>SI#15025</t>
  </si>
  <si>
    <t>NFF INDUSTRIAL CORPORATION</t>
  </si>
  <si>
    <t>011769 / 14893</t>
  </si>
  <si>
    <t>SI#15026</t>
  </si>
  <si>
    <t>013434 / 14894</t>
  </si>
  <si>
    <t>SI#15027</t>
  </si>
  <si>
    <t>NTPI INTERNATIONAL, INC.</t>
  </si>
  <si>
    <t>013394 / 14895</t>
  </si>
  <si>
    <t>SI#15028</t>
  </si>
  <si>
    <t>013461 /</t>
  </si>
  <si>
    <t>SI#15029</t>
  </si>
  <si>
    <t>08/24/2026</t>
  </si>
  <si>
    <t>013409 / 14875</t>
  </si>
  <si>
    <t>SI#15030</t>
  </si>
  <si>
    <t>LINTON INCORPORATED</t>
  </si>
  <si>
    <t>013402 / 14876</t>
  </si>
  <si>
    <t>SI#15031</t>
  </si>
  <si>
    <t>013357 / 14877</t>
  </si>
  <si>
    <t>SI#15032</t>
  </si>
  <si>
    <t>013401 / 14884</t>
  </si>
  <si>
    <t>SI#15033</t>
  </si>
  <si>
    <t>013431 / 14897</t>
  </si>
  <si>
    <t>SI#15034</t>
  </si>
  <si>
    <t>012459 / 14898</t>
  </si>
  <si>
    <t>SI#15035</t>
  </si>
  <si>
    <t>013443 / 14899</t>
  </si>
  <si>
    <t>SI#15036</t>
  </si>
  <si>
    <t>013227 / 14900</t>
  </si>
  <si>
    <t>SI#15037</t>
  </si>
  <si>
    <t>NEW SGC INDUSTRIAL SALES CORPORATION</t>
  </si>
  <si>
    <t>013453 / 14901</t>
  </si>
  <si>
    <t>SI#15038</t>
  </si>
  <si>
    <t>013320 / 14902</t>
  </si>
  <si>
    <t>SI#15039</t>
  </si>
  <si>
    <t>013417 / 14903</t>
  </si>
  <si>
    <t>SI#15040</t>
  </si>
  <si>
    <t>013437 / 14904</t>
  </si>
  <si>
    <t>SI#15041</t>
  </si>
  <si>
    <t>013406 / 14905</t>
  </si>
  <si>
    <t>SI#15042</t>
  </si>
  <si>
    <t>013408 / 14906</t>
  </si>
  <si>
    <t>SI#15043</t>
  </si>
  <si>
    <t>013261 / 14907</t>
  </si>
  <si>
    <t>SI#15044</t>
  </si>
  <si>
    <t>013381 / 14908</t>
  </si>
  <si>
    <t>SI#15045</t>
  </si>
  <si>
    <t>013387 / 14909</t>
  </si>
  <si>
    <t>SI#15046</t>
  </si>
  <si>
    <t>013445 / 14910</t>
  </si>
  <si>
    <t>SI#15047</t>
  </si>
  <si>
    <t>013464 / 14911</t>
  </si>
  <si>
    <t>SI#15048</t>
  </si>
  <si>
    <t>06/26/2026</t>
  </si>
  <si>
    <t>08/25/2026</t>
  </si>
  <si>
    <t>013439 /</t>
  </si>
  <si>
    <t>SI#15049</t>
  </si>
  <si>
    <t>09/24/2026</t>
  </si>
  <si>
    <t>RBA ENGINEERING &amp; MACHINE SHOP</t>
  </si>
  <si>
    <t>013260 / 14920</t>
  </si>
  <si>
    <t>SI#15050</t>
  </si>
  <si>
    <t>013486 / 14928</t>
  </si>
  <si>
    <t>SI#15051</t>
  </si>
  <si>
    <t>013438 / 14934</t>
  </si>
  <si>
    <t>SI#15052</t>
  </si>
  <si>
    <t>SMART FORM SYSTEM PHILIPPINES INC</t>
  </si>
  <si>
    <t>013455 / 14940</t>
  </si>
  <si>
    <t>SI#15053</t>
  </si>
  <si>
    <t>013492 / 14951</t>
  </si>
  <si>
    <t>SI#15054</t>
  </si>
  <si>
    <t>07/26/2026</t>
  </si>
  <si>
    <t>SI#15055</t>
  </si>
  <si>
    <t>SI#15056</t>
  </si>
  <si>
    <t>013209 / 14912</t>
  </si>
  <si>
    <t>SI#15057</t>
  </si>
  <si>
    <t>013380 / 14913</t>
  </si>
  <si>
    <t>SI#15058</t>
  </si>
  <si>
    <t>REFTEC INDUSTRIAL SUPPLY &amp; SERVICES INC.</t>
  </si>
  <si>
    <t>013405 / 14914</t>
  </si>
  <si>
    <t>SI#15059</t>
  </si>
  <si>
    <t>013417 / 14915</t>
  </si>
  <si>
    <t>SI#15060</t>
  </si>
  <si>
    <t>013261 / 14916</t>
  </si>
  <si>
    <t>SI#15061</t>
  </si>
  <si>
    <t>013302 / 14917</t>
  </si>
  <si>
    <t>SI#15062</t>
  </si>
  <si>
    <t>TRIPLE YVONNE ENTERPRISES</t>
  </si>
  <si>
    <t>013361 / 14919</t>
  </si>
  <si>
    <t>SI#15063</t>
  </si>
  <si>
    <t>013361 / 14921</t>
  </si>
  <si>
    <t>SI#15064</t>
  </si>
  <si>
    <t>013386 / 14922</t>
  </si>
  <si>
    <t>SI#15065</t>
  </si>
  <si>
    <t>013380 / 14923</t>
  </si>
  <si>
    <t>SI#15066</t>
  </si>
  <si>
    <t>013235 / 14924</t>
  </si>
  <si>
    <t>SI#15067</t>
  </si>
  <si>
    <t>013240 / 14925</t>
  </si>
  <si>
    <t>SI#15068</t>
  </si>
  <si>
    <t>013240 / 14926</t>
  </si>
  <si>
    <t>SI#15069</t>
  </si>
  <si>
    <t>013303 / 14927</t>
  </si>
  <si>
    <t>SI#15070</t>
  </si>
  <si>
    <t>JLIM PACIFIC BUILDERS CORPORATION</t>
  </si>
  <si>
    <t>013379 / 14930</t>
  </si>
  <si>
    <t>SI#15071</t>
  </si>
  <si>
    <t>013379 / 14931</t>
  </si>
  <si>
    <t>SI#15072</t>
  </si>
  <si>
    <t>012255 / 14932</t>
  </si>
  <si>
    <t>SI#15073</t>
  </si>
  <si>
    <t>012256 / 14933</t>
  </si>
  <si>
    <t>SI#15074</t>
  </si>
  <si>
    <t>013452 / 14929</t>
  </si>
  <si>
    <t>SI#15075</t>
  </si>
  <si>
    <t>013377 / 14936</t>
  </si>
  <si>
    <t>SI#15076</t>
  </si>
  <si>
    <t>013448 / 14937</t>
  </si>
  <si>
    <t>SI#15077</t>
  </si>
  <si>
    <t>013474 / 14938</t>
  </si>
  <si>
    <t>SI#15078</t>
  </si>
  <si>
    <t>013416 / 14941</t>
  </si>
  <si>
    <t>SI#15079</t>
  </si>
  <si>
    <t>013412 / 14942</t>
  </si>
  <si>
    <t>SI#15080</t>
  </si>
  <si>
    <t>013359 / 14943</t>
  </si>
  <si>
    <t>SI#15081</t>
  </si>
  <si>
    <t>013362 / 14944</t>
  </si>
  <si>
    <t>SI#15082</t>
  </si>
  <si>
    <t>013341 / 14945</t>
  </si>
  <si>
    <t>SI#15083</t>
  </si>
  <si>
    <t>013428 / 14946</t>
  </si>
  <si>
    <t>SI#15084</t>
  </si>
  <si>
    <t>013298 / 14947</t>
  </si>
  <si>
    <t>SI#15085</t>
  </si>
  <si>
    <t>013411 / 14949</t>
  </si>
  <si>
    <t>SI#15086</t>
  </si>
  <si>
    <t>013371 / 14950</t>
  </si>
  <si>
    <t>SI#15087</t>
  </si>
  <si>
    <t>012475 / 14952</t>
  </si>
  <si>
    <t>SI#15088</t>
  </si>
  <si>
    <t>013497 / 14953</t>
  </si>
  <si>
    <t>SI#15089</t>
  </si>
  <si>
    <t>06/27/2026</t>
  </si>
  <si>
    <t>013476 / 14935</t>
  </si>
  <si>
    <t>SI#15090</t>
  </si>
  <si>
    <t>MG2K HARDWARE &amp; CONSTRUCTION SUPPLIES</t>
  </si>
  <si>
    <t>013467 / 14954</t>
  </si>
  <si>
    <t>SI#15091</t>
  </si>
  <si>
    <t>06/29/2026</t>
  </si>
  <si>
    <t>013415 / 14957</t>
  </si>
  <si>
    <t>SI#15092</t>
  </si>
  <si>
    <t>ANGELFIELDS INC.</t>
  </si>
  <si>
    <t>013435 / 14956</t>
  </si>
  <si>
    <t>SI#15093</t>
  </si>
  <si>
    <t>013197 / 14955</t>
  </si>
  <si>
    <t>SI#15094</t>
  </si>
  <si>
    <t>013449 / 14969</t>
  </si>
  <si>
    <t>SI#15095</t>
  </si>
  <si>
    <t>013456 / 14970</t>
  </si>
  <si>
    <t>SI#15096</t>
  </si>
  <si>
    <t>09/27/2026</t>
  </si>
  <si>
    <t>013513 / 14962</t>
  </si>
  <si>
    <t>SI#15097</t>
  </si>
  <si>
    <t>013488 / 14982</t>
  </si>
  <si>
    <t>SI#15098</t>
  </si>
  <si>
    <t>013498 / 14984</t>
  </si>
  <si>
    <t>SI#15099</t>
  </si>
  <si>
    <t>012852 / 14958</t>
  </si>
  <si>
    <t>SI#15100</t>
  </si>
  <si>
    <t>013137 / 14959</t>
  </si>
  <si>
    <t>SI#15101</t>
  </si>
  <si>
    <t>013191 / 14960</t>
  </si>
  <si>
    <t>SI#15102</t>
  </si>
  <si>
    <t>07/29/2026</t>
  </si>
  <si>
    <t>013469 / 14961</t>
  </si>
  <si>
    <t>SI#15103</t>
  </si>
  <si>
    <t>08/28/2026</t>
  </si>
  <si>
    <t>013080 / 14963</t>
  </si>
  <si>
    <t>SI#15104</t>
  </si>
  <si>
    <t>013157 / 14964</t>
  </si>
  <si>
    <t>SI#15105</t>
  </si>
  <si>
    <t>013241 / 14965</t>
  </si>
  <si>
    <t>SI#15106</t>
  </si>
  <si>
    <t>013242 / 14966</t>
  </si>
  <si>
    <t>SI#15107</t>
  </si>
  <si>
    <t>013243 / 14967</t>
  </si>
  <si>
    <t>SI#15108</t>
  </si>
  <si>
    <t>013454 / 14968</t>
  </si>
  <si>
    <t>SI#15109</t>
  </si>
  <si>
    <t>013392 / 14971</t>
  </si>
  <si>
    <t>SI#15110</t>
  </si>
  <si>
    <t>013141 / 14972</t>
  </si>
  <si>
    <t>SI#15111</t>
  </si>
  <si>
    <t>013477 / 14973</t>
  </si>
  <si>
    <t>SI#15112</t>
  </si>
  <si>
    <t>013510 / 14974</t>
  </si>
  <si>
    <t>SI#15113</t>
  </si>
  <si>
    <t>013452 / 14975</t>
  </si>
  <si>
    <t>SI#15114</t>
  </si>
  <si>
    <t>ISABELA DATU ENTERPRISES CORPORATION</t>
  </si>
  <si>
    <t>013142 / 14976</t>
  </si>
  <si>
    <t>SI#15115</t>
  </si>
  <si>
    <t>013433 / 14977</t>
  </si>
  <si>
    <t>SI#15116</t>
  </si>
  <si>
    <t>012791 / 14978</t>
  </si>
  <si>
    <t>SI#15117</t>
  </si>
  <si>
    <t>013338 / 14979</t>
  </si>
  <si>
    <t>SI#15118</t>
  </si>
  <si>
    <t>013429 / 14980</t>
  </si>
  <si>
    <t>SI#15119</t>
  </si>
  <si>
    <t>013503 / 14981</t>
  </si>
  <si>
    <t>SI#15120</t>
  </si>
  <si>
    <t>013452 / 14983</t>
  </si>
  <si>
    <t>SI#15121</t>
  </si>
  <si>
    <t>013301 / 14985</t>
  </si>
  <si>
    <t>SI#15122</t>
  </si>
  <si>
    <t>012972 / 14986</t>
  </si>
  <si>
    <t>SI#15123</t>
  </si>
  <si>
    <t>013190 / 14987</t>
  </si>
  <si>
    <t>SI#15124</t>
  </si>
  <si>
    <t>013385 / 14988</t>
  </si>
  <si>
    <t>SI#15125</t>
  </si>
  <si>
    <t>013472 / 14989</t>
  </si>
  <si>
    <t>SI#15126</t>
  </si>
  <si>
    <t>013479 / 14990</t>
  </si>
  <si>
    <t>SI#15127</t>
  </si>
  <si>
    <t>013496 / 14991</t>
  </si>
  <si>
    <t>SI#15128</t>
  </si>
  <si>
    <t>013462 / 14992</t>
  </si>
  <si>
    <t>SI#15129</t>
  </si>
  <si>
    <t>013527 / 14993</t>
  </si>
  <si>
    <t>SI#15130</t>
  </si>
  <si>
    <t>013070 / 14994</t>
  </si>
  <si>
    <t>SI#15131</t>
  </si>
  <si>
    <t>06/30/2026</t>
  </si>
  <si>
    <t>09/28/2026</t>
  </si>
  <si>
    <t>013457 / 14995</t>
  </si>
  <si>
    <t>SI#15132</t>
  </si>
  <si>
    <t>08/29/2026</t>
  </si>
  <si>
    <t>013142 / 14997</t>
  </si>
  <si>
    <t>SI#15133</t>
  </si>
  <si>
    <t>HAN MIN VENTURES REALTY CORP</t>
  </si>
  <si>
    <t>013523 / 14999</t>
  </si>
  <si>
    <t>SI#15134</t>
  </si>
  <si>
    <t>45 DAYS PDC-BD</t>
  </si>
  <si>
    <t>RCBNS TRADING INC.</t>
  </si>
  <si>
    <t>013374 / 14998</t>
  </si>
  <si>
    <t>SI#15135</t>
  </si>
  <si>
    <t>013466 / 15001</t>
  </si>
  <si>
    <t>SI#15136</t>
  </si>
  <si>
    <t>07/30/2026</t>
  </si>
  <si>
    <t>013517 / 15006</t>
  </si>
  <si>
    <t>SI#15137</t>
  </si>
  <si>
    <t>013522 / 15005</t>
  </si>
  <si>
    <t>SI#15138</t>
  </si>
  <si>
    <t>012827 / 15003</t>
  </si>
  <si>
    <t>SI#15139</t>
  </si>
  <si>
    <t>013478 / 15002</t>
  </si>
  <si>
    <t>SI#15140</t>
  </si>
  <si>
    <t>013465 / 15010</t>
  </si>
  <si>
    <t>SI#15141</t>
  </si>
  <si>
    <t>BME PARTNERS INCORPORATED</t>
  </si>
  <si>
    <t>013365 / 15000</t>
  </si>
  <si>
    <t>SI#15142</t>
  </si>
  <si>
    <t>013365 / 15004</t>
  </si>
  <si>
    <t>SI#15143</t>
  </si>
  <si>
    <t>012479 / 15025</t>
  </si>
  <si>
    <t>SI#15144</t>
  </si>
  <si>
    <t>SI#15145</t>
  </si>
  <si>
    <t>013082 / 15024</t>
  </si>
  <si>
    <t>SI#15146</t>
  </si>
  <si>
    <t>013316 / 15026</t>
  </si>
  <si>
    <t>SI#15147</t>
  </si>
  <si>
    <t>013504 / 14996</t>
  </si>
  <si>
    <t>SI#15148</t>
  </si>
  <si>
    <t>013458 / 15007</t>
  </si>
  <si>
    <t>SI#15149</t>
  </si>
  <si>
    <t>013463 / 15008</t>
  </si>
  <si>
    <t>SI#15150</t>
  </si>
  <si>
    <t>013526 / 15009</t>
  </si>
  <si>
    <t>SI#15151</t>
  </si>
  <si>
    <t>013367 / 15018</t>
  </si>
  <si>
    <t>SI#15152</t>
  </si>
  <si>
    <t>013524 / 15019</t>
  </si>
  <si>
    <t>SI#15153</t>
  </si>
  <si>
    <t>013163 / 15023</t>
  </si>
  <si>
    <t>SI#15154</t>
  </si>
  <si>
    <t>013283 / 15022</t>
  </si>
  <si>
    <t>SI#15155</t>
  </si>
  <si>
    <t>013334 / 15021</t>
  </si>
  <si>
    <t>SI#15156</t>
  </si>
  <si>
    <t>013336 / 15020</t>
  </si>
  <si>
    <t>SI#15157</t>
  </si>
  <si>
    <t>013562 / 15027</t>
  </si>
  <si>
    <t>SI#15158</t>
  </si>
  <si>
    <t>DEECKIAM STEEL &amp; CONSTRUCTION CORP.</t>
  </si>
  <si>
    <t>013520 / 15017</t>
  </si>
  <si>
    <t>SI#15159</t>
  </si>
  <si>
    <t>013509 / 15013</t>
  </si>
  <si>
    <t>SI#15160</t>
  </si>
  <si>
    <t>013395 / 15012</t>
  </si>
  <si>
    <t>SI#15161</t>
  </si>
  <si>
    <t>013071 / 15011</t>
  </si>
  <si>
    <t>CM#001031 (REG)</t>
  </si>
  <si>
    <t>/ 12198</t>
  </si>
  <si>
    <t>CM#001032 (REG)</t>
  </si>
  <si>
    <t>/ 12808</t>
  </si>
  <si>
    <t>CM#001033 (REG)</t>
  </si>
  <si>
    <t>/ 12592</t>
  </si>
  <si>
    <t>CM#001034 (REG)</t>
  </si>
  <si>
    <t>/ 14686</t>
  </si>
  <si>
    <t>CM#001035 (REG)</t>
  </si>
  <si>
    <t>/ 13775</t>
  </si>
  <si>
    <t>CM#001036 (REG)</t>
  </si>
  <si>
    <t>KAONG KILN DRY WOOD SERVICES</t>
  </si>
  <si>
    <t>/ 10964</t>
  </si>
  <si>
    <t>CM#001037 (REG)</t>
  </si>
  <si>
    <t>COMPOSTELASTEEL, INC.</t>
  </si>
  <si>
    <t>/ 14045</t>
  </si>
  <si>
    <t>CM#001038 (REG)</t>
  </si>
  <si>
    <t>/ 14046</t>
  </si>
  <si>
    <t>CM#001039 (REG)</t>
  </si>
  <si>
    <t>/ 14047</t>
  </si>
  <si>
    <t>CM#001040 (REG)</t>
  </si>
  <si>
    <t>/ 14048</t>
  </si>
  <si>
    <t>CM#001041 (REG)</t>
  </si>
  <si>
    <t>/ 14049</t>
  </si>
  <si>
    <t>CM#001042 (REG)</t>
  </si>
  <si>
    <t>/ 14050</t>
  </si>
  <si>
    <t>CM#001043 (REG)</t>
  </si>
  <si>
    <t>/ 14051</t>
  </si>
  <si>
    <t>CM#001044 (REG)</t>
  </si>
  <si>
    <t>06/13/2026</t>
  </si>
  <si>
    <t>/ 10992</t>
  </si>
  <si>
    <t>CM#001045 (REG)</t>
  </si>
  <si>
    <t>/ 14075</t>
  </si>
  <si>
    <t>CM#001046 (REG)</t>
  </si>
  <si>
    <t>/ 12554</t>
  </si>
  <si>
    <t>CM#001047 (REG)</t>
  </si>
  <si>
    <t>SANFA MFG. LTD. CO</t>
  </si>
  <si>
    <t>/ 12399</t>
  </si>
  <si>
    <t>CM#001048 (REG)</t>
  </si>
  <si>
    <t>/ 14479</t>
  </si>
  <si>
    <t>CM#001049 (REG)</t>
  </si>
  <si>
    <t>/ 14115</t>
  </si>
  <si>
    <t>CM#001050 (REG)</t>
  </si>
  <si>
    <t>FRV TRUCKING CORPORATION</t>
  </si>
  <si>
    <t>/ 13823</t>
  </si>
  <si>
    <t>CM#001051 (REG)</t>
  </si>
  <si>
    <t>RCDS CONSTRUCTION AND SUPPLY INC.</t>
  </si>
  <si>
    <t>/ 10635</t>
  </si>
  <si>
    <t>CM#001052 (REG)</t>
  </si>
  <si>
    <t>/ 9830</t>
  </si>
  <si>
    <t>CM#001053 (REG)</t>
  </si>
  <si>
    <t>/ 11465</t>
  </si>
  <si>
    <t>CM#003127 (REG)</t>
  </si>
  <si>
    <t>/ 13895</t>
  </si>
  <si>
    <t>CM#003132 (REG)</t>
  </si>
  <si>
    <t>/ 14668</t>
  </si>
  <si>
    <t>CM#003138 (REG)</t>
  </si>
  <si>
    <t>/ 14366</t>
  </si>
  <si>
    <t>CM#003139 (REG)</t>
  </si>
  <si>
    <t>/ 14545</t>
  </si>
  <si>
    <t>CM#003140 (REG)</t>
  </si>
  <si>
    <t>/ 14533</t>
  </si>
  <si>
    <t>CM#003142 (REG)</t>
  </si>
  <si>
    <t>/ 14759</t>
  </si>
  <si>
    <t>CM#003143 (REG)</t>
  </si>
  <si>
    <t>BONANZA FISHING &amp; MARKET RESOURCES, INC.</t>
  </si>
  <si>
    <t>/ 13323</t>
  </si>
  <si>
    <t>CM#003144 (REG)</t>
  </si>
  <si>
    <t>08/12/2026</t>
  </si>
  <si>
    <t>/ 11734</t>
  </si>
  <si>
    <t>CM#003145 (REG)</t>
  </si>
  <si>
    <t>/ 13459</t>
  </si>
  <si>
    <t>CM#003148 (REG)</t>
  </si>
  <si>
    <t>/ 14784</t>
  </si>
  <si>
    <t>CM#003153 (REG)</t>
  </si>
  <si>
    <t>/ 14730</t>
  </si>
  <si>
    <t>CM#003154 (REG)</t>
  </si>
  <si>
    <t>/ 14371</t>
  </si>
  <si>
    <t>CM#003158 (REG)</t>
  </si>
  <si>
    <t>/ 14639</t>
  </si>
  <si>
    <t>CM#003159 (REG)</t>
  </si>
  <si>
    <t>MANILA BAZAR, INC.</t>
  </si>
  <si>
    <t>/ 13837</t>
  </si>
  <si>
    <t>CM#003160 (REG)</t>
  </si>
  <si>
    <t>/ 14830</t>
  </si>
  <si>
    <t>CM#003162 (REG)</t>
  </si>
  <si>
    <t>/ 14922</t>
  </si>
  <si>
    <t>CM#003163 (REG)</t>
  </si>
  <si>
    <t>/ 14628</t>
  </si>
  <si>
    <t>CM#003164 (REG)</t>
  </si>
  <si>
    <t>/ 14627</t>
  </si>
  <si>
    <t>CM#003165 (REG)</t>
  </si>
  <si>
    <t>/ 14626</t>
  </si>
  <si>
    <t>CM#003171 (REG)</t>
  </si>
  <si>
    <t>/ 14602</t>
  </si>
  <si>
    <t>CM#003175 (REG)</t>
  </si>
  <si>
    <t>/ 14999</t>
  </si>
  <si>
    <t>CM#003176 (REG)</t>
  </si>
  <si>
    <t>/ 15000</t>
  </si>
  <si>
    <t>CM#003177 (REG)</t>
  </si>
  <si>
    <t>/ 15048</t>
  </si>
  <si>
    <t>CM#003178 (REG)</t>
  </si>
  <si>
    <t>/ 15054</t>
  </si>
  <si>
    <t>CM#003179 (REG)</t>
  </si>
  <si>
    <t>/ 15055</t>
  </si>
  <si>
    <t>CM#003180 (REG)</t>
  </si>
  <si>
    <t>/ 15069</t>
  </si>
  <si>
    <t>CM#003182 (REG)</t>
  </si>
  <si>
    <t>/ 15056</t>
  </si>
  <si>
    <t>CM#003183 (REG)</t>
  </si>
  <si>
    <t>/ 15053</t>
  </si>
  <si>
    <t>CM#003184 (REG)</t>
  </si>
  <si>
    <t>YCA METALFORMING CORPORATION</t>
  </si>
  <si>
    <t>/ 14112</t>
  </si>
  <si>
    <t>CM#003187 (REG)</t>
  </si>
  <si>
    <t>/ 14799</t>
  </si>
  <si>
    <t>DM#003096 (REG)</t>
  </si>
  <si>
    <t>/ 14692</t>
  </si>
  <si>
    <t>DM#003097 (REG)</t>
  </si>
  <si>
    <t>/ 14593</t>
  </si>
  <si>
    <t>DM#003098 (REG)</t>
  </si>
  <si>
    <t>/ 14703</t>
  </si>
  <si>
    <t>DM#003099 (REG)</t>
  </si>
  <si>
    <t>/ 14669</t>
  </si>
  <si>
    <t>DM#003100 (REG)</t>
  </si>
  <si>
    <t>/ 11509</t>
  </si>
  <si>
    <t>DM#003101 (REG)</t>
  </si>
  <si>
    <t>/ SO 13111</t>
  </si>
  <si>
    <t>DM#003102 (REG)</t>
  </si>
  <si>
    <t>/ SI 14726-27</t>
  </si>
  <si>
    <t>DM#003103 (REG)</t>
  </si>
  <si>
    <t>/ 14884</t>
  </si>
  <si>
    <t>DM#003104 (REG)</t>
  </si>
  <si>
    <t>/ 14906</t>
  </si>
  <si>
    <t>DM#003105 (REG)</t>
  </si>
  <si>
    <t>/ 14705</t>
  </si>
  <si>
    <t>DM#003106 (REG)</t>
  </si>
  <si>
    <t>/ SO 12220</t>
  </si>
  <si>
    <t>DM#003107 (REG)</t>
  </si>
  <si>
    <t>/ 15012</t>
  </si>
  <si>
    <t>DM#003108 (REG)</t>
  </si>
  <si>
    <t>/ 15086</t>
  </si>
  <si>
    <t>DM#003110 (REG)</t>
  </si>
  <si>
    <t>/ 15151</t>
  </si>
  <si>
    <t>TOTAL:</t>
  </si>
  <si>
    <t>tooling</t>
  </si>
  <si>
    <t>delivery charge</t>
  </si>
  <si>
    <t>Net Charges</t>
  </si>
  <si>
    <t>Total</t>
  </si>
  <si>
    <t>delivery</t>
  </si>
  <si>
    <t>SI#</t>
  </si>
  <si>
    <t>Client</t>
  </si>
  <si>
    <t>FORTRESS STEEL INC.</t>
  </si>
  <si>
    <t>SALES BOOK (JUNE 2026)</t>
  </si>
  <si>
    <t>TOTAL SALES ( JUNE 2026)</t>
  </si>
  <si>
    <t xml:space="preserve">Agent </t>
  </si>
  <si>
    <t>SALES PER AGENT  (JUNE 2026)</t>
  </si>
  <si>
    <t>INVOICE AMOUNT</t>
  </si>
  <si>
    <t>SALES</t>
  </si>
  <si>
    <t>PER CUSTOMER</t>
  </si>
  <si>
    <t>PER AGENT</t>
  </si>
  <si>
    <t xml:space="preserve">Delivery </t>
  </si>
  <si>
    <t>Delivery</t>
  </si>
  <si>
    <t>Tooling</t>
  </si>
  <si>
    <t>NET OF CHARGES</t>
  </si>
  <si>
    <t>CHARGES</t>
  </si>
  <si>
    <t>OTHER CHARGES (JUNE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</si>
</sst>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#,##0.00;\(#,##0.00\)"/>
  </numFmts>
  <fonts count="4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5">
    <xf numFmtId="0" fontId="0" fillId="0" borderId="0" xfId="0" applyFont="1" applyFill="1" applyBorder="1"/>
    <xf numFmtId="0" fontId="1" fillId="0" borderId="0" xfId="0" applyFont="1" applyFill="1" applyBorder="1"/>
    <xf numFmtId="0" fontId="0" fillId="0" borderId="1" xfId="0" applyFont="1" applyFill="1" applyBorder="1"/>
    <xf numFmtId="0" fontId="0" fillId="0" borderId="0" xfId="0" applyFont="1" applyFill="1" applyBorder="1" applyAlignment="1">
      <alignment horizontal="left"/>
    </xf>
    <xf numFmtId="164" fontId="0" fillId="0" borderId="0" xfId="0" applyNumberFormat="1" applyFont="1" applyFill="1" applyBorder="1"/>
    <xf numFmtId="4" fontId="0" fillId="0" borderId="0" xfId="0" applyNumberFormat="1" applyFont="1" applyFill="1" applyBorder="1"/>
    <xf numFmtId="1" fontId="0" fillId="0" borderId="0" xfId="0" applyNumberFormat="1" applyFont="1" applyFill="1" applyBorder="1"/>
    <xf numFmtId="2" fontId="0" fillId="0" borderId="0" xfId="0" applyNumberFormat="1" applyFont="1" applyFill="1" applyBorder="1"/>
    <xf numFmtId="0" fontId="0" fillId="0" borderId="0" xfId="0" applyFont="1" applyFill="1" applyBorder="1"/>
    <xf numFmtId="4" fontId="0" fillId="2" borderId="0" xfId="0" applyNumberFormat="1" applyFont="1" applyFill="1" applyBorder="1"/>
    <xf numFmtId="0" fontId="0" fillId="2" borderId="0" xfId="0" applyFont="1" applyFill="1" applyBorder="1"/>
    <xf numFmtId="1" fontId="0" fillId="2" borderId="0" xfId="0" applyNumberFormat="1" applyFont="1" applyFill="1" applyBorder="1"/>
    <xf numFmtId="2" fontId="0" fillId="2" borderId="0" xfId="0" applyNumberFormat="1" applyFont="1" applyFill="1" applyBorder="1"/>
    <xf numFmtId="0" fontId="0" fillId="0" borderId="0" xfId="0" quotePrefix="1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0" xfId="0" quotePrefix="1" applyFont="1" applyFill="1" applyBorder="1" applyAlignment="1">
      <alignment horizontal="left"/>
    </xf>
    <xf numFmtId="1" fontId="0" fillId="0" borderId="1" xfId="0" applyNumberFormat="1" applyFont="1" applyFill="1" applyBorder="1"/>
    <xf numFmtId="4" fontId="0" fillId="0" borderId="1" xfId="0" applyNumberFormat="1" applyFont="1" applyFill="1" applyBorder="1"/>
    <xf numFmtId="2" fontId="0" fillId="0" borderId="1" xfId="0" applyNumberFormat="1" applyFont="1" applyFill="1" applyBorder="1"/>
    <xf numFmtId="164" fontId="0" fillId="0" borderId="1" xfId="0" applyNumberFormat="1" applyFont="1" applyFill="1" applyBorder="1"/>
    <xf numFmtId="43" fontId="0" fillId="0" borderId="1" xfId="1" applyFont="1" applyFill="1" applyBorder="1"/>
    <xf numFmtId="0" fontId="3" fillId="0" borderId="0" xfId="0" applyFont="1" applyFill="1" applyBorder="1" applyAlignment="1"/>
    <xf numFmtId="0" fontId="1" fillId="3" borderId="1" xfId="0" applyFont="1" applyFill="1" applyBorder="1" applyAlignment="1">
      <alignment horizontal="center"/>
    </xf>
    <xf numFmtId="0" fontId="0" fillId="3" borderId="1" xfId="0" applyFont="1" applyFill="1" applyBorder="1" applyAlignment="1">
      <alignment horizontal="center"/>
    </xf>
    <xf numFmtId="0" fontId="0" fillId="0" borderId="0" xfId="0" applyFont="1" applyFill="1" applyBorder="1"/>
    <xf numFmtId="0" fontId="3" fillId="0" borderId="2" xfId="0" applyFont="1" applyFill="1" applyBorder="1"/>
    <xf numFmtId="0" fontId="3" fillId="0" borderId="0" xfId="0" applyFont="1" applyFill="1" applyBorder="1"/>
    <xf numFmtId="4" fontId="3" fillId="0" borderId="0" xfId="0" applyNumberFormat="1" applyFont="1" applyFill="1" applyBorder="1"/>
    <xf numFmtId="43" fontId="3" fillId="0" borderId="0" xfId="1" applyFont="1" applyFill="1" applyBorder="1"/>
    <xf numFmtId="0" fontId="3" fillId="3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3" xfId="0" applyFont="1" applyFill="1" applyBorder="1"/>
    <xf numFmtId="4" fontId="0" fillId="0" borderId="1" xfId="0" applyNumberFormat="1" applyFont="1" applyFill="1" applyBorder="1" applyAlignment="1">
      <alignment horizontal="center" vertical="center"/>
    </xf>
    <xf numFmtId="0" fontId="0" fillId="0" borderId="0" xfId="0" applyFont="1" applyFill="1" applyBorder="1"/>
    <xf numFmtId="4" fontId="0" fillId="0" borderId="6" xfId="0" applyNumberFormat="1" applyFont="1" applyFill="1" applyBorder="1" applyAlignment="1">
      <alignment horizontal="center" vertical="center"/>
    </xf>
    <xf numFmtId="0" fontId="0" fillId="2" borderId="1" xfId="0" applyFont="1" applyFill="1" applyBorder="1"/>
    <xf numFmtId="1" fontId="0" fillId="2" borderId="1" xfId="0" applyNumberFormat="1" applyFont="1" applyFill="1" applyBorder="1"/>
    <xf numFmtId="4" fontId="0" fillId="2" borderId="1" xfId="0" applyNumberFormat="1" applyFont="1" applyFill="1" applyBorder="1"/>
    <xf numFmtId="0" fontId="0" fillId="2" borderId="3" xfId="0" applyFont="1" applyFill="1" applyBorder="1"/>
    <xf numFmtId="4" fontId="0" fillId="0" borderId="0" xfId="0" applyNumberFormat="1" applyFont="1" applyFill="1" applyBorder="1" applyAlignment="1">
      <alignment horizontal="center" vertical="center"/>
    </xf>
    <xf numFmtId="4" fontId="0" fillId="0" borderId="8" xfId="0" applyNumberFormat="1" applyFont="1" applyFill="1" applyBorder="1" applyAlignment="1">
      <alignment horizontal="center" vertical="center"/>
    </xf>
    <xf numFmtId="4" fontId="0" fillId="0" borderId="3" xfId="0" applyNumberFormat="1" applyFont="1" applyFill="1" applyBorder="1" applyAlignment="1">
      <alignment horizontal="center" vertical="center"/>
    </xf>
    <xf numFmtId="4" fontId="0" fillId="0" borderId="0" xfId="0" applyNumberFormat="1" applyFont="1" applyFill="1" applyBorder="1" applyAlignment="1">
      <alignment vertical="center"/>
    </xf>
    <xf numFmtId="4" fontId="0" fillId="0" borderId="1" xfId="0" applyNumberFormat="1" applyFont="1" applyFill="1" applyBorder="1" applyAlignment="1">
      <alignment horizontal="center"/>
    </xf>
    <xf numFmtId="43" fontId="0" fillId="0" borderId="0" xfId="0" applyNumberFormat="1" applyFont="1" applyFill="1" applyBorder="1"/>
    <xf numFmtId="0" fontId="1" fillId="0" borderId="0" xfId="0" quotePrefix="1" applyFont="1" applyFill="1" applyBorder="1" applyAlignment="1">
      <alignment horizontal="left"/>
    </xf>
    <xf numFmtId="4" fontId="1" fillId="0" borderId="0" xfId="0" applyNumberFormat="1" applyFont="1" applyFill="1" applyBorder="1"/>
    <xf numFmtId="0" fontId="1" fillId="3" borderId="5" xfId="0" applyFont="1" applyFill="1" applyBorder="1" applyAlignment="1"/>
    <xf numFmtId="0" fontId="1" fillId="3" borderId="6" xfId="0" applyFont="1" applyFill="1" applyBorder="1" applyAlignment="1"/>
    <xf numFmtId="0" fontId="1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2" xfId="0" applyFont="1" applyFill="1" applyBorder="1" applyAlignment="1">
      <alignment horizontal="center"/>
    </xf>
    <xf numFmtId="0" fontId="0" fillId="0" borderId="0" xfId="0" applyFont="1" applyFill="1" applyBorder="1"/>
    <xf numFmtId="0" fontId="0" fillId="3" borderId="0" xfId="0" applyFont="1" applyFill="1" applyBorder="1"/>
    <xf numFmtId="1" fontId="0" fillId="3" borderId="0" xfId="0" applyNumberFormat="1" applyFont="1" applyFill="1" applyBorder="1"/>
    <xf numFmtId="4" fontId="0" fillId="3" borderId="0" xfId="0" applyNumberFormat="1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  <xf numFmtId="0" fontId="3" fillId="0" borderId="3" xfId="0" applyFont="1" applyFill="1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" fontId="0" fillId="0" borderId="5" xfId="0" applyNumberFormat="1" applyFont="1" applyFill="1" applyBorder="1" applyAlignment="1">
      <alignment horizontal="center" vertical="center"/>
    </xf>
    <xf numFmtId="4" fontId="0" fillId="0" borderId="2" xfId="0" applyNumberFormat="1" applyFont="1" applyFill="1" applyBorder="1" applyAlignment="1">
      <alignment horizontal="center" vertical="center"/>
    </xf>
    <xf numFmtId="4" fontId="0" fillId="0" borderId="6" xfId="0" applyNumberFormat="1" applyFont="1" applyFill="1" applyBorder="1" applyAlignment="1">
      <alignment horizontal="center" vertical="center"/>
    </xf>
    <xf numFmtId="4" fontId="0" fillId="0" borderId="7" xfId="0" applyNumberFormat="1" applyFont="1" applyFill="1" applyBorder="1" applyAlignment="1">
      <alignment horizontal="center" vertical="center"/>
    </xf>
    <xf numFmtId="4" fontId="0" fillId="0" borderId="9" xfId="0" applyNumberFormat="1" applyFont="1" applyFill="1" applyBorder="1" applyAlignment="1">
      <alignment horizontal="center" vertical="center"/>
    </xf>
    <xf numFmtId="4" fontId="0" fillId="0" borderId="8" xfId="0" applyNumberFormat="1" applyFont="1" applyFill="1" applyBorder="1" applyAlignment="1">
      <alignment horizontal="center" vertical="center"/>
    </xf>
    <xf numFmtId="4" fontId="0" fillId="0" borderId="5" xfId="0" applyNumberFormat="1" applyFont="1" applyFill="1" applyBorder="1" applyAlignment="1">
      <alignment horizontal="center"/>
    </xf>
    <xf numFmtId="4" fontId="0" fillId="0" borderId="2" xfId="0" applyNumberFormat="1" applyFont="1" applyFill="1" applyBorder="1" applyAlignment="1">
      <alignment horizontal="center"/>
    </xf>
    <xf numFmtId="4" fontId="0" fillId="0" borderId="6" xfId="0" applyNumberFormat="1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43" fontId="0" fillId="0" borderId="0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N709"/>
  <sheetViews>
    <sheetView tabSelected="1" topLeftCell="G1" workbookViewId="0">
      <selection activeCell="M714" sqref="M714"/>
    </sheetView>
  </sheetViews>
  <sheetFormatPr defaultRowHeight="15"/>
  <cols>
    <col min="1" max="1" width="19.42578125" customWidth="1"/>
    <col min="2" max="2" width="13" customWidth="1"/>
    <col min="3" max="3" width="29.85546875" customWidth="1"/>
    <col min="4" max="4" width="6" customWidth="1"/>
    <col min="5" max="5" width="13" customWidth="1"/>
    <col min="6" max="6" width="40.28515625" customWidth="1"/>
    <col min="7" max="7" width="52" customWidth="1"/>
    <col min="8" max="9" width="18.28515625" customWidth="1"/>
    <col min="10" max="10" width="15.5703125" customWidth="1"/>
    <col min="11" max="11" width="13" customWidth="1"/>
    <col min="12" max="12" width="18.28515625" customWidth="1"/>
    <col min="13" max="13" width="16.85546875" customWidth="1"/>
    <col min="14" max="14" width="18.28515625" customWidth="1"/>
  </cols>
  <sheetData>
    <row r="1" spans="1:14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 s="53" customForma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hidden="1">
      <c r="A5" t="s">
        <v>16</v>
      </c>
      <c r="B5" t="s">
        <v>17</v>
      </c>
      <c r="C5" t="s">
        <v>18</v>
      </c>
      <c r="D5" s="6">
        <v>0</v>
      </c>
      <c r="E5" t="s">
        <v>17</v>
      </c>
      <c r="F5" t="s">
        <v>19</v>
      </c>
      <c r="G5" t="s">
        <v>20</v>
      </c>
      <c r="H5" t="s">
        <v>21</v>
      </c>
      <c r="I5" s="5">
        <v>105000</v>
      </c>
      <c r="L5" s="5">
        <v>105000</v>
      </c>
      <c r="M5" s="5">
        <v>11250</v>
      </c>
      <c r="N5" s="5">
        <v>93750</v>
      </c>
    </row>
    <row r="6" spans="1:14" hidden="1">
      <c r="A6" t="s">
        <v>22</v>
      </c>
      <c r="B6" t="s">
        <v>17</v>
      </c>
      <c r="C6" t="s">
        <v>23</v>
      </c>
      <c r="D6" s="6">
        <v>30</v>
      </c>
      <c r="E6" t="s">
        <v>24</v>
      </c>
      <c r="F6" t="s">
        <v>25</v>
      </c>
      <c r="G6" t="s">
        <v>26</v>
      </c>
      <c r="H6" t="s">
        <v>27</v>
      </c>
      <c r="I6" s="5">
        <v>344364.5</v>
      </c>
      <c r="L6" s="5">
        <v>344364.5</v>
      </c>
      <c r="M6" s="5">
        <v>36896.199999999997</v>
      </c>
      <c r="N6" s="5">
        <v>307468.3</v>
      </c>
    </row>
    <row r="7" spans="1:14" hidden="1">
      <c r="A7" t="s">
        <v>28</v>
      </c>
      <c r="B7" t="s">
        <v>17</v>
      </c>
      <c r="C7" t="s">
        <v>29</v>
      </c>
      <c r="D7" s="6">
        <v>0</v>
      </c>
      <c r="E7" t="s">
        <v>17</v>
      </c>
      <c r="F7" t="s">
        <v>30</v>
      </c>
      <c r="G7" t="s">
        <v>31</v>
      </c>
      <c r="H7" t="s">
        <v>32</v>
      </c>
      <c r="I7" s="5">
        <v>208698</v>
      </c>
      <c r="L7" s="5">
        <v>208698</v>
      </c>
      <c r="M7" s="5">
        <v>22360.5</v>
      </c>
      <c r="N7" s="5">
        <v>186337.5</v>
      </c>
    </row>
    <row r="8" spans="1:14" hidden="1">
      <c r="A8" t="s">
        <v>33</v>
      </c>
      <c r="B8" t="s">
        <v>17</v>
      </c>
      <c r="C8" t="s">
        <v>34</v>
      </c>
      <c r="D8" s="6">
        <v>60</v>
      </c>
      <c r="E8" t="s">
        <v>35</v>
      </c>
      <c r="F8" t="s">
        <v>36</v>
      </c>
      <c r="G8" t="s">
        <v>37</v>
      </c>
      <c r="H8" t="s">
        <v>38</v>
      </c>
      <c r="I8" s="5">
        <v>173450.58</v>
      </c>
      <c r="L8" s="5">
        <v>173450.58</v>
      </c>
      <c r="M8" s="5">
        <v>18583.990000000002</v>
      </c>
      <c r="N8" s="5">
        <v>154866.59</v>
      </c>
    </row>
    <row r="9" spans="1:14" hidden="1">
      <c r="A9" t="s">
        <v>39</v>
      </c>
      <c r="B9" t="s">
        <v>17</v>
      </c>
      <c r="C9" t="s">
        <v>29</v>
      </c>
      <c r="D9" s="6">
        <v>0</v>
      </c>
      <c r="E9" t="s">
        <v>17</v>
      </c>
      <c r="F9" t="s">
        <v>30</v>
      </c>
      <c r="G9" t="s">
        <v>40</v>
      </c>
      <c r="H9" t="s">
        <v>41</v>
      </c>
      <c r="I9" s="5">
        <v>186500</v>
      </c>
      <c r="L9" s="5">
        <v>186500</v>
      </c>
      <c r="M9" s="5">
        <v>19982.14</v>
      </c>
      <c r="N9" s="5">
        <v>166517.85999999999</v>
      </c>
    </row>
    <row r="10" spans="1:14" hidden="1">
      <c r="A10" t="s">
        <v>42</v>
      </c>
      <c r="B10" t="s">
        <v>17</v>
      </c>
      <c r="C10" t="s">
        <v>29</v>
      </c>
      <c r="D10" s="6">
        <v>0</v>
      </c>
      <c r="E10" t="s">
        <v>17</v>
      </c>
      <c r="F10" t="s">
        <v>30</v>
      </c>
      <c r="G10" t="s">
        <v>40</v>
      </c>
      <c r="H10" t="s">
        <v>43</v>
      </c>
      <c r="I10" s="5">
        <v>70000</v>
      </c>
      <c r="L10" s="5">
        <v>70000</v>
      </c>
      <c r="M10" s="5">
        <v>7500</v>
      </c>
      <c r="N10" s="5">
        <v>62500</v>
      </c>
    </row>
    <row r="11" spans="1:14" hidden="1">
      <c r="A11" t="s">
        <v>44</v>
      </c>
      <c r="B11" t="s">
        <v>17</v>
      </c>
      <c r="C11" t="s">
        <v>45</v>
      </c>
      <c r="D11" s="6">
        <v>0</v>
      </c>
      <c r="E11" t="s">
        <v>17</v>
      </c>
      <c r="F11" t="s">
        <v>46</v>
      </c>
      <c r="G11" t="s">
        <v>47</v>
      </c>
      <c r="H11" t="s">
        <v>48</v>
      </c>
      <c r="I11" s="5">
        <v>5880</v>
      </c>
      <c r="L11" s="5">
        <v>5880</v>
      </c>
      <c r="M11" s="7">
        <v>630</v>
      </c>
      <c r="N11" s="5">
        <v>5250</v>
      </c>
    </row>
    <row r="12" spans="1:14" s="54" customFormat="1" hidden="1">
      <c r="A12" s="54" t="s">
        <v>49</v>
      </c>
      <c r="B12" s="54" t="s">
        <v>17</v>
      </c>
      <c r="C12" s="54" t="s">
        <v>29</v>
      </c>
      <c r="D12" s="55">
        <v>0</v>
      </c>
      <c r="E12" s="54" t="s">
        <v>17</v>
      </c>
      <c r="F12" s="54" t="s">
        <v>50</v>
      </c>
      <c r="G12" s="54" t="s">
        <v>51</v>
      </c>
      <c r="H12" s="54" t="s">
        <v>52</v>
      </c>
      <c r="I12" s="56">
        <v>11602.84</v>
      </c>
      <c r="L12" s="56">
        <v>11602.84</v>
      </c>
      <c r="M12" s="56">
        <v>1243.1600000000001</v>
      </c>
      <c r="N12" s="56">
        <v>10359.68</v>
      </c>
    </row>
    <row r="13" spans="1:14" hidden="1">
      <c r="A13" t="s">
        <v>53</v>
      </c>
      <c r="B13" t="s">
        <v>17</v>
      </c>
      <c r="C13" t="s">
        <v>54</v>
      </c>
      <c r="D13" s="6">
        <v>90</v>
      </c>
      <c r="E13" t="s">
        <v>55</v>
      </c>
      <c r="F13" t="s">
        <v>56</v>
      </c>
      <c r="G13" t="s">
        <v>57</v>
      </c>
      <c r="H13" t="s">
        <v>58</v>
      </c>
      <c r="I13" s="5">
        <v>1176000</v>
      </c>
      <c r="L13" s="5">
        <v>1176000</v>
      </c>
      <c r="M13" s="5">
        <v>126000</v>
      </c>
      <c r="N13" s="5">
        <v>1050000</v>
      </c>
    </row>
    <row r="14" spans="1:14" hidden="1">
      <c r="A14" t="s">
        <v>59</v>
      </c>
      <c r="B14" t="s">
        <v>17</v>
      </c>
      <c r="C14" t="s">
        <v>60</v>
      </c>
      <c r="D14" s="6">
        <v>0</v>
      </c>
      <c r="E14" t="s">
        <v>17</v>
      </c>
      <c r="F14" t="s">
        <v>56</v>
      </c>
      <c r="G14" t="s">
        <v>61</v>
      </c>
      <c r="H14" t="s">
        <v>62</v>
      </c>
      <c r="I14" s="5">
        <v>26000</v>
      </c>
      <c r="J14" s="4">
        <v>-520</v>
      </c>
      <c r="L14" s="5">
        <v>25480</v>
      </c>
      <c r="M14" s="5">
        <v>2730</v>
      </c>
      <c r="N14" s="5">
        <v>22750</v>
      </c>
    </row>
    <row r="15" spans="1:14" hidden="1">
      <c r="A15" t="s">
        <v>63</v>
      </c>
      <c r="B15" t="s">
        <v>17</v>
      </c>
      <c r="C15" t="s">
        <v>64</v>
      </c>
      <c r="D15" s="6">
        <v>30</v>
      </c>
      <c r="E15" t="s">
        <v>24</v>
      </c>
      <c r="F15" t="s">
        <v>56</v>
      </c>
      <c r="G15" t="s">
        <v>65</v>
      </c>
      <c r="H15" t="s">
        <v>66</v>
      </c>
      <c r="I15" s="5">
        <v>603830</v>
      </c>
      <c r="L15" s="5">
        <v>603830</v>
      </c>
      <c r="M15" s="5">
        <v>64696.07</v>
      </c>
      <c r="N15" s="5">
        <v>539133.93000000005</v>
      </c>
    </row>
    <row r="16" spans="1:14" hidden="1">
      <c r="A16" t="s">
        <v>67</v>
      </c>
      <c r="B16" t="s">
        <v>17</v>
      </c>
      <c r="C16" t="s">
        <v>68</v>
      </c>
      <c r="D16" s="6">
        <v>60</v>
      </c>
      <c r="E16" t="s">
        <v>35</v>
      </c>
      <c r="F16" t="s">
        <v>69</v>
      </c>
      <c r="G16" t="s">
        <v>70</v>
      </c>
      <c r="H16" t="s">
        <v>71</v>
      </c>
      <c r="I16" s="5">
        <v>2419200</v>
      </c>
      <c r="L16" s="5">
        <v>2419200</v>
      </c>
      <c r="M16" s="5">
        <v>259200</v>
      </c>
      <c r="N16" s="5">
        <v>2160000</v>
      </c>
    </row>
    <row r="17" spans="1:14" hidden="1">
      <c r="A17" t="s">
        <v>72</v>
      </c>
      <c r="B17" t="s">
        <v>17</v>
      </c>
      <c r="C17" t="s">
        <v>73</v>
      </c>
      <c r="D17" s="6">
        <v>30</v>
      </c>
      <c r="E17" t="s">
        <v>24</v>
      </c>
      <c r="F17" t="s">
        <v>19</v>
      </c>
      <c r="G17" t="s">
        <v>74</v>
      </c>
      <c r="H17" t="s">
        <v>75</v>
      </c>
      <c r="I17" s="5">
        <v>369000</v>
      </c>
      <c r="L17" s="5">
        <v>369000</v>
      </c>
      <c r="M17" s="5">
        <v>39535.71</v>
      </c>
      <c r="N17" s="5">
        <v>329464.28999999998</v>
      </c>
    </row>
    <row r="18" spans="1:14" hidden="1">
      <c r="A18" t="s">
        <v>76</v>
      </c>
      <c r="B18" t="s">
        <v>17</v>
      </c>
      <c r="C18" t="s">
        <v>68</v>
      </c>
      <c r="D18" s="6">
        <v>60</v>
      </c>
      <c r="E18" t="s">
        <v>35</v>
      </c>
      <c r="F18" t="s">
        <v>69</v>
      </c>
      <c r="G18" t="s">
        <v>70</v>
      </c>
      <c r="H18" t="s">
        <v>77</v>
      </c>
      <c r="I18" s="5">
        <v>316320</v>
      </c>
      <c r="L18" s="5">
        <v>316320</v>
      </c>
      <c r="M18" s="5">
        <v>33891.43</v>
      </c>
      <c r="N18" s="5">
        <v>282428.57</v>
      </c>
    </row>
    <row r="19" spans="1:14" hidden="1">
      <c r="A19" t="s">
        <v>78</v>
      </c>
      <c r="B19" t="s">
        <v>17</v>
      </c>
      <c r="C19" t="s">
        <v>79</v>
      </c>
      <c r="D19" s="6">
        <v>30</v>
      </c>
      <c r="E19" t="s">
        <v>24</v>
      </c>
      <c r="F19" t="s">
        <v>69</v>
      </c>
      <c r="G19" t="s">
        <v>80</v>
      </c>
      <c r="H19" t="s">
        <v>81</v>
      </c>
      <c r="I19" s="5">
        <v>23350</v>
      </c>
      <c r="L19" s="5">
        <v>23350</v>
      </c>
      <c r="M19" s="5">
        <v>2501.79</v>
      </c>
      <c r="N19" s="5">
        <v>20848.21</v>
      </c>
    </row>
    <row r="20" spans="1:14" hidden="1">
      <c r="A20" t="s">
        <v>82</v>
      </c>
      <c r="B20" t="s">
        <v>17</v>
      </c>
      <c r="C20" t="s">
        <v>79</v>
      </c>
      <c r="D20" s="6">
        <v>30</v>
      </c>
      <c r="E20" t="s">
        <v>24</v>
      </c>
      <c r="F20" t="s">
        <v>69</v>
      </c>
      <c r="G20" t="s">
        <v>80</v>
      </c>
      <c r="H20" t="s">
        <v>83</v>
      </c>
      <c r="I20" s="5">
        <v>6675</v>
      </c>
      <c r="L20" s="5">
        <v>6675</v>
      </c>
      <c r="M20" s="7">
        <v>715.18</v>
      </c>
      <c r="N20" s="5">
        <v>5959.82</v>
      </c>
    </row>
    <row r="21" spans="1:14" hidden="1">
      <c r="A21" t="s">
        <v>84</v>
      </c>
      <c r="B21" t="s">
        <v>17</v>
      </c>
      <c r="C21" t="s">
        <v>60</v>
      </c>
      <c r="D21" s="6">
        <v>0</v>
      </c>
      <c r="E21" t="s">
        <v>17</v>
      </c>
      <c r="F21" t="s">
        <v>30</v>
      </c>
      <c r="G21" t="s">
        <v>85</v>
      </c>
      <c r="H21" t="s">
        <v>86</v>
      </c>
      <c r="I21" s="5">
        <v>266373</v>
      </c>
      <c r="L21" s="5">
        <v>266373</v>
      </c>
      <c r="M21" s="5">
        <v>28539.96</v>
      </c>
      <c r="N21" s="5">
        <v>237833.04</v>
      </c>
    </row>
    <row r="22" spans="1:14" hidden="1">
      <c r="A22" t="s">
        <v>87</v>
      </c>
      <c r="B22" t="s">
        <v>17</v>
      </c>
      <c r="C22" t="s">
        <v>29</v>
      </c>
      <c r="D22" s="6">
        <v>0</v>
      </c>
      <c r="E22" t="s">
        <v>17</v>
      </c>
      <c r="F22" t="s">
        <v>30</v>
      </c>
      <c r="G22" t="s">
        <v>40</v>
      </c>
      <c r="H22" t="s">
        <v>88</v>
      </c>
      <c r="I22" s="5">
        <v>1008800</v>
      </c>
      <c r="L22" s="5">
        <v>1008800</v>
      </c>
      <c r="M22" s="5">
        <v>108085.71</v>
      </c>
      <c r="N22" s="5">
        <v>900714.29</v>
      </c>
    </row>
    <row r="23" spans="1:14" hidden="1">
      <c r="A23" t="s">
        <v>89</v>
      </c>
      <c r="B23" t="s">
        <v>17</v>
      </c>
      <c r="C23" t="s">
        <v>73</v>
      </c>
      <c r="D23" s="6">
        <v>30</v>
      </c>
      <c r="E23" t="s">
        <v>24</v>
      </c>
      <c r="F23" t="s">
        <v>56</v>
      </c>
      <c r="G23" t="s">
        <v>90</v>
      </c>
      <c r="H23" t="s">
        <v>91</v>
      </c>
      <c r="I23" s="5">
        <v>182032</v>
      </c>
      <c r="L23" s="5">
        <v>182032</v>
      </c>
      <c r="M23" s="5">
        <v>19503.43</v>
      </c>
      <c r="N23" s="5">
        <v>162528.57</v>
      </c>
    </row>
    <row r="24" spans="1:14" hidden="1">
      <c r="A24" t="s">
        <v>92</v>
      </c>
      <c r="B24" t="s">
        <v>93</v>
      </c>
      <c r="C24" t="s">
        <v>94</v>
      </c>
      <c r="D24" s="6">
        <v>0</v>
      </c>
      <c r="E24" t="s">
        <v>93</v>
      </c>
      <c r="F24" t="s">
        <v>46</v>
      </c>
      <c r="G24" t="s">
        <v>95</v>
      </c>
      <c r="H24" t="s">
        <v>96</v>
      </c>
      <c r="I24" s="5">
        <v>422500</v>
      </c>
      <c r="L24" s="5">
        <v>422500</v>
      </c>
      <c r="M24" s="5">
        <v>45267.86</v>
      </c>
      <c r="N24" s="5">
        <v>377232.14</v>
      </c>
    </row>
    <row r="25" spans="1:14" hidden="1">
      <c r="A25" t="s">
        <v>97</v>
      </c>
      <c r="B25" t="s">
        <v>93</v>
      </c>
      <c r="C25" t="s">
        <v>98</v>
      </c>
      <c r="D25" s="6">
        <v>0</v>
      </c>
      <c r="E25" t="s">
        <v>93</v>
      </c>
      <c r="F25" t="s">
        <v>69</v>
      </c>
      <c r="G25" t="s">
        <v>99</v>
      </c>
      <c r="H25" t="s">
        <v>100</v>
      </c>
      <c r="I25" s="5">
        <v>96500</v>
      </c>
      <c r="J25" s="4">
        <v>-2895</v>
      </c>
      <c r="L25" s="5">
        <v>93605</v>
      </c>
      <c r="M25" s="5">
        <v>10029.11</v>
      </c>
      <c r="N25" s="5">
        <v>83575.89</v>
      </c>
    </row>
    <row r="26" spans="1:14" hidden="1">
      <c r="A26" t="s">
        <v>101</v>
      </c>
      <c r="B26" t="s">
        <v>93</v>
      </c>
      <c r="C26" t="s">
        <v>98</v>
      </c>
      <c r="D26" s="6">
        <v>0</v>
      </c>
      <c r="E26" t="s">
        <v>93</v>
      </c>
      <c r="F26" t="s">
        <v>69</v>
      </c>
      <c r="G26" t="s">
        <v>99</v>
      </c>
      <c r="H26" t="s">
        <v>102</v>
      </c>
      <c r="I26" s="5">
        <v>205360</v>
      </c>
      <c r="J26" s="4">
        <v>-6160.8</v>
      </c>
      <c r="L26" s="5">
        <v>199199.2</v>
      </c>
      <c r="M26" s="5">
        <v>21342.77</v>
      </c>
      <c r="N26" s="5">
        <v>177856.43</v>
      </c>
    </row>
    <row r="27" spans="1:14" hidden="1">
      <c r="A27" t="s">
        <v>103</v>
      </c>
      <c r="B27" t="s">
        <v>93</v>
      </c>
      <c r="C27" t="s">
        <v>104</v>
      </c>
      <c r="D27" s="6">
        <v>0</v>
      </c>
      <c r="E27" t="s">
        <v>93</v>
      </c>
      <c r="F27" t="s">
        <v>105</v>
      </c>
      <c r="G27" t="s">
        <v>106</v>
      </c>
      <c r="H27" t="s">
        <v>107</v>
      </c>
      <c r="I27" s="5">
        <v>114000</v>
      </c>
      <c r="J27" s="4">
        <v>-3420</v>
      </c>
      <c r="L27" s="5">
        <v>110580</v>
      </c>
      <c r="M27" s="5">
        <v>11847.86</v>
      </c>
      <c r="N27" s="5">
        <v>98732.14</v>
      </c>
    </row>
    <row r="28" spans="1:14" hidden="1">
      <c r="A28" t="s">
        <v>108</v>
      </c>
      <c r="B28" t="s">
        <v>93</v>
      </c>
      <c r="C28" t="s">
        <v>104</v>
      </c>
      <c r="D28" s="6">
        <v>0</v>
      </c>
      <c r="E28" t="s">
        <v>93</v>
      </c>
      <c r="F28" t="s">
        <v>105</v>
      </c>
      <c r="G28" t="s">
        <v>106</v>
      </c>
      <c r="H28" t="s">
        <v>109</v>
      </c>
      <c r="I28" s="5">
        <v>260000</v>
      </c>
      <c r="J28" s="4">
        <v>-7800</v>
      </c>
      <c r="L28" s="5">
        <v>252200</v>
      </c>
      <c r="M28" s="5">
        <v>27021.43</v>
      </c>
      <c r="N28" s="5">
        <v>225178.57</v>
      </c>
    </row>
    <row r="29" spans="1:14" hidden="1">
      <c r="A29" t="s">
        <v>110</v>
      </c>
      <c r="B29" t="s">
        <v>93</v>
      </c>
      <c r="C29" t="s">
        <v>18</v>
      </c>
      <c r="D29" s="6">
        <v>0</v>
      </c>
      <c r="E29" t="s">
        <v>93</v>
      </c>
      <c r="F29" t="s">
        <v>46</v>
      </c>
      <c r="G29" t="s">
        <v>111</v>
      </c>
      <c r="H29" t="s">
        <v>112</v>
      </c>
      <c r="I29" s="5">
        <v>18378</v>
      </c>
      <c r="K29" s="5">
        <v>6000</v>
      </c>
      <c r="L29" s="5">
        <v>24378</v>
      </c>
      <c r="M29" s="5">
        <v>2611.9299999999998</v>
      </c>
      <c r="N29" s="5">
        <v>21766.07</v>
      </c>
    </row>
    <row r="30" spans="1:14" hidden="1">
      <c r="A30" t="s">
        <v>113</v>
      </c>
      <c r="B30" t="s">
        <v>93</v>
      </c>
      <c r="C30" t="s">
        <v>60</v>
      </c>
      <c r="D30" s="6">
        <v>0</v>
      </c>
      <c r="E30" t="s">
        <v>93</v>
      </c>
      <c r="F30" t="s">
        <v>56</v>
      </c>
      <c r="G30" t="s">
        <v>114</v>
      </c>
      <c r="H30" t="s">
        <v>115</v>
      </c>
      <c r="I30" s="5">
        <v>272065</v>
      </c>
      <c r="L30" s="5">
        <v>272065</v>
      </c>
      <c r="M30" s="5">
        <v>29149.82</v>
      </c>
      <c r="N30" s="5">
        <v>242915.18</v>
      </c>
    </row>
    <row r="31" spans="1:14" hidden="1">
      <c r="A31" t="s">
        <v>116</v>
      </c>
      <c r="B31" t="s">
        <v>93</v>
      </c>
      <c r="C31" t="s">
        <v>117</v>
      </c>
      <c r="D31" s="6">
        <v>120</v>
      </c>
      <c r="E31" t="s">
        <v>118</v>
      </c>
      <c r="F31" t="s">
        <v>56</v>
      </c>
      <c r="G31" t="s">
        <v>119</v>
      </c>
      <c r="H31" t="s">
        <v>120</v>
      </c>
      <c r="I31" s="5">
        <v>201354</v>
      </c>
      <c r="L31" s="5">
        <v>201354</v>
      </c>
      <c r="M31" s="5">
        <v>21573.64</v>
      </c>
      <c r="N31" s="5">
        <v>179780.36</v>
      </c>
    </row>
    <row r="32" spans="1:14" hidden="1">
      <c r="A32" t="s">
        <v>121</v>
      </c>
      <c r="B32" t="s">
        <v>93</v>
      </c>
      <c r="C32" t="s">
        <v>117</v>
      </c>
      <c r="D32" s="6">
        <v>120</v>
      </c>
      <c r="E32" t="s">
        <v>118</v>
      </c>
      <c r="F32" t="s">
        <v>56</v>
      </c>
      <c r="G32" t="s">
        <v>119</v>
      </c>
      <c r="H32" t="s">
        <v>122</v>
      </c>
      <c r="I32" s="5">
        <v>25672</v>
      </c>
      <c r="L32" s="5">
        <v>25672</v>
      </c>
      <c r="M32" s="5">
        <v>2750.57</v>
      </c>
      <c r="N32" s="5">
        <v>22921.43</v>
      </c>
    </row>
    <row r="33" spans="1:14" hidden="1">
      <c r="A33" t="s">
        <v>123</v>
      </c>
      <c r="B33" t="s">
        <v>93</v>
      </c>
      <c r="C33" t="s">
        <v>117</v>
      </c>
      <c r="D33" s="6">
        <v>120</v>
      </c>
      <c r="E33" t="s">
        <v>118</v>
      </c>
      <c r="F33" t="s">
        <v>56</v>
      </c>
      <c r="G33" t="s">
        <v>119</v>
      </c>
      <c r="H33" t="s">
        <v>124</v>
      </c>
      <c r="I33" s="5">
        <v>116892</v>
      </c>
      <c r="L33" s="5">
        <v>116892</v>
      </c>
      <c r="M33" s="5">
        <v>12524.14</v>
      </c>
      <c r="N33" s="5">
        <v>104367.86</v>
      </c>
    </row>
    <row r="34" spans="1:14" hidden="1">
      <c r="A34" t="s">
        <v>125</v>
      </c>
      <c r="B34" t="s">
        <v>93</v>
      </c>
      <c r="C34" t="s">
        <v>60</v>
      </c>
      <c r="D34" s="6">
        <v>0</v>
      </c>
      <c r="E34" t="s">
        <v>93</v>
      </c>
      <c r="F34" t="s">
        <v>56</v>
      </c>
      <c r="G34" t="s">
        <v>126</v>
      </c>
      <c r="H34" t="s">
        <v>127</v>
      </c>
      <c r="I34" s="5">
        <v>19600</v>
      </c>
      <c r="L34" s="5">
        <v>19600</v>
      </c>
      <c r="M34" s="5">
        <v>2100</v>
      </c>
      <c r="N34" s="5">
        <v>17500</v>
      </c>
    </row>
    <row r="35" spans="1:14" hidden="1">
      <c r="A35" t="s">
        <v>128</v>
      </c>
      <c r="B35" t="s">
        <v>93</v>
      </c>
      <c r="C35" t="s">
        <v>60</v>
      </c>
      <c r="D35" s="6">
        <v>0</v>
      </c>
      <c r="E35" t="s">
        <v>93</v>
      </c>
      <c r="F35" t="s">
        <v>46</v>
      </c>
      <c r="G35" t="s">
        <v>129</v>
      </c>
      <c r="H35" t="s">
        <v>130</v>
      </c>
      <c r="I35" s="5">
        <v>170715</v>
      </c>
      <c r="J35" s="4">
        <v>-3414.3</v>
      </c>
      <c r="L35" s="5">
        <v>167300.70000000001</v>
      </c>
      <c r="M35" s="5">
        <v>17925.07</v>
      </c>
      <c r="N35" s="5">
        <v>149375.63</v>
      </c>
    </row>
    <row r="36" spans="1:14" hidden="1">
      <c r="A36" t="s">
        <v>131</v>
      </c>
      <c r="B36" t="s">
        <v>93</v>
      </c>
      <c r="C36" t="s">
        <v>132</v>
      </c>
      <c r="D36" s="6">
        <v>0</v>
      </c>
      <c r="E36" t="s">
        <v>93</v>
      </c>
      <c r="F36" t="s">
        <v>30</v>
      </c>
      <c r="G36" t="s">
        <v>133</v>
      </c>
      <c r="H36" t="s">
        <v>134</v>
      </c>
      <c r="I36" s="5">
        <v>55350</v>
      </c>
      <c r="L36" s="5">
        <v>55350</v>
      </c>
      <c r="M36" s="5">
        <v>5930.36</v>
      </c>
      <c r="N36" s="5">
        <v>49419.64</v>
      </c>
    </row>
    <row r="37" spans="1:14" hidden="1">
      <c r="A37" t="s">
        <v>135</v>
      </c>
      <c r="B37" t="s">
        <v>93</v>
      </c>
      <c r="C37" t="s">
        <v>34</v>
      </c>
      <c r="D37" s="6">
        <v>60</v>
      </c>
      <c r="E37" t="s">
        <v>136</v>
      </c>
      <c r="F37" t="s">
        <v>36</v>
      </c>
      <c r="G37" t="s">
        <v>37</v>
      </c>
      <c r="H37" t="s">
        <v>137</v>
      </c>
      <c r="I37" s="5">
        <v>32101.08</v>
      </c>
      <c r="L37" s="5">
        <v>32101.08</v>
      </c>
      <c r="M37" s="5">
        <v>3439.4</v>
      </c>
      <c r="N37" s="5">
        <v>28661.68</v>
      </c>
    </row>
    <row r="38" spans="1:14" hidden="1">
      <c r="A38" t="s">
        <v>138</v>
      </c>
      <c r="B38" t="s">
        <v>93</v>
      </c>
      <c r="C38" t="s">
        <v>29</v>
      </c>
      <c r="D38" s="6">
        <v>0</v>
      </c>
      <c r="E38" t="s">
        <v>93</v>
      </c>
      <c r="F38" t="s">
        <v>139</v>
      </c>
      <c r="G38" t="s">
        <v>140</v>
      </c>
      <c r="H38" t="s">
        <v>141</v>
      </c>
      <c r="I38" s="5">
        <v>8428</v>
      </c>
      <c r="L38" s="5">
        <v>8428</v>
      </c>
      <c r="M38" s="7">
        <v>903</v>
      </c>
      <c r="N38" s="5">
        <v>7525</v>
      </c>
    </row>
    <row r="39" spans="1:14" hidden="1">
      <c r="A39" t="s">
        <v>142</v>
      </c>
      <c r="B39" t="s">
        <v>93</v>
      </c>
      <c r="C39" t="s">
        <v>60</v>
      </c>
      <c r="D39" s="6">
        <v>0</v>
      </c>
      <c r="E39" t="s">
        <v>93</v>
      </c>
      <c r="F39" t="s">
        <v>139</v>
      </c>
      <c r="G39" t="s">
        <v>143</v>
      </c>
      <c r="H39" t="s">
        <v>144</v>
      </c>
      <c r="I39" s="5">
        <v>58800</v>
      </c>
      <c r="J39" s="4">
        <v>-1764</v>
      </c>
      <c r="L39" s="5">
        <v>57036</v>
      </c>
      <c r="M39" s="5">
        <v>6111</v>
      </c>
      <c r="N39" s="5">
        <v>50925</v>
      </c>
    </row>
    <row r="40" spans="1:14" hidden="1">
      <c r="A40" t="s">
        <v>145</v>
      </c>
      <c r="B40" t="s">
        <v>93</v>
      </c>
      <c r="C40" t="s">
        <v>146</v>
      </c>
      <c r="D40" s="6">
        <v>90</v>
      </c>
      <c r="E40" t="s">
        <v>147</v>
      </c>
      <c r="F40" t="s">
        <v>69</v>
      </c>
      <c r="G40" t="s">
        <v>148</v>
      </c>
      <c r="H40" t="s">
        <v>149</v>
      </c>
      <c r="I40" s="5">
        <v>91954.87</v>
      </c>
      <c r="L40" s="5">
        <v>91954.87</v>
      </c>
      <c r="M40" s="5">
        <v>9852.31</v>
      </c>
      <c r="N40" s="5">
        <v>82102.559999999998</v>
      </c>
    </row>
    <row r="41" spans="1:14" hidden="1">
      <c r="A41" t="s">
        <v>150</v>
      </c>
      <c r="B41" t="s">
        <v>93</v>
      </c>
      <c r="C41" t="s">
        <v>151</v>
      </c>
      <c r="D41" s="6">
        <v>60</v>
      </c>
      <c r="E41" t="s">
        <v>136</v>
      </c>
      <c r="F41" t="s">
        <v>56</v>
      </c>
      <c r="G41" t="s">
        <v>152</v>
      </c>
      <c r="H41" t="s">
        <v>153</v>
      </c>
      <c r="I41" s="5">
        <v>71884</v>
      </c>
      <c r="L41" s="5">
        <v>71884</v>
      </c>
      <c r="M41" s="5">
        <v>7701.86</v>
      </c>
      <c r="N41" s="5">
        <v>64182.14</v>
      </c>
    </row>
    <row r="42" spans="1:14" hidden="1">
      <c r="A42" t="s">
        <v>154</v>
      </c>
      <c r="B42" t="s">
        <v>93</v>
      </c>
      <c r="C42" t="s">
        <v>29</v>
      </c>
      <c r="D42" s="6">
        <v>0</v>
      </c>
      <c r="E42" t="s">
        <v>93</v>
      </c>
      <c r="F42" t="s">
        <v>30</v>
      </c>
      <c r="G42" t="s">
        <v>155</v>
      </c>
      <c r="H42" t="s">
        <v>156</v>
      </c>
      <c r="I42" s="5">
        <v>168000</v>
      </c>
      <c r="L42" s="5">
        <v>168000</v>
      </c>
      <c r="M42" s="5">
        <v>18000</v>
      </c>
      <c r="N42" s="5">
        <v>150000</v>
      </c>
    </row>
    <row r="43" spans="1:14" hidden="1">
      <c r="A43" t="s">
        <v>157</v>
      </c>
      <c r="B43" t="s">
        <v>93</v>
      </c>
      <c r="C43" t="s">
        <v>29</v>
      </c>
      <c r="D43" s="6">
        <v>0</v>
      </c>
      <c r="E43" t="s">
        <v>93</v>
      </c>
      <c r="F43" t="s">
        <v>30</v>
      </c>
      <c r="G43" t="s">
        <v>155</v>
      </c>
      <c r="H43" t="s">
        <v>158</v>
      </c>
      <c r="I43" s="5">
        <v>13800</v>
      </c>
      <c r="L43" s="5">
        <v>13800</v>
      </c>
      <c r="M43" s="5">
        <v>1478.57</v>
      </c>
      <c r="N43" s="5">
        <v>12321.43</v>
      </c>
    </row>
    <row r="44" spans="1:14" hidden="1">
      <c r="A44" t="s">
        <v>159</v>
      </c>
      <c r="B44" t="s">
        <v>93</v>
      </c>
      <c r="C44" t="s">
        <v>29</v>
      </c>
      <c r="D44" s="6">
        <v>0</v>
      </c>
      <c r="E44" t="s">
        <v>93</v>
      </c>
      <c r="F44" t="s">
        <v>30</v>
      </c>
      <c r="G44" t="s">
        <v>155</v>
      </c>
      <c r="H44" t="s">
        <v>160</v>
      </c>
      <c r="I44" s="5">
        <v>109781</v>
      </c>
      <c r="L44" s="5">
        <v>109781</v>
      </c>
      <c r="M44" s="5">
        <v>11762.25</v>
      </c>
      <c r="N44" s="5">
        <v>98018.75</v>
      </c>
    </row>
    <row r="45" spans="1:14" hidden="1">
      <c r="A45" t="s">
        <v>161</v>
      </c>
      <c r="B45" t="s">
        <v>93</v>
      </c>
      <c r="C45" t="s">
        <v>162</v>
      </c>
      <c r="D45" s="6">
        <v>90</v>
      </c>
      <c r="E45" t="s">
        <v>147</v>
      </c>
      <c r="F45" t="s">
        <v>163</v>
      </c>
      <c r="G45" t="s">
        <v>164</v>
      </c>
      <c r="H45" t="s">
        <v>165</v>
      </c>
      <c r="I45" s="5">
        <v>13175</v>
      </c>
      <c r="L45" s="5">
        <v>13175</v>
      </c>
      <c r="M45" s="5">
        <v>1411.61</v>
      </c>
      <c r="N45" s="5">
        <v>11763.39</v>
      </c>
    </row>
    <row r="46" spans="1:14" hidden="1">
      <c r="A46" t="s">
        <v>166</v>
      </c>
      <c r="B46" t="s">
        <v>93</v>
      </c>
      <c r="C46" t="s">
        <v>167</v>
      </c>
      <c r="D46" s="6">
        <v>90</v>
      </c>
      <c r="E46" t="s">
        <v>147</v>
      </c>
      <c r="F46" t="s">
        <v>56</v>
      </c>
      <c r="G46" t="s">
        <v>168</v>
      </c>
      <c r="H46" t="s">
        <v>169</v>
      </c>
      <c r="I46" s="5">
        <v>205370</v>
      </c>
      <c r="L46" s="5">
        <v>205370</v>
      </c>
      <c r="M46" s="5">
        <v>22003.93</v>
      </c>
      <c r="N46" s="5">
        <v>183366.07</v>
      </c>
    </row>
    <row r="47" spans="1:14" hidden="1">
      <c r="A47" t="s">
        <v>170</v>
      </c>
      <c r="B47" t="s">
        <v>93</v>
      </c>
      <c r="C47" t="s">
        <v>167</v>
      </c>
      <c r="D47" s="6">
        <v>90</v>
      </c>
      <c r="E47" t="s">
        <v>147</v>
      </c>
      <c r="F47" t="s">
        <v>56</v>
      </c>
      <c r="G47" t="s">
        <v>168</v>
      </c>
      <c r="H47" t="s">
        <v>171</v>
      </c>
      <c r="I47" s="5">
        <v>70560</v>
      </c>
      <c r="L47" s="5">
        <v>70560</v>
      </c>
      <c r="M47" s="5">
        <v>7560</v>
      </c>
      <c r="N47" s="5">
        <v>63000</v>
      </c>
    </row>
    <row r="48" spans="1:14" hidden="1">
      <c r="A48" t="s">
        <v>172</v>
      </c>
      <c r="B48" t="s">
        <v>93</v>
      </c>
      <c r="C48" t="s">
        <v>162</v>
      </c>
      <c r="D48" s="6">
        <v>90</v>
      </c>
      <c r="E48" t="s">
        <v>147</v>
      </c>
      <c r="F48" t="s">
        <v>19</v>
      </c>
      <c r="G48" t="s">
        <v>173</v>
      </c>
      <c r="H48" t="s">
        <v>174</v>
      </c>
      <c r="I48" s="5">
        <v>36747</v>
      </c>
      <c r="L48" s="5">
        <v>36747</v>
      </c>
      <c r="M48" s="5">
        <v>3937.18</v>
      </c>
      <c r="N48" s="5">
        <v>32809.82</v>
      </c>
    </row>
    <row r="49" spans="1:14" hidden="1">
      <c r="A49" t="s">
        <v>175</v>
      </c>
      <c r="B49" t="s">
        <v>93</v>
      </c>
      <c r="C49" t="s">
        <v>176</v>
      </c>
      <c r="D49" s="6">
        <v>60</v>
      </c>
      <c r="E49" t="s">
        <v>136</v>
      </c>
      <c r="F49" t="s">
        <v>69</v>
      </c>
      <c r="G49" t="s">
        <v>177</v>
      </c>
      <c r="H49" t="s">
        <v>178</v>
      </c>
      <c r="I49" s="5">
        <v>408000</v>
      </c>
      <c r="L49" s="5">
        <v>408000</v>
      </c>
      <c r="M49" s="5">
        <v>43714.29</v>
      </c>
      <c r="N49" s="5">
        <v>364285.71</v>
      </c>
    </row>
    <row r="50" spans="1:14" hidden="1">
      <c r="A50" t="s">
        <v>179</v>
      </c>
      <c r="B50" t="s">
        <v>93</v>
      </c>
      <c r="C50" t="s">
        <v>18</v>
      </c>
      <c r="D50" s="6">
        <v>0</v>
      </c>
      <c r="E50" t="s">
        <v>93</v>
      </c>
      <c r="F50" t="s">
        <v>180</v>
      </c>
      <c r="G50" t="s">
        <v>181</v>
      </c>
      <c r="H50" t="s">
        <v>182</v>
      </c>
      <c r="I50" s="5">
        <v>137040</v>
      </c>
      <c r="L50" s="5">
        <v>137040</v>
      </c>
      <c r="M50" s="5">
        <v>14682.86</v>
      </c>
      <c r="N50" s="5">
        <v>122357.14</v>
      </c>
    </row>
    <row r="51" spans="1:14" hidden="1">
      <c r="A51" t="s">
        <v>183</v>
      </c>
      <c r="B51" t="s">
        <v>93</v>
      </c>
      <c r="C51" t="s">
        <v>60</v>
      </c>
      <c r="D51" s="6">
        <v>0</v>
      </c>
      <c r="E51" t="s">
        <v>93</v>
      </c>
      <c r="F51" t="s">
        <v>30</v>
      </c>
      <c r="G51" t="s">
        <v>184</v>
      </c>
      <c r="H51" t="s">
        <v>185</v>
      </c>
      <c r="I51" s="5">
        <v>110631.75</v>
      </c>
      <c r="L51" s="5">
        <v>110631.75</v>
      </c>
      <c r="M51" s="5">
        <v>11853.4</v>
      </c>
      <c r="N51" s="5">
        <v>98778.35</v>
      </c>
    </row>
    <row r="52" spans="1:14" hidden="1">
      <c r="A52" t="s">
        <v>186</v>
      </c>
      <c r="B52" t="s">
        <v>93</v>
      </c>
      <c r="C52" t="s">
        <v>68</v>
      </c>
      <c r="D52" s="6">
        <v>60</v>
      </c>
      <c r="E52" t="s">
        <v>136</v>
      </c>
      <c r="F52" t="s">
        <v>36</v>
      </c>
      <c r="G52" t="s">
        <v>187</v>
      </c>
      <c r="H52" t="s">
        <v>188</v>
      </c>
      <c r="I52" s="5">
        <v>53180</v>
      </c>
      <c r="L52" s="5">
        <v>53180</v>
      </c>
      <c r="M52" s="5">
        <v>5697.86</v>
      </c>
      <c r="N52" s="5">
        <v>47482.14</v>
      </c>
    </row>
    <row r="53" spans="1:14" hidden="1">
      <c r="A53" t="s">
        <v>189</v>
      </c>
      <c r="B53" t="s">
        <v>93</v>
      </c>
      <c r="C53" t="s">
        <v>60</v>
      </c>
      <c r="D53" s="6">
        <v>0</v>
      </c>
      <c r="E53" t="s">
        <v>93</v>
      </c>
      <c r="F53" t="s">
        <v>56</v>
      </c>
      <c r="G53" t="s">
        <v>190</v>
      </c>
      <c r="H53" t="s">
        <v>191</v>
      </c>
      <c r="I53" s="5">
        <v>73932</v>
      </c>
      <c r="L53" s="5">
        <v>73932</v>
      </c>
      <c r="M53" s="5">
        <v>7921.29</v>
      </c>
      <c r="N53" s="5">
        <v>66010.710000000006</v>
      </c>
    </row>
    <row r="54" spans="1:14" hidden="1">
      <c r="A54" t="s">
        <v>192</v>
      </c>
      <c r="B54" t="s">
        <v>93</v>
      </c>
      <c r="C54" t="s">
        <v>162</v>
      </c>
      <c r="D54" s="6">
        <v>90</v>
      </c>
      <c r="E54" t="s">
        <v>147</v>
      </c>
      <c r="F54" t="s">
        <v>36</v>
      </c>
      <c r="G54" t="s">
        <v>193</v>
      </c>
      <c r="H54" t="s">
        <v>194</v>
      </c>
      <c r="I54" s="5">
        <v>2053</v>
      </c>
      <c r="L54" s="5">
        <v>2053</v>
      </c>
      <c r="M54" s="7">
        <v>219.96</v>
      </c>
      <c r="N54" s="5">
        <v>1833.04</v>
      </c>
    </row>
    <row r="55" spans="1:14" hidden="1">
      <c r="A55" t="s">
        <v>195</v>
      </c>
      <c r="B55" t="s">
        <v>93</v>
      </c>
      <c r="C55" t="s">
        <v>60</v>
      </c>
      <c r="D55" s="6">
        <v>0</v>
      </c>
      <c r="E55" t="s">
        <v>93</v>
      </c>
      <c r="F55" t="s">
        <v>56</v>
      </c>
      <c r="G55" t="s">
        <v>196</v>
      </c>
      <c r="H55" t="s">
        <v>197</v>
      </c>
      <c r="I55" s="5">
        <v>192020</v>
      </c>
      <c r="L55" s="5">
        <v>192020</v>
      </c>
      <c r="M55" s="5">
        <v>20573.57</v>
      </c>
      <c r="N55" s="5">
        <v>171446.43</v>
      </c>
    </row>
    <row r="56" spans="1:14" hidden="1">
      <c r="A56" t="s">
        <v>198</v>
      </c>
      <c r="B56" t="s">
        <v>199</v>
      </c>
      <c r="C56" t="s">
        <v>34</v>
      </c>
      <c r="D56" s="6">
        <v>60</v>
      </c>
      <c r="E56" t="s">
        <v>200</v>
      </c>
      <c r="F56" t="s">
        <v>30</v>
      </c>
      <c r="G56" t="s">
        <v>201</v>
      </c>
      <c r="H56" t="s">
        <v>202</v>
      </c>
      <c r="I56" s="5">
        <v>7200</v>
      </c>
      <c r="L56" s="5">
        <v>7200</v>
      </c>
      <c r="M56" s="7">
        <v>771.43</v>
      </c>
      <c r="N56" s="5">
        <v>6428.57</v>
      </c>
    </row>
    <row r="57" spans="1:14" hidden="1">
      <c r="A57" t="s">
        <v>203</v>
      </c>
      <c r="B57" t="s">
        <v>199</v>
      </c>
      <c r="C57" t="s">
        <v>34</v>
      </c>
      <c r="D57" s="6">
        <v>60</v>
      </c>
      <c r="E57" t="s">
        <v>200</v>
      </c>
      <c r="F57" t="s">
        <v>204</v>
      </c>
      <c r="G57" t="s">
        <v>205</v>
      </c>
      <c r="H57" t="s">
        <v>206</v>
      </c>
      <c r="I57" s="5">
        <v>45500</v>
      </c>
      <c r="L57" s="5">
        <v>45500</v>
      </c>
      <c r="M57" s="5">
        <v>4875</v>
      </c>
      <c r="N57" s="5">
        <v>40625</v>
      </c>
    </row>
    <row r="58" spans="1:14" hidden="1">
      <c r="A58" t="s">
        <v>207</v>
      </c>
      <c r="B58" t="s">
        <v>199</v>
      </c>
      <c r="C58" t="s">
        <v>60</v>
      </c>
      <c r="D58" s="6">
        <v>0</v>
      </c>
      <c r="E58" t="s">
        <v>199</v>
      </c>
      <c r="F58" t="s">
        <v>46</v>
      </c>
      <c r="G58" t="s">
        <v>208</v>
      </c>
      <c r="H58" t="s">
        <v>209</v>
      </c>
      <c r="I58" s="5">
        <v>6272</v>
      </c>
      <c r="L58" s="5">
        <v>6272</v>
      </c>
      <c r="M58" s="7">
        <v>672</v>
      </c>
      <c r="N58" s="5">
        <v>5600</v>
      </c>
    </row>
    <row r="59" spans="1:14" hidden="1">
      <c r="A59" t="s">
        <v>210</v>
      </c>
      <c r="B59" t="s">
        <v>199</v>
      </c>
      <c r="C59" t="s">
        <v>60</v>
      </c>
      <c r="D59" s="6">
        <v>0</v>
      </c>
      <c r="E59" t="s">
        <v>199</v>
      </c>
      <c r="F59" t="s">
        <v>56</v>
      </c>
      <c r="G59" t="s">
        <v>211</v>
      </c>
      <c r="H59" t="s">
        <v>212</v>
      </c>
      <c r="I59" s="5">
        <v>56000</v>
      </c>
      <c r="L59" s="5">
        <v>56000</v>
      </c>
      <c r="M59" s="5">
        <v>6000</v>
      </c>
      <c r="N59" s="5">
        <v>50000</v>
      </c>
    </row>
    <row r="60" spans="1:14" hidden="1">
      <c r="A60" t="s">
        <v>213</v>
      </c>
      <c r="B60" t="s">
        <v>199</v>
      </c>
      <c r="C60" t="s">
        <v>60</v>
      </c>
      <c r="D60" s="6">
        <v>0</v>
      </c>
      <c r="E60" t="s">
        <v>199</v>
      </c>
      <c r="F60" t="s">
        <v>56</v>
      </c>
      <c r="G60" t="s">
        <v>211</v>
      </c>
      <c r="H60" t="s">
        <v>214</v>
      </c>
      <c r="I60" s="5">
        <v>28000</v>
      </c>
      <c r="L60" s="5">
        <v>28000</v>
      </c>
      <c r="M60" s="5">
        <v>3000</v>
      </c>
      <c r="N60" s="5">
        <v>25000</v>
      </c>
    </row>
    <row r="61" spans="1:14" hidden="1">
      <c r="A61" t="s">
        <v>215</v>
      </c>
      <c r="B61" t="s">
        <v>199</v>
      </c>
      <c r="C61" t="s">
        <v>60</v>
      </c>
      <c r="D61" s="6">
        <v>0</v>
      </c>
      <c r="E61" t="s">
        <v>199</v>
      </c>
      <c r="F61" t="s">
        <v>56</v>
      </c>
      <c r="G61" t="s">
        <v>211</v>
      </c>
      <c r="H61" t="s">
        <v>216</v>
      </c>
      <c r="I61" s="5">
        <v>28000</v>
      </c>
      <c r="L61" s="5">
        <v>28000</v>
      </c>
      <c r="M61" s="5">
        <v>3000</v>
      </c>
      <c r="N61" s="5">
        <v>25000</v>
      </c>
    </row>
    <row r="62" spans="1:14" hidden="1">
      <c r="A62" t="s">
        <v>217</v>
      </c>
      <c r="B62" t="s">
        <v>199</v>
      </c>
      <c r="C62" t="s">
        <v>29</v>
      </c>
      <c r="D62" s="6">
        <v>0</v>
      </c>
      <c r="E62" t="s">
        <v>199</v>
      </c>
      <c r="F62" t="s">
        <v>30</v>
      </c>
      <c r="G62" t="s">
        <v>218</v>
      </c>
      <c r="H62" t="s">
        <v>219</v>
      </c>
      <c r="I62" s="5">
        <v>1078560</v>
      </c>
      <c r="J62" s="4">
        <v>-32356.799999999999</v>
      </c>
      <c r="L62" s="5">
        <v>1046203.2</v>
      </c>
      <c r="M62" s="5">
        <v>112093.2</v>
      </c>
      <c r="N62" s="5">
        <v>934110</v>
      </c>
    </row>
    <row r="63" spans="1:14" hidden="1">
      <c r="A63" t="s">
        <v>220</v>
      </c>
      <c r="B63" t="s">
        <v>199</v>
      </c>
      <c r="C63" t="s">
        <v>60</v>
      </c>
      <c r="D63" s="6">
        <v>0</v>
      </c>
      <c r="E63" t="s">
        <v>199</v>
      </c>
      <c r="F63" t="s">
        <v>56</v>
      </c>
      <c r="G63" t="s">
        <v>190</v>
      </c>
      <c r="H63" t="s">
        <v>221</v>
      </c>
      <c r="I63" s="5">
        <v>11407.2</v>
      </c>
      <c r="L63" s="5">
        <v>11407.2</v>
      </c>
      <c r="M63" s="5">
        <v>1222.2</v>
      </c>
      <c r="N63" s="5">
        <v>10185</v>
      </c>
    </row>
    <row r="64" spans="1:14" hidden="1">
      <c r="A64" t="s">
        <v>222</v>
      </c>
      <c r="B64" t="s">
        <v>199</v>
      </c>
      <c r="C64" t="s">
        <v>23</v>
      </c>
      <c r="D64" s="6">
        <v>30</v>
      </c>
      <c r="E64" t="s">
        <v>223</v>
      </c>
      <c r="F64" t="s">
        <v>180</v>
      </c>
      <c r="G64" t="s">
        <v>224</v>
      </c>
      <c r="H64" t="s">
        <v>225</v>
      </c>
      <c r="I64" s="5">
        <v>68700</v>
      </c>
      <c r="L64" s="5">
        <v>68700</v>
      </c>
      <c r="M64" s="5">
        <v>7360.71</v>
      </c>
      <c r="N64" s="5">
        <v>61339.29</v>
      </c>
    </row>
    <row r="65" spans="1:14" hidden="1">
      <c r="A65" t="s">
        <v>226</v>
      </c>
      <c r="B65" t="s">
        <v>199</v>
      </c>
      <c r="C65" t="s">
        <v>29</v>
      </c>
      <c r="D65" s="6">
        <v>0</v>
      </c>
      <c r="E65" t="s">
        <v>199</v>
      </c>
      <c r="F65" t="s">
        <v>30</v>
      </c>
      <c r="G65" t="s">
        <v>31</v>
      </c>
      <c r="H65" t="s">
        <v>227</v>
      </c>
      <c r="I65" s="5">
        <v>23901</v>
      </c>
      <c r="L65" s="5">
        <v>23901</v>
      </c>
      <c r="M65" s="5">
        <v>2560.8200000000002</v>
      </c>
      <c r="N65" s="5">
        <v>21340.18</v>
      </c>
    </row>
    <row r="66" spans="1:14" hidden="1">
      <c r="A66" t="s">
        <v>228</v>
      </c>
      <c r="B66" t="s">
        <v>199</v>
      </c>
      <c r="C66" t="s">
        <v>29</v>
      </c>
      <c r="D66" s="6">
        <v>0</v>
      </c>
      <c r="E66" t="s">
        <v>199</v>
      </c>
      <c r="F66" t="s">
        <v>30</v>
      </c>
      <c r="G66" t="s">
        <v>31</v>
      </c>
      <c r="H66" t="s">
        <v>229</v>
      </c>
      <c r="I66" s="5">
        <v>266668</v>
      </c>
      <c r="L66" s="5">
        <v>266668</v>
      </c>
      <c r="M66" s="5">
        <v>28571.57</v>
      </c>
      <c r="N66" s="5">
        <v>238096.43</v>
      </c>
    </row>
    <row r="67" spans="1:14" hidden="1">
      <c r="A67" t="s">
        <v>230</v>
      </c>
      <c r="B67" t="s">
        <v>199</v>
      </c>
      <c r="C67" t="s">
        <v>68</v>
      </c>
      <c r="D67" s="6">
        <v>60</v>
      </c>
      <c r="E67" t="s">
        <v>200</v>
      </c>
      <c r="F67" t="s">
        <v>69</v>
      </c>
      <c r="G67" t="s">
        <v>70</v>
      </c>
      <c r="H67" t="s">
        <v>231</v>
      </c>
      <c r="I67" s="5">
        <v>2419200</v>
      </c>
      <c r="L67" s="5">
        <v>2419200</v>
      </c>
      <c r="M67" s="5">
        <v>259200</v>
      </c>
      <c r="N67" s="5">
        <v>2160000</v>
      </c>
    </row>
    <row r="68" spans="1:14" hidden="1">
      <c r="A68" t="s">
        <v>232</v>
      </c>
      <c r="B68" t="s">
        <v>199</v>
      </c>
      <c r="C68" t="s">
        <v>162</v>
      </c>
      <c r="D68" s="6">
        <v>90</v>
      </c>
      <c r="E68" t="s">
        <v>233</v>
      </c>
      <c r="F68" t="s">
        <v>56</v>
      </c>
      <c r="G68" t="s">
        <v>234</v>
      </c>
      <c r="H68" t="s">
        <v>235</v>
      </c>
      <c r="I68" s="5">
        <v>15682</v>
      </c>
      <c r="L68" s="5">
        <v>15682</v>
      </c>
      <c r="M68" s="5">
        <v>1680.21</v>
      </c>
      <c r="N68" s="5">
        <v>14001.79</v>
      </c>
    </row>
    <row r="69" spans="1:14" hidden="1">
      <c r="A69" t="s">
        <v>236</v>
      </c>
      <c r="B69" t="s">
        <v>199</v>
      </c>
      <c r="C69" t="s">
        <v>237</v>
      </c>
      <c r="D69" s="6">
        <v>60</v>
      </c>
      <c r="E69" t="s">
        <v>200</v>
      </c>
      <c r="F69" t="s">
        <v>180</v>
      </c>
      <c r="G69" t="s">
        <v>238</v>
      </c>
      <c r="H69" t="s">
        <v>239</v>
      </c>
      <c r="I69" s="5">
        <v>250950</v>
      </c>
      <c r="L69" s="5">
        <v>250950</v>
      </c>
      <c r="M69" s="5">
        <v>26887.5</v>
      </c>
      <c r="N69" s="5">
        <v>224062.5</v>
      </c>
    </row>
    <row r="70" spans="1:14" hidden="1">
      <c r="A70" t="s">
        <v>240</v>
      </c>
      <c r="B70" t="s">
        <v>199</v>
      </c>
      <c r="C70" t="s">
        <v>60</v>
      </c>
      <c r="D70" s="6">
        <v>0</v>
      </c>
      <c r="E70" t="s">
        <v>199</v>
      </c>
      <c r="F70" t="s">
        <v>56</v>
      </c>
      <c r="G70" t="s">
        <v>190</v>
      </c>
      <c r="H70" t="s">
        <v>241</v>
      </c>
      <c r="I70" s="5">
        <v>7760</v>
      </c>
      <c r="L70" s="5">
        <v>7760</v>
      </c>
      <c r="M70" s="7">
        <v>831.43</v>
      </c>
      <c r="N70" s="5">
        <v>6928.57</v>
      </c>
    </row>
    <row r="71" spans="1:14" hidden="1">
      <c r="A71" t="s">
        <v>242</v>
      </c>
      <c r="B71" t="s">
        <v>199</v>
      </c>
      <c r="C71" t="s">
        <v>243</v>
      </c>
      <c r="D71" s="6">
        <v>30</v>
      </c>
      <c r="E71" t="s">
        <v>223</v>
      </c>
      <c r="F71" t="s">
        <v>56</v>
      </c>
      <c r="G71" t="s">
        <v>244</v>
      </c>
      <c r="H71" t="s">
        <v>245</v>
      </c>
      <c r="I71" s="5">
        <v>28250</v>
      </c>
      <c r="L71" s="5">
        <v>28250</v>
      </c>
      <c r="M71" s="5">
        <v>3026.79</v>
      </c>
      <c r="N71" s="5">
        <v>25223.21</v>
      </c>
    </row>
    <row r="72" spans="1:14" hidden="1">
      <c r="A72" t="s">
        <v>246</v>
      </c>
      <c r="B72" t="s">
        <v>199</v>
      </c>
      <c r="C72" t="s">
        <v>73</v>
      </c>
      <c r="D72" s="6">
        <v>30</v>
      </c>
      <c r="E72" t="s">
        <v>223</v>
      </c>
      <c r="F72" t="s">
        <v>19</v>
      </c>
      <c r="G72" t="s">
        <v>247</v>
      </c>
      <c r="H72" t="s">
        <v>248</v>
      </c>
      <c r="I72" s="5">
        <v>468480</v>
      </c>
      <c r="L72" s="5">
        <v>468480</v>
      </c>
      <c r="M72" s="5">
        <v>50194.29</v>
      </c>
      <c r="N72" s="5">
        <v>418285.71</v>
      </c>
    </row>
    <row r="73" spans="1:14" hidden="1">
      <c r="A73" t="s">
        <v>249</v>
      </c>
      <c r="B73" t="s">
        <v>199</v>
      </c>
      <c r="C73" t="s">
        <v>146</v>
      </c>
      <c r="D73" s="6">
        <v>90</v>
      </c>
      <c r="E73" t="s">
        <v>233</v>
      </c>
      <c r="F73" t="s">
        <v>139</v>
      </c>
      <c r="G73" t="s">
        <v>250</v>
      </c>
      <c r="H73" t="s">
        <v>251</v>
      </c>
      <c r="I73" s="5">
        <v>101126</v>
      </c>
      <c r="L73" s="5">
        <v>101126</v>
      </c>
      <c r="M73" s="5">
        <v>10834.93</v>
      </c>
      <c r="N73" s="5">
        <v>90291.07</v>
      </c>
    </row>
    <row r="74" spans="1:14" hidden="1">
      <c r="A74" t="s">
        <v>252</v>
      </c>
      <c r="B74" t="s">
        <v>199</v>
      </c>
      <c r="C74" t="s">
        <v>68</v>
      </c>
      <c r="D74" s="6">
        <v>60</v>
      </c>
      <c r="E74" t="s">
        <v>200</v>
      </c>
      <c r="F74" t="s">
        <v>69</v>
      </c>
      <c r="G74" t="s">
        <v>253</v>
      </c>
      <c r="H74" t="s">
        <v>254</v>
      </c>
      <c r="I74" s="5">
        <v>219190</v>
      </c>
      <c r="L74" s="5">
        <v>219190</v>
      </c>
      <c r="M74" s="5">
        <v>23484.639999999999</v>
      </c>
      <c r="N74" s="5">
        <v>195705.36</v>
      </c>
    </row>
    <row r="75" spans="1:14" hidden="1">
      <c r="A75" t="s">
        <v>255</v>
      </c>
      <c r="B75" t="s">
        <v>199</v>
      </c>
      <c r="C75" t="s">
        <v>68</v>
      </c>
      <c r="D75" s="6">
        <v>60</v>
      </c>
      <c r="E75" t="s">
        <v>200</v>
      </c>
      <c r="F75" t="s">
        <v>69</v>
      </c>
      <c r="G75" t="s">
        <v>253</v>
      </c>
      <c r="H75" t="s">
        <v>256</v>
      </c>
      <c r="I75" s="5">
        <v>255015</v>
      </c>
      <c r="L75" s="5">
        <v>255015</v>
      </c>
      <c r="M75" s="5">
        <v>27323.040000000001</v>
      </c>
      <c r="N75" s="5">
        <v>227691.96</v>
      </c>
    </row>
    <row r="76" spans="1:14" hidden="1">
      <c r="A76" t="s">
        <v>257</v>
      </c>
      <c r="B76" t="s">
        <v>199</v>
      </c>
      <c r="C76" t="s">
        <v>68</v>
      </c>
      <c r="D76" s="6">
        <v>60</v>
      </c>
      <c r="E76" t="s">
        <v>200</v>
      </c>
      <c r="F76" t="s">
        <v>69</v>
      </c>
      <c r="G76" t="s">
        <v>253</v>
      </c>
      <c r="H76" t="s">
        <v>258</v>
      </c>
      <c r="I76" s="5">
        <v>264015</v>
      </c>
      <c r="L76" s="5">
        <v>264015</v>
      </c>
      <c r="M76" s="5">
        <v>28287.32</v>
      </c>
      <c r="N76" s="5">
        <v>235727.68</v>
      </c>
    </row>
    <row r="77" spans="1:14" hidden="1">
      <c r="A77" t="s">
        <v>259</v>
      </c>
      <c r="B77" t="s">
        <v>199</v>
      </c>
      <c r="C77" t="s">
        <v>68</v>
      </c>
      <c r="D77" s="6">
        <v>60</v>
      </c>
      <c r="E77" t="s">
        <v>200</v>
      </c>
      <c r="F77" t="s">
        <v>69</v>
      </c>
      <c r="G77" t="s">
        <v>253</v>
      </c>
      <c r="H77" t="s">
        <v>260</v>
      </c>
      <c r="I77" s="5">
        <v>168550</v>
      </c>
      <c r="L77" s="5">
        <v>168550</v>
      </c>
      <c r="M77" s="5">
        <v>18058.93</v>
      </c>
      <c r="N77" s="5">
        <v>150491.07</v>
      </c>
    </row>
    <row r="78" spans="1:14" hidden="1">
      <c r="A78" t="s">
        <v>261</v>
      </c>
      <c r="B78" t="s">
        <v>199</v>
      </c>
      <c r="C78" t="s">
        <v>68</v>
      </c>
      <c r="D78" s="6">
        <v>60</v>
      </c>
      <c r="E78" t="s">
        <v>200</v>
      </c>
      <c r="F78" t="s">
        <v>69</v>
      </c>
      <c r="G78" t="s">
        <v>253</v>
      </c>
      <c r="H78" t="s">
        <v>262</v>
      </c>
      <c r="I78" s="5">
        <v>228290</v>
      </c>
      <c r="L78" s="5">
        <v>228290</v>
      </c>
      <c r="M78" s="5">
        <v>24459.64</v>
      </c>
      <c r="N78" s="5">
        <v>203830.36</v>
      </c>
    </row>
    <row r="79" spans="1:14" hidden="1">
      <c r="A79" t="s">
        <v>263</v>
      </c>
      <c r="B79" t="s">
        <v>199</v>
      </c>
      <c r="C79" t="s">
        <v>151</v>
      </c>
      <c r="D79" s="6">
        <v>60</v>
      </c>
      <c r="E79" t="s">
        <v>200</v>
      </c>
      <c r="F79" t="s">
        <v>139</v>
      </c>
      <c r="G79" t="s">
        <v>264</v>
      </c>
      <c r="H79" t="s">
        <v>265</v>
      </c>
      <c r="I79" s="5">
        <v>20960</v>
      </c>
      <c r="L79" s="5">
        <v>20960</v>
      </c>
      <c r="M79" s="5">
        <v>2245.71</v>
      </c>
      <c r="N79" s="5">
        <v>18714.29</v>
      </c>
    </row>
    <row r="80" spans="1:14" hidden="1">
      <c r="A80" t="s">
        <v>266</v>
      </c>
      <c r="B80" t="s">
        <v>199</v>
      </c>
      <c r="C80" t="s">
        <v>73</v>
      </c>
      <c r="D80" s="6">
        <v>30</v>
      </c>
      <c r="E80" t="s">
        <v>223</v>
      </c>
      <c r="F80" t="s">
        <v>19</v>
      </c>
      <c r="G80" t="s">
        <v>267</v>
      </c>
      <c r="H80" t="s">
        <v>268</v>
      </c>
      <c r="I80" s="5">
        <v>219100</v>
      </c>
      <c r="K80" s="5">
        <v>7500</v>
      </c>
      <c r="L80" s="5">
        <v>226600</v>
      </c>
      <c r="M80" s="5">
        <v>24278.57</v>
      </c>
      <c r="N80" s="5">
        <v>202321.43</v>
      </c>
    </row>
    <row r="81" spans="1:14" hidden="1">
      <c r="A81" t="s">
        <v>269</v>
      </c>
      <c r="B81" t="s">
        <v>199</v>
      </c>
      <c r="C81" t="s">
        <v>73</v>
      </c>
      <c r="D81" s="6">
        <v>30</v>
      </c>
      <c r="E81" t="s">
        <v>223</v>
      </c>
      <c r="F81" t="s">
        <v>270</v>
      </c>
      <c r="G81" t="s">
        <v>271</v>
      </c>
      <c r="H81" t="s">
        <v>272</v>
      </c>
      <c r="I81" s="5">
        <v>220750</v>
      </c>
      <c r="L81" s="5">
        <v>220750</v>
      </c>
      <c r="N81" s="5">
        <v>220750</v>
      </c>
    </row>
    <row r="82" spans="1:14" hidden="1">
      <c r="A82" t="s">
        <v>273</v>
      </c>
      <c r="B82" t="s">
        <v>199</v>
      </c>
      <c r="C82" t="s">
        <v>104</v>
      </c>
      <c r="D82" s="6">
        <v>0</v>
      </c>
      <c r="E82" t="s">
        <v>199</v>
      </c>
      <c r="F82" t="s">
        <v>105</v>
      </c>
      <c r="G82" t="s">
        <v>274</v>
      </c>
      <c r="H82" t="s">
        <v>275</v>
      </c>
      <c r="I82" s="5">
        <v>55933</v>
      </c>
      <c r="J82" s="4">
        <v>-1118.6600000000001</v>
      </c>
      <c r="L82" s="5">
        <v>54814.34</v>
      </c>
      <c r="M82" s="5">
        <v>5872.97</v>
      </c>
      <c r="N82" s="5">
        <v>48941.37</v>
      </c>
    </row>
    <row r="83" spans="1:14" hidden="1">
      <c r="A83" t="s">
        <v>276</v>
      </c>
      <c r="B83" t="s">
        <v>199</v>
      </c>
      <c r="C83" t="s">
        <v>104</v>
      </c>
      <c r="D83" s="6">
        <v>0</v>
      </c>
      <c r="E83" t="s">
        <v>199</v>
      </c>
      <c r="F83" t="s">
        <v>69</v>
      </c>
      <c r="G83" t="s">
        <v>277</v>
      </c>
      <c r="H83" t="s">
        <v>278</v>
      </c>
      <c r="I83" s="5">
        <v>39907</v>
      </c>
      <c r="L83" s="5">
        <v>39907</v>
      </c>
      <c r="M83" s="5">
        <v>4275.75</v>
      </c>
      <c r="N83" s="5">
        <v>35631.25</v>
      </c>
    </row>
    <row r="84" spans="1:14" hidden="1">
      <c r="A84" t="s">
        <v>279</v>
      </c>
      <c r="B84" t="s">
        <v>199</v>
      </c>
      <c r="C84" t="s">
        <v>54</v>
      </c>
      <c r="D84" s="6">
        <v>90</v>
      </c>
      <c r="E84" t="s">
        <v>233</v>
      </c>
      <c r="F84" t="s">
        <v>56</v>
      </c>
      <c r="G84" t="s">
        <v>90</v>
      </c>
      <c r="H84" t="s">
        <v>280</v>
      </c>
      <c r="I84" s="5">
        <v>191133</v>
      </c>
      <c r="L84" s="5">
        <v>191133</v>
      </c>
      <c r="M84" s="5">
        <v>20478.54</v>
      </c>
      <c r="N84" s="5">
        <v>170654.46</v>
      </c>
    </row>
    <row r="85" spans="1:14" hidden="1">
      <c r="A85" t="s">
        <v>281</v>
      </c>
      <c r="B85" t="s">
        <v>282</v>
      </c>
      <c r="C85" t="s">
        <v>60</v>
      </c>
      <c r="D85" s="6">
        <v>0</v>
      </c>
      <c r="E85" t="s">
        <v>282</v>
      </c>
      <c r="F85" t="s">
        <v>19</v>
      </c>
      <c r="G85" t="s">
        <v>283</v>
      </c>
      <c r="H85" t="s">
        <v>284</v>
      </c>
      <c r="I85" s="5">
        <v>51923</v>
      </c>
      <c r="J85" s="4">
        <v>-1038.46</v>
      </c>
      <c r="L85" s="5">
        <v>50884.54</v>
      </c>
      <c r="M85" s="5">
        <v>5451.91</v>
      </c>
      <c r="N85" s="5">
        <v>45432.63</v>
      </c>
    </row>
    <row r="86" spans="1:14" hidden="1">
      <c r="A86" t="s">
        <v>285</v>
      </c>
      <c r="B86" t="s">
        <v>282</v>
      </c>
      <c r="C86" t="s">
        <v>34</v>
      </c>
      <c r="D86" s="6">
        <v>60</v>
      </c>
      <c r="E86" t="s">
        <v>286</v>
      </c>
      <c r="F86" t="s">
        <v>19</v>
      </c>
      <c r="G86" t="s">
        <v>287</v>
      </c>
      <c r="H86" t="s">
        <v>288</v>
      </c>
      <c r="I86" s="5">
        <v>19080</v>
      </c>
      <c r="L86" s="5">
        <v>19080</v>
      </c>
      <c r="M86" s="5">
        <v>2044.29</v>
      </c>
      <c r="N86" s="5">
        <v>17035.71</v>
      </c>
    </row>
    <row r="87" spans="1:14" hidden="1">
      <c r="A87" t="s">
        <v>289</v>
      </c>
      <c r="B87" t="s">
        <v>282</v>
      </c>
      <c r="C87" t="s">
        <v>54</v>
      </c>
      <c r="D87" s="6">
        <v>90</v>
      </c>
      <c r="E87" t="s">
        <v>290</v>
      </c>
      <c r="F87" t="s">
        <v>56</v>
      </c>
      <c r="G87" t="s">
        <v>90</v>
      </c>
      <c r="H87" t="s">
        <v>291</v>
      </c>
      <c r="I87" s="5">
        <v>282155</v>
      </c>
      <c r="L87" s="5">
        <v>282155</v>
      </c>
      <c r="M87" s="5">
        <v>30230.89</v>
      </c>
      <c r="N87" s="5">
        <v>251924.11</v>
      </c>
    </row>
    <row r="88" spans="1:14" hidden="1">
      <c r="A88" t="s">
        <v>292</v>
      </c>
      <c r="B88" t="s">
        <v>282</v>
      </c>
      <c r="C88" t="s">
        <v>60</v>
      </c>
      <c r="D88" s="6">
        <v>0</v>
      </c>
      <c r="E88" t="s">
        <v>282</v>
      </c>
      <c r="F88" t="s">
        <v>56</v>
      </c>
      <c r="G88" t="s">
        <v>293</v>
      </c>
      <c r="H88" t="s">
        <v>294</v>
      </c>
      <c r="I88" s="5">
        <v>58930</v>
      </c>
      <c r="L88" s="5">
        <v>58930</v>
      </c>
      <c r="M88" s="5">
        <v>6313.93</v>
      </c>
      <c r="N88" s="5">
        <v>52616.07</v>
      </c>
    </row>
    <row r="89" spans="1:14" hidden="1">
      <c r="A89" t="s">
        <v>295</v>
      </c>
      <c r="B89" t="s">
        <v>282</v>
      </c>
      <c r="C89" t="s">
        <v>23</v>
      </c>
      <c r="D89" s="6">
        <v>30</v>
      </c>
      <c r="E89" t="s">
        <v>296</v>
      </c>
      <c r="F89" t="s">
        <v>139</v>
      </c>
      <c r="G89" t="s">
        <v>297</v>
      </c>
      <c r="H89" t="s">
        <v>298</v>
      </c>
      <c r="I89" s="5">
        <v>19604</v>
      </c>
      <c r="L89" s="5">
        <v>19604</v>
      </c>
      <c r="M89" s="5">
        <v>2100.4299999999998</v>
      </c>
      <c r="N89" s="5">
        <v>17503.57</v>
      </c>
    </row>
    <row r="90" spans="1:14" hidden="1">
      <c r="A90" t="s">
        <v>299</v>
      </c>
      <c r="B90" t="s">
        <v>282</v>
      </c>
      <c r="C90" t="s">
        <v>60</v>
      </c>
      <c r="D90" s="6">
        <v>0</v>
      </c>
      <c r="E90" t="s">
        <v>282</v>
      </c>
      <c r="F90" t="s">
        <v>270</v>
      </c>
      <c r="G90" t="s">
        <v>300</v>
      </c>
      <c r="H90" t="s">
        <v>301</v>
      </c>
      <c r="I90" s="5">
        <v>67461.240000000005</v>
      </c>
      <c r="L90" s="5">
        <v>67461.240000000005</v>
      </c>
      <c r="M90" s="5">
        <v>7227.99</v>
      </c>
      <c r="N90" s="5">
        <v>60233.25</v>
      </c>
    </row>
    <row r="91" spans="1:14" hidden="1">
      <c r="A91" t="s">
        <v>302</v>
      </c>
      <c r="B91" t="s">
        <v>282</v>
      </c>
      <c r="C91" t="s">
        <v>237</v>
      </c>
      <c r="D91" s="6">
        <v>60</v>
      </c>
      <c r="E91" t="s">
        <v>286</v>
      </c>
      <c r="F91" t="s">
        <v>69</v>
      </c>
      <c r="G91" t="s">
        <v>303</v>
      </c>
      <c r="H91" t="s">
        <v>304</v>
      </c>
      <c r="I91" s="5">
        <v>112895</v>
      </c>
      <c r="L91" s="5">
        <v>112895</v>
      </c>
      <c r="M91" s="5">
        <v>12095.89</v>
      </c>
      <c r="N91" s="5">
        <v>100799.11</v>
      </c>
    </row>
    <row r="92" spans="1:14" hidden="1">
      <c r="A92" t="s">
        <v>305</v>
      </c>
      <c r="B92" t="s">
        <v>282</v>
      </c>
      <c r="C92" t="s">
        <v>237</v>
      </c>
      <c r="D92" s="6">
        <v>60</v>
      </c>
      <c r="E92" t="s">
        <v>286</v>
      </c>
      <c r="F92" t="s">
        <v>69</v>
      </c>
      <c r="G92" t="s">
        <v>303</v>
      </c>
      <c r="H92" t="s">
        <v>306</v>
      </c>
      <c r="I92" s="5">
        <v>300000</v>
      </c>
      <c r="L92" s="5">
        <v>300000</v>
      </c>
      <c r="M92" s="5">
        <v>32142.86</v>
      </c>
      <c r="N92" s="5">
        <v>267857.14</v>
      </c>
    </row>
    <row r="93" spans="1:14" hidden="1">
      <c r="A93" t="s">
        <v>307</v>
      </c>
      <c r="B93" t="s">
        <v>282</v>
      </c>
      <c r="C93" t="s">
        <v>237</v>
      </c>
      <c r="D93" s="6">
        <v>60</v>
      </c>
      <c r="E93" t="s">
        <v>286</v>
      </c>
      <c r="F93" t="s">
        <v>69</v>
      </c>
      <c r="G93" t="s">
        <v>303</v>
      </c>
      <c r="H93" t="s">
        <v>308</v>
      </c>
      <c r="I93" s="5">
        <v>120000</v>
      </c>
      <c r="L93" s="5">
        <v>120000</v>
      </c>
      <c r="M93" s="5">
        <v>12857.14</v>
      </c>
      <c r="N93" s="5">
        <v>107142.86</v>
      </c>
    </row>
    <row r="94" spans="1:14" hidden="1">
      <c r="A94" t="s">
        <v>309</v>
      </c>
      <c r="B94" t="s">
        <v>282</v>
      </c>
      <c r="C94" t="s">
        <v>237</v>
      </c>
      <c r="D94" s="6">
        <v>60</v>
      </c>
      <c r="E94" t="s">
        <v>286</v>
      </c>
      <c r="F94" t="s">
        <v>69</v>
      </c>
      <c r="G94" t="s">
        <v>303</v>
      </c>
      <c r="H94" t="s">
        <v>310</v>
      </c>
      <c r="I94" s="5">
        <v>24000</v>
      </c>
      <c r="L94" s="5">
        <v>24000</v>
      </c>
      <c r="M94" s="5">
        <v>2571.4299999999998</v>
      </c>
      <c r="N94" s="5">
        <v>21428.57</v>
      </c>
    </row>
    <row r="95" spans="1:14" hidden="1">
      <c r="A95" t="s">
        <v>311</v>
      </c>
      <c r="B95" t="s">
        <v>282</v>
      </c>
      <c r="C95" t="s">
        <v>162</v>
      </c>
      <c r="D95" s="6">
        <v>90</v>
      </c>
      <c r="E95" t="s">
        <v>290</v>
      </c>
      <c r="F95" t="s">
        <v>312</v>
      </c>
      <c r="G95" t="s">
        <v>313</v>
      </c>
      <c r="H95" t="s">
        <v>314</v>
      </c>
      <c r="I95" s="5">
        <v>159998.07999999999</v>
      </c>
      <c r="L95" s="5">
        <v>159998.07999999999</v>
      </c>
      <c r="M95" s="5">
        <v>17142.650000000001</v>
      </c>
      <c r="N95" s="5">
        <v>142855.43</v>
      </c>
    </row>
    <row r="96" spans="1:14" hidden="1">
      <c r="A96" t="s">
        <v>315</v>
      </c>
      <c r="B96" t="s">
        <v>282</v>
      </c>
      <c r="C96" t="s">
        <v>151</v>
      </c>
      <c r="D96" s="6">
        <v>60</v>
      </c>
      <c r="E96" t="s">
        <v>286</v>
      </c>
      <c r="F96" t="s">
        <v>56</v>
      </c>
      <c r="G96" t="s">
        <v>316</v>
      </c>
      <c r="H96" t="s">
        <v>317</v>
      </c>
      <c r="I96" s="5">
        <v>77013</v>
      </c>
      <c r="L96" s="5">
        <v>77013</v>
      </c>
      <c r="M96" s="5">
        <v>8251.39</v>
      </c>
      <c r="N96" s="5">
        <v>68761.61</v>
      </c>
    </row>
    <row r="97" spans="1:14" hidden="1">
      <c r="A97" t="s">
        <v>318</v>
      </c>
      <c r="B97" t="s">
        <v>282</v>
      </c>
      <c r="C97" t="s">
        <v>18</v>
      </c>
      <c r="D97" s="6">
        <v>0</v>
      </c>
      <c r="E97" t="s">
        <v>282</v>
      </c>
      <c r="F97" t="s">
        <v>180</v>
      </c>
      <c r="G97" t="s">
        <v>319</v>
      </c>
      <c r="H97" t="s">
        <v>320</v>
      </c>
      <c r="I97" s="5">
        <v>120900</v>
      </c>
      <c r="L97" s="5">
        <v>120900</v>
      </c>
      <c r="M97" s="5">
        <v>12953.57</v>
      </c>
      <c r="N97" s="5">
        <v>107946.43</v>
      </c>
    </row>
    <row r="98" spans="1:14" hidden="1">
      <c r="A98" t="s">
        <v>321</v>
      </c>
      <c r="B98" t="s">
        <v>282</v>
      </c>
      <c r="C98" t="s">
        <v>18</v>
      </c>
      <c r="D98" s="6">
        <v>0</v>
      </c>
      <c r="E98" t="s">
        <v>282</v>
      </c>
      <c r="F98" t="s">
        <v>180</v>
      </c>
      <c r="G98" t="s">
        <v>319</v>
      </c>
      <c r="H98" t="s">
        <v>322</v>
      </c>
      <c r="I98" s="5">
        <v>27500</v>
      </c>
      <c r="L98" s="5">
        <v>27500</v>
      </c>
      <c r="M98" s="5">
        <v>2946.43</v>
      </c>
      <c r="N98" s="5">
        <v>24553.57</v>
      </c>
    </row>
    <row r="99" spans="1:14" hidden="1">
      <c r="A99" t="s">
        <v>323</v>
      </c>
      <c r="B99" t="s">
        <v>282</v>
      </c>
      <c r="C99" t="s">
        <v>18</v>
      </c>
      <c r="D99" s="6">
        <v>0</v>
      </c>
      <c r="E99" t="s">
        <v>282</v>
      </c>
      <c r="F99" t="s">
        <v>180</v>
      </c>
      <c r="G99" t="s">
        <v>319</v>
      </c>
      <c r="H99" t="s">
        <v>324</v>
      </c>
      <c r="I99" s="5">
        <v>181100</v>
      </c>
      <c r="L99" s="5">
        <v>181100</v>
      </c>
      <c r="M99" s="5">
        <v>19403.57</v>
      </c>
      <c r="N99" s="5">
        <v>161696.43</v>
      </c>
    </row>
    <row r="100" spans="1:14" hidden="1">
      <c r="A100" t="s">
        <v>325</v>
      </c>
      <c r="B100" t="s">
        <v>282</v>
      </c>
      <c r="C100" t="s">
        <v>18</v>
      </c>
      <c r="D100" s="6">
        <v>0</v>
      </c>
      <c r="E100" t="s">
        <v>282</v>
      </c>
      <c r="F100" t="s">
        <v>56</v>
      </c>
      <c r="G100" t="s">
        <v>326</v>
      </c>
      <c r="H100" t="s">
        <v>327</v>
      </c>
      <c r="I100" s="5">
        <v>184000</v>
      </c>
      <c r="J100" s="4">
        <v>-3680</v>
      </c>
      <c r="L100" s="5">
        <v>180320</v>
      </c>
      <c r="M100" s="5">
        <v>19320</v>
      </c>
      <c r="N100" s="5">
        <v>161000</v>
      </c>
    </row>
    <row r="101" spans="1:14" hidden="1">
      <c r="A101" t="s">
        <v>328</v>
      </c>
      <c r="B101" t="s">
        <v>282</v>
      </c>
      <c r="C101" t="s">
        <v>34</v>
      </c>
      <c r="D101" s="6">
        <v>60</v>
      </c>
      <c r="E101" t="s">
        <v>286</v>
      </c>
      <c r="F101" t="s">
        <v>329</v>
      </c>
      <c r="G101" t="s">
        <v>330</v>
      </c>
      <c r="H101" t="s">
        <v>331</v>
      </c>
      <c r="I101" s="5">
        <v>338400</v>
      </c>
      <c r="L101" s="5">
        <v>338400</v>
      </c>
      <c r="M101" s="5">
        <v>36257.14</v>
      </c>
      <c r="N101" s="5">
        <v>302142.86</v>
      </c>
    </row>
    <row r="102" spans="1:14" hidden="1">
      <c r="A102" t="s">
        <v>332</v>
      </c>
      <c r="B102" t="s">
        <v>282</v>
      </c>
      <c r="C102" t="s">
        <v>333</v>
      </c>
      <c r="D102" s="6">
        <v>30</v>
      </c>
      <c r="E102" t="s">
        <v>296</v>
      </c>
      <c r="F102" t="s">
        <v>270</v>
      </c>
      <c r="G102" t="s">
        <v>334</v>
      </c>
      <c r="H102" t="s">
        <v>335</v>
      </c>
      <c r="I102" s="5">
        <v>88200</v>
      </c>
      <c r="L102" s="5">
        <v>88200</v>
      </c>
      <c r="M102" s="5">
        <v>9450</v>
      </c>
      <c r="N102" s="5">
        <v>78750</v>
      </c>
    </row>
    <row r="103" spans="1:14" hidden="1">
      <c r="A103" t="s">
        <v>336</v>
      </c>
      <c r="B103" t="s">
        <v>282</v>
      </c>
      <c r="C103" t="s">
        <v>237</v>
      </c>
      <c r="D103" s="6">
        <v>60</v>
      </c>
      <c r="E103" t="s">
        <v>286</v>
      </c>
      <c r="F103" t="s">
        <v>270</v>
      </c>
      <c r="G103" t="s">
        <v>337</v>
      </c>
      <c r="H103" t="s">
        <v>338</v>
      </c>
      <c r="I103" s="5">
        <v>143215</v>
      </c>
      <c r="L103" s="5">
        <v>143215</v>
      </c>
      <c r="M103" s="5">
        <v>15344.46</v>
      </c>
      <c r="N103" s="5">
        <v>127870.54</v>
      </c>
    </row>
    <row r="104" spans="1:14" hidden="1">
      <c r="A104" t="s">
        <v>339</v>
      </c>
      <c r="B104" t="s">
        <v>282</v>
      </c>
      <c r="C104" t="s">
        <v>333</v>
      </c>
      <c r="D104" s="6">
        <v>30</v>
      </c>
      <c r="E104" t="s">
        <v>296</v>
      </c>
      <c r="F104" t="s">
        <v>270</v>
      </c>
      <c r="G104" t="s">
        <v>340</v>
      </c>
      <c r="H104" t="s">
        <v>341</v>
      </c>
      <c r="I104" s="5">
        <v>309050</v>
      </c>
      <c r="L104" s="5">
        <v>309050</v>
      </c>
      <c r="M104" s="5">
        <v>33112.5</v>
      </c>
      <c r="N104" s="5">
        <v>275937.5</v>
      </c>
    </row>
    <row r="105" spans="1:14" hidden="1">
      <c r="A105" t="s">
        <v>342</v>
      </c>
      <c r="B105" t="s">
        <v>282</v>
      </c>
      <c r="C105" t="s">
        <v>333</v>
      </c>
      <c r="D105" s="6">
        <v>30</v>
      </c>
      <c r="E105" t="s">
        <v>296</v>
      </c>
      <c r="F105" t="s">
        <v>270</v>
      </c>
      <c r="G105" t="s">
        <v>340</v>
      </c>
      <c r="H105" t="s">
        <v>343</v>
      </c>
      <c r="I105" s="5">
        <v>196112</v>
      </c>
      <c r="L105" s="5">
        <v>196112</v>
      </c>
      <c r="M105" s="5">
        <v>21012</v>
      </c>
      <c r="N105" s="5">
        <v>175100</v>
      </c>
    </row>
    <row r="106" spans="1:14" hidden="1">
      <c r="A106" t="s">
        <v>344</v>
      </c>
      <c r="B106" t="s">
        <v>282</v>
      </c>
      <c r="C106" t="s">
        <v>18</v>
      </c>
      <c r="D106" s="6">
        <v>0</v>
      </c>
      <c r="E106" t="s">
        <v>282</v>
      </c>
      <c r="F106" t="s">
        <v>56</v>
      </c>
      <c r="G106" t="s">
        <v>345</v>
      </c>
      <c r="H106" t="s">
        <v>346</v>
      </c>
      <c r="I106" s="5">
        <v>116996</v>
      </c>
      <c r="L106" s="5">
        <v>116996</v>
      </c>
      <c r="M106" s="5">
        <v>12535.29</v>
      </c>
      <c r="N106" s="5">
        <v>104460.71</v>
      </c>
    </row>
    <row r="107" spans="1:14" hidden="1">
      <c r="A107" t="s">
        <v>347</v>
      </c>
      <c r="B107" t="s">
        <v>282</v>
      </c>
      <c r="C107" t="s">
        <v>73</v>
      </c>
      <c r="D107" s="6">
        <v>30</v>
      </c>
      <c r="E107" t="s">
        <v>296</v>
      </c>
      <c r="F107" t="s">
        <v>19</v>
      </c>
      <c r="G107" t="s">
        <v>267</v>
      </c>
      <c r="H107" t="s">
        <v>348</v>
      </c>
      <c r="I107" s="5">
        <v>23800</v>
      </c>
      <c r="K107" s="5">
        <v>8200</v>
      </c>
      <c r="L107" s="5">
        <v>32000</v>
      </c>
      <c r="M107" s="5">
        <v>3428.57</v>
      </c>
      <c r="N107" s="5">
        <v>28571.43</v>
      </c>
    </row>
    <row r="108" spans="1:14" hidden="1">
      <c r="A108" t="s">
        <v>349</v>
      </c>
      <c r="B108" t="s">
        <v>282</v>
      </c>
      <c r="C108" t="s">
        <v>73</v>
      </c>
      <c r="D108" s="6">
        <v>30</v>
      </c>
      <c r="E108" t="s">
        <v>296</v>
      </c>
      <c r="F108" t="s">
        <v>19</v>
      </c>
      <c r="G108" t="s">
        <v>267</v>
      </c>
      <c r="H108" t="s">
        <v>350</v>
      </c>
      <c r="I108" s="5">
        <v>104000</v>
      </c>
      <c r="L108" s="5">
        <v>104000</v>
      </c>
      <c r="M108" s="5">
        <v>11142.86</v>
      </c>
      <c r="N108" s="5">
        <v>92857.14</v>
      </c>
    </row>
    <row r="109" spans="1:14" hidden="1">
      <c r="A109" t="s">
        <v>351</v>
      </c>
      <c r="B109" t="s">
        <v>282</v>
      </c>
      <c r="C109" t="s">
        <v>34</v>
      </c>
      <c r="D109" s="6">
        <v>60</v>
      </c>
      <c r="E109" t="s">
        <v>286</v>
      </c>
      <c r="F109" t="s">
        <v>180</v>
      </c>
      <c r="G109" t="s">
        <v>352</v>
      </c>
      <c r="H109" t="s">
        <v>353</v>
      </c>
      <c r="I109" s="5">
        <v>22908</v>
      </c>
      <c r="L109" s="5">
        <v>22908</v>
      </c>
      <c r="M109" s="5">
        <v>2454.4299999999998</v>
      </c>
      <c r="N109" s="5">
        <v>20453.57</v>
      </c>
    </row>
    <row r="110" spans="1:14" hidden="1">
      <c r="A110" t="s">
        <v>354</v>
      </c>
      <c r="B110" t="s">
        <v>282</v>
      </c>
      <c r="C110" t="s">
        <v>54</v>
      </c>
      <c r="D110" s="6">
        <v>90</v>
      </c>
      <c r="E110" t="s">
        <v>290</v>
      </c>
      <c r="F110" t="s">
        <v>56</v>
      </c>
      <c r="G110" t="s">
        <v>355</v>
      </c>
      <c r="H110" t="s">
        <v>356</v>
      </c>
      <c r="I110" s="5">
        <v>97500</v>
      </c>
      <c r="L110" s="5">
        <v>97500</v>
      </c>
      <c r="M110" s="5">
        <v>10446.43</v>
      </c>
      <c r="N110" s="5">
        <v>87053.57</v>
      </c>
    </row>
    <row r="111" spans="1:14" hidden="1">
      <c r="A111" t="s">
        <v>357</v>
      </c>
      <c r="B111" t="s">
        <v>282</v>
      </c>
      <c r="C111" t="s">
        <v>54</v>
      </c>
      <c r="D111" s="6">
        <v>90</v>
      </c>
      <c r="E111" t="s">
        <v>290</v>
      </c>
      <c r="F111" t="s">
        <v>56</v>
      </c>
      <c r="G111" t="s">
        <v>355</v>
      </c>
      <c r="H111" t="s">
        <v>358</v>
      </c>
      <c r="I111" s="5">
        <v>60000</v>
      </c>
      <c r="L111" s="5">
        <v>60000</v>
      </c>
      <c r="M111" s="5">
        <v>6428.57</v>
      </c>
      <c r="N111" s="5">
        <v>53571.43</v>
      </c>
    </row>
    <row r="112" spans="1:14" hidden="1">
      <c r="A112" t="s">
        <v>359</v>
      </c>
      <c r="B112" t="s">
        <v>282</v>
      </c>
      <c r="C112" t="s">
        <v>54</v>
      </c>
      <c r="D112" s="6">
        <v>90</v>
      </c>
      <c r="E112" t="s">
        <v>290</v>
      </c>
      <c r="F112" t="s">
        <v>56</v>
      </c>
      <c r="G112" t="s">
        <v>355</v>
      </c>
      <c r="H112" t="s">
        <v>360</v>
      </c>
      <c r="I112" s="5">
        <v>377482</v>
      </c>
      <c r="L112" s="5">
        <v>377482</v>
      </c>
      <c r="M112" s="5">
        <v>40444.5</v>
      </c>
      <c r="N112" s="5">
        <v>337037.5</v>
      </c>
    </row>
    <row r="113" spans="1:14" hidden="1">
      <c r="A113" t="s">
        <v>361</v>
      </c>
      <c r="B113" t="s">
        <v>282</v>
      </c>
      <c r="C113" t="s">
        <v>167</v>
      </c>
      <c r="D113" s="6">
        <v>90</v>
      </c>
      <c r="E113" t="s">
        <v>290</v>
      </c>
      <c r="F113" t="s">
        <v>56</v>
      </c>
      <c r="G113" t="s">
        <v>190</v>
      </c>
      <c r="H113" t="s">
        <v>362</v>
      </c>
      <c r="I113" s="5">
        <v>260736</v>
      </c>
      <c r="L113" s="5">
        <v>260736</v>
      </c>
      <c r="M113" s="5">
        <v>27936</v>
      </c>
      <c r="N113" s="5">
        <v>232800</v>
      </c>
    </row>
    <row r="114" spans="1:14" hidden="1">
      <c r="A114" t="s">
        <v>363</v>
      </c>
      <c r="B114" t="s">
        <v>282</v>
      </c>
      <c r="C114" t="s">
        <v>162</v>
      </c>
      <c r="D114" s="6">
        <v>90</v>
      </c>
      <c r="E114" t="s">
        <v>290</v>
      </c>
      <c r="F114" t="s">
        <v>36</v>
      </c>
      <c r="G114" t="s">
        <v>193</v>
      </c>
      <c r="H114" t="s">
        <v>364</v>
      </c>
      <c r="I114" s="5">
        <v>28636</v>
      </c>
      <c r="L114" s="5">
        <v>28636</v>
      </c>
      <c r="M114" s="5">
        <v>3068.14</v>
      </c>
      <c r="N114" s="5">
        <v>25567.86</v>
      </c>
    </row>
    <row r="115" spans="1:14" hidden="1">
      <c r="A115" t="s">
        <v>365</v>
      </c>
      <c r="B115" t="s">
        <v>282</v>
      </c>
      <c r="C115" t="s">
        <v>167</v>
      </c>
      <c r="D115" s="6">
        <v>90</v>
      </c>
      <c r="E115" t="s">
        <v>290</v>
      </c>
      <c r="F115" t="s">
        <v>56</v>
      </c>
      <c r="G115" t="s">
        <v>190</v>
      </c>
      <c r="H115" t="s">
        <v>366</v>
      </c>
      <c r="I115" s="5">
        <v>229696</v>
      </c>
      <c r="L115" s="5">
        <v>229696</v>
      </c>
      <c r="M115" s="5">
        <v>24610.29</v>
      </c>
      <c r="N115" s="5">
        <v>205085.71</v>
      </c>
    </row>
    <row r="116" spans="1:14" hidden="1">
      <c r="A116" t="s">
        <v>367</v>
      </c>
      <c r="B116" t="s">
        <v>368</v>
      </c>
      <c r="C116" t="s">
        <v>369</v>
      </c>
      <c r="D116" s="6">
        <v>30</v>
      </c>
      <c r="E116" t="s">
        <v>370</v>
      </c>
      <c r="F116" t="s">
        <v>139</v>
      </c>
      <c r="G116" t="s">
        <v>371</v>
      </c>
      <c r="H116" t="s">
        <v>372</v>
      </c>
      <c r="I116" s="5">
        <v>256067</v>
      </c>
      <c r="L116" s="5">
        <v>256067</v>
      </c>
      <c r="M116" s="5">
        <v>27435.75</v>
      </c>
      <c r="N116" s="5">
        <v>228631.25</v>
      </c>
    </row>
    <row r="117" spans="1:14" hidden="1">
      <c r="A117" t="s">
        <v>373</v>
      </c>
      <c r="B117" t="s">
        <v>368</v>
      </c>
      <c r="C117" t="s">
        <v>94</v>
      </c>
      <c r="D117" s="6">
        <v>0</v>
      </c>
      <c r="E117" t="s">
        <v>368</v>
      </c>
      <c r="F117" t="s">
        <v>46</v>
      </c>
      <c r="G117" t="s">
        <v>95</v>
      </c>
      <c r="H117" t="s">
        <v>374</v>
      </c>
      <c r="I117" s="5">
        <v>263200</v>
      </c>
      <c r="L117" s="5">
        <v>263200</v>
      </c>
      <c r="M117" s="5">
        <v>28200</v>
      </c>
      <c r="N117" s="5">
        <v>235000</v>
      </c>
    </row>
    <row r="118" spans="1:14" hidden="1">
      <c r="A118" t="s">
        <v>375</v>
      </c>
      <c r="B118" t="s">
        <v>368</v>
      </c>
      <c r="C118" t="s">
        <v>34</v>
      </c>
      <c r="D118" s="6">
        <v>60</v>
      </c>
      <c r="E118" t="s">
        <v>376</v>
      </c>
      <c r="F118" t="s">
        <v>30</v>
      </c>
      <c r="G118" t="s">
        <v>201</v>
      </c>
      <c r="H118" t="s">
        <v>377</v>
      </c>
      <c r="I118" s="5">
        <v>48000</v>
      </c>
      <c r="L118" s="5">
        <v>48000</v>
      </c>
      <c r="M118" s="5">
        <v>5142.8599999999997</v>
      </c>
      <c r="N118" s="5">
        <v>42857.14</v>
      </c>
    </row>
    <row r="119" spans="1:14" hidden="1">
      <c r="A119" t="s">
        <v>378</v>
      </c>
      <c r="B119" t="s">
        <v>368</v>
      </c>
      <c r="C119" t="s">
        <v>369</v>
      </c>
      <c r="D119" s="6">
        <v>30</v>
      </c>
      <c r="E119" t="s">
        <v>370</v>
      </c>
      <c r="F119" t="s">
        <v>139</v>
      </c>
      <c r="G119" t="s">
        <v>371</v>
      </c>
      <c r="H119" t="s">
        <v>379</v>
      </c>
      <c r="I119" s="5">
        <v>47040</v>
      </c>
      <c r="L119" s="5">
        <v>47040</v>
      </c>
      <c r="M119" s="5">
        <v>5040</v>
      </c>
      <c r="N119" s="5">
        <v>42000</v>
      </c>
    </row>
    <row r="120" spans="1:14" hidden="1">
      <c r="A120" t="s">
        <v>380</v>
      </c>
      <c r="B120" t="s">
        <v>368</v>
      </c>
      <c r="C120" t="s">
        <v>369</v>
      </c>
      <c r="D120" s="6">
        <v>30</v>
      </c>
      <c r="E120" t="s">
        <v>370</v>
      </c>
      <c r="F120" t="s">
        <v>139</v>
      </c>
      <c r="G120" t="s">
        <v>371</v>
      </c>
      <c r="H120" t="s">
        <v>381</v>
      </c>
      <c r="I120" s="5">
        <v>143520</v>
      </c>
      <c r="L120" s="5">
        <v>143520</v>
      </c>
      <c r="M120" s="5">
        <v>15377.14</v>
      </c>
      <c r="N120" s="5">
        <v>128142.86</v>
      </c>
    </row>
    <row r="121" spans="1:14" hidden="1">
      <c r="A121" t="s">
        <v>382</v>
      </c>
      <c r="B121" t="s">
        <v>368</v>
      </c>
      <c r="C121" t="s">
        <v>146</v>
      </c>
      <c r="D121" s="6">
        <v>90</v>
      </c>
      <c r="E121" t="s">
        <v>383</v>
      </c>
      <c r="F121" t="s">
        <v>30</v>
      </c>
      <c r="G121" t="s">
        <v>384</v>
      </c>
      <c r="H121" t="s">
        <v>385</v>
      </c>
      <c r="I121" s="5">
        <v>723750</v>
      </c>
      <c r="L121" s="5">
        <v>723750</v>
      </c>
      <c r="M121" s="5">
        <v>77544.639999999999</v>
      </c>
      <c r="N121" s="5">
        <v>646205.36</v>
      </c>
    </row>
    <row r="122" spans="1:14" hidden="1">
      <c r="A122" t="s">
        <v>386</v>
      </c>
      <c r="B122" t="s">
        <v>368</v>
      </c>
      <c r="C122" t="s">
        <v>60</v>
      </c>
      <c r="D122" s="6">
        <v>0</v>
      </c>
      <c r="E122" t="s">
        <v>368</v>
      </c>
      <c r="F122" t="s">
        <v>56</v>
      </c>
      <c r="G122" t="s">
        <v>190</v>
      </c>
      <c r="H122" t="s">
        <v>387</v>
      </c>
      <c r="I122" s="5">
        <v>208317.2</v>
      </c>
      <c r="L122" s="5">
        <v>208317.2</v>
      </c>
      <c r="M122" s="5">
        <v>22319.7</v>
      </c>
      <c r="N122" s="5">
        <v>185997.5</v>
      </c>
    </row>
    <row r="123" spans="1:14" hidden="1">
      <c r="A123" t="s">
        <v>388</v>
      </c>
      <c r="B123" t="s">
        <v>368</v>
      </c>
      <c r="C123" t="s">
        <v>237</v>
      </c>
      <c r="D123" s="6">
        <v>60</v>
      </c>
      <c r="E123" t="s">
        <v>376</v>
      </c>
      <c r="F123" t="s">
        <v>19</v>
      </c>
      <c r="G123" t="s">
        <v>389</v>
      </c>
      <c r="H123" t="s">
        <v>390</v>
      </c>
      <c r="I123" s="5">
        <v>63000</v>
      </c>
      <c r="L123" s="5">
        <v>63000</v>
      </c>
      <c r="M123" s="5">
        <v>6750</v>
      </c>
      <c r="N123" s="5">
        <v>56250</v>
      </c>
    </row>
    <row r="124" spans="1:14" hidden="1">
      <c r="A124" t="s">
        <v>391</v>
      </c>
      <c r="B124" t="s">
        <v>368</v>
      </c>
      <c r="C124" t="s">
        <v>98</v>
      </c>
      <c r="D124" s="6">
        <v>0</v>
      </c>
      <c r="E124" t="s">
        <v>368</v>
      </c>
      <c r="F124" t="s">
        <v>46</v>
      </c>
      <c r="G124" t="s">
        <v>392</v>
      </c>
      <c r="H124" t="s">
        <v>393</v>
      </c>
      <c r="I124" s="5">
        <v>135450</v>
      </c>
      <c r="L124" s="5">
        <v>135450</v>
      </c>
      <c r="M124" s="5">
        <v>14512.5</v>
      </c>
      <c r="N124" s="5">
        <v>120937.5</v>
      </c>
    </row>
    <row r="125" spans="1:14" hidden="1">
      <c r="A125" t="s">
        <v>394</v>
      </c>
      <c r="B125" t="s">
        <v>368</v>
      </c>
      <c r="C125" t="s">
        <v>167</v>
      </c>
      <c r="D125" s="6">
        <v>90</v>
      </c>
      <c r="E125" t="s">
        <v>383</v>
      </c>
      <c r="F125" t="s">
        <v>56</v>
      </c>
      <c r="G125" t="s">
        <v>168</v>
      </c>
      <c r="H125" t="s">
        <v>395</v>
      </c>
      <c r="I125" s="5">
        <v>82150</v>
      </c>
      <c r="L125" s="5">
        <v>82150</v>
      </c>
      <c r="M125" s="5">
        <v>8801.7900000000009</v>
      </c>
      <c r="N125" s="5">
        <v>73348.210000000006</v>
      </c>
    </row>
    <row r="126" spans="1:14" hidden="1">
      <c r="A126" t="s">
        <v>396</v>
      </c>
      <c r="B126" t="s">
        <v>368</v>
      </c>
      <c r="C126" t="s">
        <v>167</v>
      </c>
      <c r="D126" s="6">
        <v>90</v>
      </c>
      <c r="E126" t="s">
        <v>383</v>
      </c>
      <c r="F126" t="s">
        <v>56</v>
      </c>
      <c r="G126" t="s">
        <v>168</v>
      </c>
      <c r="H126" t="s">
        <v>397</v>
      </c>
      <c r="I126" s="5">
        <v>175940</v>
      </c>
      <c r="L126" s="5">
        <v>175940</v>
      </c>
      <c r="M126" s="5">
        <v>18850.71</v>
      </c>
      <c r="N126" s="5">
        <v>157089.29</v>
      </c>
    </row>
    <row r="127" spans="1:14" hidden="1">
      <c r="A127" t="s">
        <v>398</v>
      </c>
      <c r="B127" t="s">
        <v>368</v>
      </c>
      <c r="C127" t="s">
        <v>162</v>
      </c>
      <c r="D127" s="6">
        <v>90</v>
      </c>
      <c r="E127" t="s">
        <v>383</v>
      </c>
      <c r="F127" t="s">
        <v>204</v>
      </c>
      <c r="G127" t="s">
        <v>399</v>
      </c>
      <c r="H127" t="s">
        <v>400</v>
      </c>
      <c r="I127" s="5">
        <v>73090</v>
      </c>
      <c r="L127" s="5">
        <v>73090</v>
      </c>
      <c r="M127" s="5">
        <v>7831.07</v>
      </c>
      <c r="N127" s="5">
        <v>65258.93</v>
      </c>
    </row>
    <row r="128" spans="1:14" hidden="1">
      <c r="A128" t="s">
        <v>401</v>
      </c>
      <c r="B128" t="s">
        <v>368</v>
      </c>
      <c r="C128" t="s">
        <v>29</v>
      </c>
      <c r="D128" s="6">
        <v>0</v>
      </c>
      <c r="E128" t="s">
        <v>368</v>
      </c>
      <c r="F128" t="s">
        <v>30</v>
      </c>
      <c r="G128" t="s">
        <v>31</v>
      </c>
      <c r="H128" t="s">
        <v>402</v>
      </c>
      <c r="I128" s="5">
        <v>49593</v>
      </c>
      <c r="L128" s="5">
        <v>49593</v>
      </c>
      <c r="M128" s="5">
        <v>5313.54</v>
      </c>
      <c r="N128" s="5">
        <v>44279.46</v>
      </c>
    </row>
    <row r="129" spans="1:14" hidden="1">
      <c r="A129" t="s">
        <v>403</v>
      </c>
      <c r="B129" t="s">
        <v>368</v>
      </c>
      <c r="C129" t="s">
        <v>29</v>
      </c>
      <c r="D129" s="6">
        <v>0</v>
      </c>
      <c r="E129" t="s">
        <v>368</v>
      </c>
      <c r="F129" t="s">
        <v>30</v>
      </c>
      <c r="G129" t="s">
        <v>31</v>
      </c>
      <c r="H129" t="s">
        <v>404</v>
      </c>
      <c r="I129" s="5">
        <v>148779</v>
      </c>
      <c r="L129" s="5">
        <v>148779</v>
      </c>
      <c r="M129" s="5">
        <v>15940.61</v>
      </c>
      <c r="N129" s="5">
        <v>132838.39000000001</v>
      </c>
    </row>
    <row r="130" spans="1:14" hidden="1">
      <c r="A130" t="s">
        <v>405</v>
      </c>
      <c r="B130" t="s">
        <v>368</v>
      </c>
      <c r="C130" t="s">
        <v>60</v>
      </c>
      <c r="D130" s="6">
        <v>0</v>
      </c>
      <c r="E130" t="s">
        <v>368</v>
      </c>
      <c r="F130" t="s">
        <v>30</v>
      </c>
      <c r="G130" t="s">
        <v>406</v>
      </c>
      <c r="H130" t="s">
        <v>407</v>
      </c>
      <c r="I130" s="5">
        <v>117600</v>
      </c>
      <c r="J130" s="4">
        <v>-3528</v>
      </c>
      <c r="L130" s="5">
        <v>114072</v>
      </c>
      <c r="M130" s="5">
        <v>12222</v>
      </c>
      <c r="N130" s="5">
        <v>101850</v>
      </c>
    </row>
    <row r="131" spans="1:14" hidden="1">
      <c r="A131" t="s">
        <v>408</v>
      </c>
      <c r="B131" t="s">
        <v>368</v>
      </c>
      <c r="C131" t="s">
        <v>146</v>
      </c>
      <c r="D131" s="6">
        <v>90</v>
      </c>
      <c r="E131" t="s">
        <v>383</v>
      </c>
      <c r="F131" t="s">
        <v>139</v>
      </c>
      <c r="G131" t="s">
        <v>409</v>
      </c>
      <c r="H131" t="s">
        <v>410</v>
      </c>
      <c r="I131" s="5">
        <v>1485206</v>
      </c>
      <c r="L131" s="5">
        <v>1485206</v>
      </c>
      <c r="M131" s="5">
        <v>159129.21</v>
      </c>
      <c r="N131" s="5">
        <v>1326076.79</v>
      </c>
    </row>
    <row r="132" spans="1:14" hidden="1">
      <c r="A132" t="s">
        <v>411</v>
      </c>
      <c r="B132" t="s">
        <v>368</v>
      </c>
      <c r="C132" t="s">
        <v>18</v>
      </c>
      <c r="D132" s="6">
        <v>0</v>
      </c>
      <c r="E132" t="s">
        <v>368</v>
      </c>
      <c r="F132" t="s">
        <v>56</v>
      </c>
      <c r="G132" t="s">
        <v>412</v>
      </c>
      <c r="H132" t="s">
        <v>413</v>
      </c>
      <c r="I132" s="5">
        <v>1211223</v>
      </c>
      <c r="J132" s="4">
        <v>-36336.69</v>
      </c>
      <c r="L132" s="5">
        <v>1174886.31</v>
      </c>
      <c r="M132" s="5">
        <v>125880.68</v>
      </c>
      <c r="N132" s="5">
        <v>1049005.6299999999</v>
      </c>
    </row>
    <row r="133" spans="1:14" hidden="1">
      <c r="A133" t="s">
        <v>414</v>
      </c>
      <c r="B133" t="s">
        <v>368</v>
      </c>
      <c r="C133" t="s">
        <v>146</v>
      </c>
      <c r="D133" s="6">
        <v>90</v>
      </c>
      <c r="E133" t="s">
        <v>383</v>
      </c>
      <c r="F133" t="s">
        <v>19</v>
      </c>
      <c r="G133" t="s">
        <v>415</v>
      </c>
      <c r="H133" t="s">
        <v>416</v>
      </c>
      <c r="I133" s="5">
        <v>161080</v>
      </c>
      <c r="L133" s="5">
        <v>161080</v>
      </c>
      <c r="M133" s="5">
        <v>17258.57</v>
      </c>
      <c r="N133" s="5">
        <v>143821.43</v>
      </c>
    </row>
    <row r="134" spans="1:14" hidden="1">
      <c r="A134" t="s">
        <v>417</v>
      </c>
      <c r="B134" t="s">
        <v>368</v>
      </c>
      <c r="C134" t="s">
        <v>146</v>
      </c>
      <c r="D134" s="6">
        <v>90</v>
      </c>
      <c r="E134" t="s">
        <v>383</v>
      </c>
      <c r="F134" t="s">
        <v>19</v>
      </c>
      <c r="G134" t="s">
        <v>415</v>
      </c>
      <c r="H134" t="s">
        <v>418</v>
      </c>
      <c r="I134" s="5">
        <v>912912</v>
      </c>
      <c r="L134" s="5">
        <v>912912</v>
      </c>
      <c r="M134" s="5">
        <v>97812</v>
      </c>
      <c r="N134" s="5">
        <v>815100</v>
      </c>
    </row>
    <row r="135" spans="1:14" hidden="1">
      <c r="A135" t="s">
        <v>419</v>
      </c>
      <c r="B135" t="s">
        <v>368</v>
      </c>
      <c r="C135" t="s">
        <v>73</v>
      </c>
      <c r="D135" s="6">
        <v>30</v>
      </c>
      <c r="E135" t="s">
        <v>370</v>
      </c>
      <c r="F135" t="s">
        <v>69</v>
      </c>
      <c r="G135" t="s">
        <v>420</v>
      </c>
      <c r="H135" t="s">
        <v>421</v>
      </c>
      <c r="I135" s="5">
        <v>140025</v>
      </c>
      <c r="K135" s="5">
        <v>25000</v>
      </c>
      <c r="L135" s="5">
        <v>165025</v>
      </c>
      <c r="M135" s="5">
        <v>17681.25</v>
      </c>
      <c r="N135" s="5">
        <v>147343.75</v>
      </c>
    </row>
    <row r="136" spans="1:14" hidden="1">
      <c r="A136" t="s">
        <v>422</v>
      </c>
      <c r="B136" t="s">
        <v>368</v>
      </c>
      <c r="C136" t="s">
        <v>162</v>
      </c>
      <c r="D136" s="6">
        <v>90</v>
      </c>
      <c r="E136" t="s">
        <v>383</v>
      </c>
      <c r="F136" t="s">
        <v>423</v>
      </c>
      <c r="G136" t="s">
        <v>424</v>
      </c>
      <c r="H136" t="s">
        <v>425</v>
      </c>
      <c r="I136" s="5">
        <v>32000</v>
      </c>
      <c r="L136" s="5">
        <v>32000</v>
      </c>
      <c r="M136" s="5">
        <v>3428.57</v>
      </c>
      <c r="N136" s="5">
        <v>28571.43</v>
      </c>
    </row>
    <row r="137" spans="1:14" hidden="1">
      <c r="A137" t="s">
        <v>426</v>
      </c>
      <c r="B137" t="s">
        <v>368</v>
      </c>
      <c r="C137" t="s">
        <v>18</v>
      </c>
      <c r="D137" s="6">
        <v>0</v>
      </c>
      <c r="E137" t="s">
        <v>368</v>
      </c>
      <c r="F137" t="s">
        <v>56</v>
      </c>
      <c r="G137" t="s">
        <v>345</v>
      </c>
      <c r="H137" t="s">
        <v>427</v>
      </c>
      <c r="I137" s="5">
        <v>41107</v>
      </c>
      <c r="L137" s="5">
        <v>41107</v>
      </c>
      <c r="M137" s="5">
        <v>4404.32</v>
      </c>
      <c r="N137" s="5">
        <v>36702.68</v>
      </c>
    </row>
    <row r="138" spans="1:14" hidden="1">
      <c r="A138" t="s">
        <v>428</v>
      </c>
      <c r="B138" t="s">
        <v>368</v>
      </c>
      <c r="C138" t="s">
        <v>237</v>
      </c>
      <c r="D138" s="6">
        <v>60</v>
      </c>
      <c r="E138" t="s">
        <v>376</v>
      </c>
      <c r="F138" t="s">
        <v>19</v>
      </c>
      <c r="G138" t="s">
        <v>389</v>
      </c>
      <c r="H138" t="s">
        <v>429</v>
      </c>
      <c r="I138" s="5">
        <v>97496</v>
      </c>
      <c r="L138" s="5">
        <v>97496</v>
      </c>
      <c r="M138" s="5">
        <v>10446</v>
      </c>
      <c r="N138" s="5">
        <v>87050</v>
      </c>
    </row>
    <row r="139" spans="1:14" hidden="1">
      <c r="A139" t="s">
        <v>430</v>
      </c>
      <c r="B139" t="s">
        <v>368</v>
      </c>
      <c r="C139" t="s">
        <v>237</v>
      </c>
      <c r="D139" s="6">
        <v>60</v>
      </c>
      <c r="E139" t="s">
        <v>376</v>
      </c>
      <c r="F139" t="s">
        <v>19</v>
      </c>
      <c r="G139" t="s">
        <v>389</v>
      </c>
      <c r="H139" t="s">
        <v>431</v>
      </c>
      <c r="I139" s="5">
        <v>99904</v>
      </c>
      <c r="L139" s="5">
        <v>99904</v>
      </c>
      <c r="M139" s="5">
        <v>10704</v>
      </c>
      <c r="N139" s="5">
        <v>89200</v>
      </c>
    </row>
    <row r="140" spans="1:14" hidden="1">
      <c r="A140" t="s">
        <v>432</v>
      </c>
      <c r="B140" t="s">
        <v>368</v>
      </c>
      <c r="C140" t="s">
        <v>73</v>
      </c>
      <c r="D140" s="6">
        <v>30</v>
      </c>
      <c r="E140" t="s">
        <v>370</v>
      </c>
      <c r="F140" t="s">
        <v>270</v>
      </c>
      <c r="G140" t="s">
        <v>271</v>
      </c>
      <c r="H140" t="s">
        <v>433</v>
      </c>
      <c r="I140" s="5">
        <v>55288</v>
      </c>
      <c r="L140" s="5">
        <v>55288</v>
      </c>
      <c r="N140" s="5">
        <v>55288</v>
      </c>
    </row>
    <row r="141" spans="1:14" hidden="1">
      <c r="A141" t="s">
        <v>434</v>
      </c>
      <c r="B141" t="s">
        <v>368</v>
      </c>
      <c r="C141" t="s">
        <v>73</v>
      </c>
      <c r="D141" s="6">
        <v>30</v>
      </c>
      <c r="E141" t="s">
        <v>370</v>
      </c>
      <c r="F141" t="s">
        <v>270</v>
      </c>
      <c r="G141" t="s">
        <v>271</v>
      </c>
      <c r="H141" t="s">
        <v>435</v>
      </c>
      <c r="I141" s="5">
        <v>35234</v>
      </c>
      <c r="L141" s="5">
        <v>35234</v>
      </c>
      <c r="N141" s="5">
        <v>35234</v>
      </c>
    </row>
    <row r="142" spans="1:14" hidden="1">
      <c r="A142" t="s">
        <v>436</v>
      </c>
      <c r="B142" t="s">
        <v>368</v>
      </c>
      <c r="C142" t="s">
        <v>73</v>
      </c>
      <c r="D142" s="6">
        <v>30</v>
      </c>
      <c r="E142" t="s">
        <v>370</v>
      </c>
      <c r="F142" t="s">
        <v>270</v>
      </c>
      <c r="G142" t="s">
        <v>271</v>
      </c>
      <c r="H142" t="s">
        <v>437</v>
      </c>
      <c r="I142" s="5">
        <v>55100</v>
      </c>
      <c r="L142" s="5">
        <v>55100</v>
      </c>
      <c r="N142" s="5">
        <v>55100</v>
      </c>
    </row>
    <row r="143" spans="1:14" hidden="1">
      <c r="A143" t="s">
        <v>438</v>
      </c>
      <c r="B143" t="s">
        <v>368</v>
      </c>
      <c r="C143" t="s">
        <v>73</v>
      </c>
      <c r="D143" s="6">
        <v>30</v>
      </c>
      <c r="E143" t="s">
        <v>370</v>
      </c>
      <c r="F143" t="s">
        <v>270</v>
      </c>
      <c r="G143" t="s">
        <v>271</v>
      </c>
      <c r="H143" t="s">
        <v>439</v>
      </c>
      <c r="I143" s="5">
        <v>40975</v>
      </c>
      <c r="L143" s="5">
        <v>40975</v>
      </c>
      <c r="N143" s="5">
        <v>40975</v>
      </c>
    </row>
    <row r="144" spans="1:14" hidden="1">
      <c r="A144" t="s">
        <v>440</v>
      </c>
      <c r="B144" t="s">
        <v>368</v>
      </c>
      <c r="C144" t="s">
        <v>54</v>
      </c>
      <c r="D144" s="6">
        <v>90</v>
      </c>
      <c r="E144" t="s">
        <v>383</v>
      </c>
      <c r="F144" t="s">
        <v>56</v>
      </c>
      <c r="G144" t="s">
        <v>90</v>
      </c>
      <c r="H144" t="s">
        <v>441</v>
      </c>
      <c r="I144" s="5">
        <v>109220</v>
      </c>
      <c r="L144" s="5">
        <v>109220</v>
      </c>
      <c r="M144" s="5">
        <v>11702.14</v>
      </c>
      <c r="N144" s="5">
        <v>97517.86</v>
      </c>
    </row>
    <row r="145" spans="1:14" hidden="1">
      <c r="A145" t="s">
        <v>442</v>
      </c>
      <c r="B145" t="s">
        <v>368</v>
      </c>
      <c r="C145" t="s">
        <v>60</v>
      </c>
      <c r="D145" s="6">
        <v>0</v>
      </c>
      <c r="E145" t="s">
        <v>368</v>
      </c>
      <c r="F145" t="s">
        <v>56</v>
      </c>
      <c r="G145" t="s">
        <v>412</v>
      </c>
      <c r="H145" t="s">
        <v>443</v>
      </c>
      <c r="I145" s="5">
        <v>158400</v>
      </c>
      <c r="J145" s="4">
        <v>-4752</v>
      </c>
      <c r="L145" s="5">
        <v>153648</v>
      </c>
      <c r="M145" s="5">
        <v>16462.29</v>
      </c>
      <c r="N145" s="5">
        <v>137185.71</v>
      </c>
    </row>
    <row r="146" spans="1:14" hidden="1">
      <c r="A146" t="s">
        <v>444</v>
      </c>
      <c r="B146" t="s">
        <v>368</v>
      </c>
      <c r="C146" t="s">
        <v>60</v>
      </c>
      <c r="D146" s="6">
        <v>0</v>
      </c>
      <c r="E146" t="s">
        <v>368</v>
      </c>
      <c r="F146" t="s">
        <v>56</v>
      </c>
      <c r="G146" t="s">
        <v>412</v>
      </c>
      <c r="H146" t="s">
        <v>443</v>
      </c>
      <c r="I146" s="5">
        <v>158400</v>
      </c>
      <c r="J146" s="4">
        <v>-4752</v>
      </c>
      <c r="L146" s="5">
        <v>153648</v>
      </c>
      <c r="M146" s="5">
        <v>16462.29</v>
      </c>
      <c r="N146" s="5">
        <v>137185.71</v>
      </c>
    </row>
    <row r="147" spans="1:14" hidden="1">
      <c r="A147" t="s">
        <v>445</v>
      </c>
      <c r="B147" t="s">
        <v>368</v>
      </c>
      <c r="C147" t="s">
        <v>73</v>
      </c>
      <c r="D147" s="6">
        <v>30</v>
      </c>
      <c r="E147" t="s">
        <v>370</v>
      </c>
      <c r="F147" t="s">
        <v>56</v>
      </c>
      <c r="G147" t="s">
        <v>244</v>
      </c>
      <c r="H147" t="s">
        <v>446</v>
      </c>
      <c r="I147" s="5">
        <v>384480</v>
      </c>
      <c r="L147" s="5">
        <v>384480</v>
      </c>
      <c r="M147" s="5">
        <v>41194.29</v>
      </c>
      <c r="N147" s="5">
        <v>343285.71</v>
      </c>
    </row>
    <row r="148" spans="1:14" s="10" customFormat="1" hidden="1">
      <c r="A148" s="10" t="s">
        <v>447</v>
      </c>
      <c r="B148" s="10" t="s">
        <v>448</v>
      </c>
      <c r="C148" s="10" t="s">
        <v>60</v>
      </c>
      <c r="D148" s="11">
        <v>0</v>
      </c>
      <c r="E148" s="10" t="s">
        <v>448</v>
      </c>
      <c r="F148" s="10" t="s">
        <v>139</v>
      </c>
      <c r="G148" s="10" t="s">
        <v>449</v>
      </c>
      <c r="H148" s="10" t="s">
        <v>450</v>
      </c>
      <c r="I148" s="9">
        <v>6754.32</v>
      </c>
      <c r="L148" s="9">
        <v>6754.32</v>
      </c>
      <c r="M148" s="12">
        <v>723.68</v>
      </c>
      <c r="N148" s="9">
        <v>6030.64</v>
      </c>
    </row>
    <row r="149" spans="1:14" s="10" customFormat="1" hidden="1">
      <c r="A149" s="10" t="s">
        <v>451</v>
      </c>
      <c r="B149" s="10" t="s">
        <v>448</v>
      </c>
      <c r="C149" s="10" t="s">
        <v>60</v>
      </c>
      <c r="D149" s="11">
        <v>0</v>
      </c>
      <c r="E149" s="10" t="s">
        <v>448</v>
      </c>
      <c r="F149" s="10" t="s">
        <v>139</v>
      </c>
      <c r="G149" s="10" t="s">
        <v>449</v>
      </c>
      <c r="H149" s="10" t="s">
        <v>452</v>
      </c>
      <c r="I149" s="9">
        <v>9143.68</v>
      </c>
      <c r="L149" s="9">
        <v>9143.68</v>
      </c>
      <c r="M149" s="12">
        <v>979.68</v>
      </c>
      <c r="N149" s="9">
        <v>8164</v>
      </c>
    </row>
    <row r="150" spans="1:14" hidden="1">
      <c r="A150" t="s">
        <v>453</v>
      </c>
      <c r="B150" t="s">
        <v>448</v>
      </c>
      <c r="C150" t="s">
        <v>60</v>
      </c>
      <c r="D150" s="6">
        <v>0</v>
      </c>
      <c r="E150" t="s">
        <v>448</v>
      </c>
      <c r="F150" t="s">
        <v>46</v>
      </c>
      <c r="G150" t="s">
        <v>454</v>
      </c>
      <c r="H150" t="s">
        <v>455</v>
      </c>
      <c r="I150" s="5">
        <v>24000</v>
      </c>
      <c r="L150" s="5">
        <v>24000</v>
      </c>
      <c r="M150" s="5">
        <v>2571.4299999999998</v>
      </c>
      <c r="N150" s="5">
        <v>21428.57</v>
      </c>
    </row>
    <row r="151" spans="1:14" hidden="1">
      <c r="A151" t="s">
        <v>456</v>
      </c>
      <c r="B151" t="s">
        <v>448</v>
      </c>
      <c r="C151" t="s">
        <v>132</v>
      </c>
      <c r="D151" s="6">
        <v>0</v>
      </c>
      <c r="E151" t="s">
        <v>448</v>
      </c>
      <c r="F151" t="s">
        <v>56</v>
      </c>
      <c r="G151" t="s">
        <v>457</v>
      </c>
      <c r="H151" t="s">
        <v>458</v>
      </c>
      <c r="I151" s="5">
        <v>7218</v>
      </c>
      <c r="L151" s="5">
        <v>7218</v>
      </c>
      <c r="M151" s="7">
        <v>773.36</v>
      </c>
      <c r="N151" s="5">
        <v>6444.64</v>
      </c>
    </row>
    <row r="152" spans="1:14" hidden="1">
      <c r="A152" t="s">
        <v>459</v>
      </c>
      <c r="B152" t="s">
        <v>448</v>
      </c>
      <c r="C152" t="s">
        <v>18</v>
      </c>
      <c r="D152" s="6">
        <v>0</v>
      </c>
      <c r="E152" t="s">
        <v>448</v>
      </c>
      <c r="F152" t="s">
        <v>56</v>
      </c>
      <c r="G152" t="s">
        <v>457</v>
      </c>
      <c r="H152" t="s">
        <v>460</v>
      </c>
      <c r="I152" s="5">
        <v>1897500</v>
      </c>
      <c r="L152" s="5">
        <v>1897500</v>
      </c>
      <c r="M152" s="5">
        <v>203303.57</v>
      </c>
      <c r="N152" s="5">
        <v>1694196.43</v>
      </c>
    </row>
    <row r="153" spans="1:14" hidden="1">
      <c r="A153" t="s">
        <v>461</v>
      </c>
      <c r="B153" t="s">
        <v>448</v>
      </c>
      <c r="C153" t="s">
        <v>60</v>
      </c>
      <c r="D153" s="6">
        <v>0</v>
      </c>
      <c r="E153" t="s">
        <v>448</v>
      </c>
      <c r="F153" t="s">
        <v>19</v>
      </c>
      <c r="G153" t="s">
        <v>462</v>
      </c>
      <c r="H153" t="s">
        <v>463</v>
      </c>
      <c r="I153" s="5">
        <v>9605</v>
      </c>
      <c r="L153" s="5">
        <v>9605</v>
      </c>
      <c r="M153" s="5">
        <v>1029.1099999999999</v>
      </c>
      <c r="N153" s="5">
        <v>8575.89</v>
      </c>
    </row>
    <row r="154" spans="1:14" hidden="1">
      <c r="A154" t="s">
        <v>464</v>
      </c>
      <c r="B154" t="s">
        <v>448</v>
      </c>
      <c r="C154" t="s">
        <v>29</v>
      </c>
      <c r="D154" s="6">
        <v>0</v>
      </c>
      <c r="E154" t="s">
        <v>448</v>
      </c>
      <c r="F154" t="s">
        <v>30</v>
      </c>
      <c r="G154" t="s">
        <v>31</v>
      </c>
      <c r="H154" t="s">
        <v>465</v>
      </c>
      <c r="I154" s="5">
        <v>22500</v>
      </c>
      <c r="L154" s="5">
        <v>22500</v>
      </c>
      <c r="M154" s="5">
        <v>2410.71</v>
      </c>
      <c r="N154" s="5">
        <v>20089.29</v>
      </c>
    </row>
    <row r="155" spans="1:14" hidden="1">
      <c r="A155" t="s">
        <v>466</v>
      </c>
      <c r="B155" t="s">
        <v>448</v>
      </c>
      <c r="C155" t="s">
        <v>29</v>
      </c>
      <c r="D155" s="6">
        <v>0</v>
      </c>
      <c r="E155" t="s">
        <v>448</v>
      </c>
      <c r="F155" t="s">
        <v>30</v>
      </c>
      <c r="G155" t="s">
        <v>31</v>
      </c>
      <c r="H155" t="s">
        <v>467</v>
      </c>
      <c r="I155" s="5">
        <v>17740</v>
      </c>
      <c r="L155" s="5">
        <v>17740</v>
      </c>
      <c r="M155" s="5">
        <v>1900.71</v>
      </c>
      <c r="N155" s="5">
        <v>15839.29</v>
      </c>
    </row>
    <row r="156" spans="1:14" hidden="1">
      <c r="A156" t="s">
        <v>468</v>
      </c>
      <c r="B156" t="s">
        <v>448</v>
      </c>
      <c r="C156" t="s">
        <v>29</v>
      </c>
      <c r="D156" s="6">
        <v>0</v>
      </c>
      <c r="E156" t="s">
        <v>448</v>
      </c>
      <c r="F156" t="s">
        <v>30</v>
      </c>
      <c r="G156" t="s">
        <v>31</v>
      </c>
      <c r="H156" t="s">
        <v>469</v>
      </c>
      <c r="I156" s="5">
        <v>28458</v>
      </c>
      <c r="L156" s="5">
        <v>28458</v>
      </c>
      <c r="M156" s="5">
        <v>3049.07</v>
      </c>
      <c r="N156" s="5">
        <v>25408.93</v>
      </c>
    </row>
    <row r="157" spans="1:14" hidden="1">
      <c r="A157" t="s">
        <v>470</v>
      </c>
      <c r="B157" t="s">
        <v>448</v>
      </c>
      <c r="C157" t="s">
        <v>29</v>
      </c>
      <c r="D157" s="6">
        <v>0</v>
      </c>
      <c r="E157" t="s">
        <v>448</v>
      </c>
      <c r="F157" t="s">
        <v>30</v>
      </c>
      <c r="G157" t="s">
        <v>218</v>
      </c>
      <c r="H157" t="s">
        <v>471</v>
      </c>
      <c r="I157" s="5">
        <v>3038</v>
      </c>
      <c r="J157" s="4">
        <v>-91.14</v>
      </c>
      <c r="L157" s="5">
        <v>2946.86</v>
      </c>
      <c r="M157" s="7">
        <v>315.73</v>
      </c>
      <c r="N157" s="5">
        <v>2631.13</v>
      </c>
    </row>
    <row r="158" spans="1:14" hidden="1">
      <c r="A158" t="s">
        <v>472</v>
      </c>
      <c r="B158" t="s">
        <v>448</v>
      </c>
      <c r="C158" t="s">
        <v>29</v>
      </c>
      <c r="D158" s="6">
        <v>0</v>
      </c>
      <c r="E158" t="s">
        <v>448</v>
      </c>
      <c r="F158" t="s">
        <v>30</v>
      </c>
      <c r="G158" t="s">
        <v>31</v>
      </c>
      <c r="H158" t="s">
        <v>473</v>
      </c>
      <c r="I158" s="5">
        <v>152120</v>
      </c>
      <c r="L158" s="5">
        <v>152120</v>
      </c>
      <c r="M158" s="5">
        <v>16298.57</v>
      </c>
      <c r="N158" s="5">
        <v>135821.43</v>
      </c>
    </row>
    <row r="159" spans="1:14" hidden="1">
      <c r="A159" t="s">
        <v>474</v>
      </c>
      <c r="B159" t="s">
        <v>448</v>
      </c>
      <c r="C159" t="s">
        <v>29</v>
      </c>
      <c r="D159" s="6">
        <v>0</v>
      </c>
      <c r="E159" t="s">
        <v>448</v>
      </c>
      <c r="F159" t="s">
        <v>30</v>
      </c>
      <c r="G159" t="s">
        <v>31</v>
      </c>
      <c r="H159" t="s">
        <v>475</v>
      </c>
      <c r="I159" s="5">
        <v>121248</v>
      </c>
      <c r="L159" s="5">
        <v>121248</v>
      </c>
      <c r="M159" s="5">
        <v>12990.86</v>
      </c>
      <c r="N159" s="5">
        <v>108257.14</v>
      </c>
    </row>
    <row r="160" spans="1:14" s="54" customFormat="1" hidden="1">
      <c r="A160" s="54" t="s">
        <v>476</v>
      </c>
      <c r="B160" s="54" t="s">
        <v>448</v>
      </c>
      <c r="C160" s="54" t="s">
        <v>29</v>
      </c>
      <c r="D160" s="55">
        <v>0</v>
      </c>
      <c r="E160" s="54" t="s">
        <v>448</v>
      </c>
      <c r="F160" s="54" t="s">
        <v>50</v>
      </c>
      <c r="G160" s="54" t="s">
        <v>51</v>
      </c>
      <c r="H160" s="54" t="s">
        <v>477</v>
      </c>
      <c r="I160" s="56">
        <v>11687.4</v>
      </c>
      <c r="L160" s="56">
        <v>11687.4</v>
      </c>
      <c r="M160" s="56">
        <v>1252.22</v>
      </c>
      <c r="N160" s="56">
        <v>10435.18</v>
      </c>
    </row>
    <row r="161" spans="1:14" hidden="1">
      <c r="A161" t="s">
        <v>478</v>
      </c>
      <c r="B161" t="s">
        <v>448</v>
      </c>
      <c r="C161" t="s">
        <v>162</v>
      </c>
      <c r="D161" s="6">
        <v>90</v>
      </c>
      <c r="E161" t="s">
        <v>479</v>
      </c>
      <c r="F161" t="s">
        <v>36</v>
      </c>
      <c r="G161" t="s">
        <v>193</v>
      </c>
      <c r="H161" t="s">
        <v>480</v>
      </c>
      <c r="I161" s="5">
        <v>66010</v>
      </c>
      <c r="L161" s="5">
        <v>66010</v>
      </c>
      <c r="M161" s="5">
        <v>7072.5</v>
      </c>
      <c r="N161" s="5">
        <v>58937.5</v>
      </c>
    </row>
    <row r="162" spans="1:14" hidden="1">
      <c r="A162" t="s">
        <v>481</v>
      </c>
      <c r="B162" t="s">
        <v>448</v>
      </c>
      <c r="C162" t="s">
        <v>73</v>
      </c>
      <c r="D162" s="6">
        <v>30</v>
      </c>
      <c r="E162" t="s">
        <v>482</v>
      </c>
      <c r="F162" t="s">
        <v>19</v>
      </c>
      <c r="G162" t="s">
        <v>267</v>
      </c>
      <c r="H162" t="s">
        <v>483</v>
      </c>
      <c r="I162" s="5">
        <v>41200</v>
      </c>
      <c r="K162" s="5">
        <v>10200</v>
      </c>
      <c r="L162" s="5">
        <v>51400</v>
      </c>
      <c r="M162" s="5">
        <v>5507.14</v>
      </c>
      <c r="N162" s="5">
        <v>45892.86</v>
      </c>
    </row>
    <row r="163" spans="1:14" hidden="1">
      <c r="A163" t="s">
        <v>484</v>
      </c>
      <c r="B163" t="s">
        <v>448</v>
      </c>
      <c r="C163" t="s">
        <v>73</v>
      </c>
      <c r="D163" s="6">
        <v>30</v>
      </c>
      <c r="E163" t="s">
        <v>482</v>
      </c>
      <c r="F163" t="s">
        <v>19</v>
      </c>
      <c r="G163" t="s">
        <v>267</v>
      </c>
      <c r="H163" t="s">
        <v>485</v>
      </c>
      <c r="I163" s="5">
        <v>120600</v>
      </c>
      <c r="K163" s="5">
        <v>13600</v>
      </c>
      <c r="L163" s="5">
        <v>134200</v>
      </c>
      <c r="M163" s="5">
        <v>14378.57</v>
      </c>
      <c r="N163" s="5">
        <v>119821.43</v>
      </c>
    </row>
    <row r="164" spans="1:14" hidden="1">
      <c r="A164" t="s">
        <v>486</v>
      </c>
      <c r="B164" t="s">
        <v>448</v>
      </c>
      <c r="C164" t="s">
        <v>18</v>
      </c>
      <c r="D164" s="6">
        <v>0</v>
      </c>
      <c r="E164" t="s">
        <v>448</v>
      </c>
      <c r="F164" t="s">
        <v>270</v>
      </c>
      <c r="G164" t="s">
        <v>487</v>
      </c>
      <c r="H164" t="s">
        <v>488</v>
      </c>
      <c r="I164" s="5">
        <v>272346.90000000002</v>
      </c>
      <c r="L164" s="5">
        <v>272346.90000000002</v>
      </c>
      <c r="M164" s="5">
        <v>29180.02</v>
      </c>
      <c r="N164" s="5">
        <v>243166.88</v>
      </c>
    </row>
    <row r="165" spans="1:14" hidden="1">
      <c r="A165" t="s">
        <v>489</v>
      </c>
      <c r="B165" t="s">
        <v>448</v>
      </c>
      <c r="C165" t="s">
        <v>104</v>
      </c>
      <c r="D165" s="6">
        <v>0</v>
      </c>
      <c r="E165" t="s">
        <v>448</v>
      </c>
      <c r="F165" t="s">
        <v>30</v>
      </c>
      <c r="G165" t="s">
        <v>490</v>
      </c>
      <c r="H165" t="s">
        <v>491</v>
      </c>
      <c r="I165" s="5">
        <v>625460</v>
      </c>
      <c r="L165" s="5">
        <v>625460</v>
      </c>
      <c r="M165" s="5">
        <v>67013.570000000007</v>
      </c>
      <c r="N165" s="5">
        <v>558446.43000000005</v>
      </c>
    </row>
    <row r="166" spans="1:14" hidden="1">
      <c r="A166" t="s">
        <v>492</v>
      </c>
      <c r="B166" t="s">
        <v>448</v>
      </c>
      <c r="C166" t="s">
        <v>167</v>
      </c>
      <c r="D166" s="6">
        <v>90</v>
      </c>
      <c r="E166" t="s">
        <v>479</v>
      </c>
      <c r="F166" t="s">
        <v>56</v>
      </c>
      <c r="G166" t="s">
        <v>190</v>
      </c>
      <c r="H166" t="s">
        <v>493</v>
      </c>
      <c r="I166" s="5">
        <v>270048</v>
      </c>
      <c r="L166" s="5">
        <v>270048</v>
      </c>
      <c r="M166" s="5">
        <v>28933.71</v>
      </c>
      <c r="N166" s="5">
        <v>241114.29</v>
      </c>
    </row>
    <row r="167" spans="1:14" hidden="1">
      <c r="A167" t="s">
        <v>494</v>
      </c>
      <c r="B167" t="s">
        <v>448</v>
      </c>
      <c r="C167" t="s">
        <v>146</v>
      </c>
      <c r="D167" s="6">
        <v>90</v>
      </c>
      <c r="E167" t="s">
        <v>479</v>
      </c>
      <c r="F167" t="s">
        <v>139</v>
      </c>
      <c r="G167" t="s">
        <v>250</v>
      </c>
      <c r="H167" t="s">
        <v>495</v>
      </c>
      <c r="I167" s="5">
        <v>26528</v>
      </c>
      <c r="L167" s="5">
        <v>26528</v>
      </c>
      <c r="M167" s="5">
        <v>2842.29</v>
      </c>
      <c r="N167" s="5">
        <v>23685.71</v>
      </c>
    </row>
    <row r="168" spans="1:14" hidden="1">
      <c r="A168" t="s">
        <v>496</v>
      </c>
      <c r="B168" t="s">
        <v>448</v>
      </c>
      <c r="C168" t="s">
        <v>146</v>
      </c>
      <c r="D168" s="6">
        <v>90</v>
      </c>
      <c r="E168" t="s">
        <v>479</v>
      </c>
      <c r="F168" t="s">
        <v>139</v>
      </c>
      <c r="G168" t="s">
        <v>250</v>
      </c>
      <c r="H168" t="s">
        <v>497</v>
      </c>
      <c r="I168" s="5">
        <v>978432</v>
      </c>
      <c r="L168" s="5">
        <v>978432</v>
      </c>
      <c r="M168" s="5">
        <v>104832</v>
      </c>
      <c r="N168" s="5">
        <v>873600</v>
      </c>
    </row>
    <row r="169" spans="1:14" hidden="1">
      <c r="A169" t="s">
        <v>498</v>
      </c>
      <c r="B169" t="s">
        <v>448</v>
      </c>
      <c r="C169" t="s">
        <v>60</v>
      </c>
      <c r="D169" s="6">
        <v>0</v>
      </c>
      <c r="E169" t="s">
        <v>448</v>
      </c>
      <c r="F169" t="s">
        <v>56</v>
      </c>
      <c r="G169" t="s">
        <v>196</v>
      </c>
      <c r="H169" t="s">
        <v>499</v>
      </c>
      <c r="I169" s="5">
        <v>17000</v>
      </c>
      <c r="L169" s="5">
        <v>17000</v>
      </c>
      <c r="M169" s="5">
        <v>1821.43</v>
      </c>
      <c r="N169" s="5">
        <v>15178.57</v>
      </c>
    </row>
    <row r="170" spans="1:14" hidden="1">
      <c r="A170" t="s">
        <v>500</v>
      </c>
      <c r="B170" t="s">
        <v>448</v>
      </c>
      <c r="C170" t="s">
        <v>60</v>
      </c>
      <c r="D170" s="6">
        <v>0</v>
      </c>
      <c r="E170" t="s">
        <v>448</v>
      </c>
      <c r="F170" t="s">
        <v>56</v>
      </c>
      <c r="G170" t="s">
        <v>196</v>
      </c>
      <c r="H170" t="s">
        <v>501</v>
      </c>
      <c r="I170" s="5">
        <v>104316</v>
      </c>
      <c r="L170" s="5">
        <v>104316</v>
      </c>
      <c r="M170" s="5">
        <v>11176.71</v>
      </c>
      <c r="N170" s="5">
        <v>93139.29</v>
      </c>
    </row>
    <row r="171" spans="1:14" hidden="1">
      <c r="A171" t="s">
        <v>502</v>
      </c>
      <c r="B171" t="s">
        <v>448</v>
      </c>
      <c r="C171" t="s">
        <v>73</v>
      </c>
      <c r="D171" s="6">
        <v>30</v>
      </c>
      <c r="E171" t="s">
        <v>482</v>
      </c>
      <c r="F171" t="s">
        <v>19</v>
      </c>
      <c r="G171" t="s">
        <v>267</v>
      </c>
      <c r="H171" t="s">
        <v>503</v>
      </c>
      <c r="I171" s="5">
        <v>231400</v>
      </c>
      <c r="K171" s="5">
        <v>13950</v>
      </c>
      <c r="L171" s="5">
        <v>245350</v>
      </c>
      <c r="M171" s="5">
        <v>26287.5</v>
      </c>
      <c r="N171" s="5">
        <v>219062.5</v>
      </c>
    </row>
    <row r="172" spans="1:14" hidden="1">
      <c r="A172" t="s">
        <v>504</v>
      </c>
      <c r="B172" t="s">
        <v>505</v>
      </c>
      <c r="C172" t="s">
        <v>132</v>
      </c>
      <c r="D172" s="6">
        <v>0</v>
      </c>
      <c r="E172" t="s">
        <v>505</v>
      </c>
      <c r="F172" t="s">
        <v>56</v>
      </c>
      <c r="G172" t="s">
        <v>506</v>
      </c>
      <c r="H172" t="s">
        <v>507</v>
      </c>
      <c r="I172" s="5">
        <v>2916</v>
      </c>
      <c r="L172" s="5">
        <v>2916</v>
      </c>
      <c r="M172" s="7">
        <v>312.43</v>
      </c>
      <c r="N172" s="5">
        <v>2603.5700000000002</v>
      </c>
    </row>
    <row r="173" spans="1:14" hidden="1">
      <c r="A173" t="s">
        <v>508</v>
      </c>
      <c r="B173" t="s">
        <v>505</v>
      </c>
      <c r="C173" t="s">
        <v>34</v>
      </c>
      <c r="D173" s="6">
        <v>60</v>
      </c>
      <c r="E173" t="s">
        <v>509</v>
      </c>
      <c r="F173" t="s">
        <v>30</v>
      </c>
      <c r="G173" t="s">
        <v>201</v>
      </c>
      <c r="H173" t="s">
        <v>510</v>
      </c>
      <c r="I173" s="5">
        <v>60000</v>
      </c>
      <c r="L173" s="5">
        <v>60000</v>
      </c>
      <c r="M173" s="5">
        <v>6428.57</v>
      </c>
      <c r="N173" s="5">
        <v>53571.43</v>
      </c>
    </row>
    <row r="174" spans="1:14" hidden="1">
      <c r="A174" t="s">
        <v>511</v>
      </c>
      <c r="B174" t="s">
        <v>505</v>
      </c>
      <c r="C174" t="s">
        <v>98</v>
      </c>
      <c r="D174" s="6">
        <v>0</v>
      </c>
      <c r="E174" t="s">
        <v>505</v>
      </c>
      <c r="F174" t="s">
        <v>69</v>
      </c>
      <c r="G174" t="s">
        <v>99</v>
      </c>
      <c r="H174" t="s">
        <v>512</v>
      </c>
      <c r="I174" s="5">
        <v>47500</v>
      </c>
      <c r="J174" s="4">
        <v>-1425</v>
      </c>
      <c r="L174" s="5">
        <v>46075</v>
      </c>
      <c r="M174" s="5">
        <v>4936.6099999999997</v>
      </c>
      <c r="N174" s="5">
        <v>41138.39</v>
      </c>
    </row>
    <row r="175" spans="1:14" hidden="1">
      <c r="A175" t="s">
        <v>513</v>
      </c>
      <c r="B175" t="s">
        <v>505</v>
      </c>
      <c r="C175" t="s">
        <v>98</v>
      </c>
      <c r="D175" s="6">
        <v>0</v>
      </c>
      <c r="E175" t="s">
        <v>505</v>
      </c>
      <c r="F175" t="s">
        <v>69</v>
      </c>
      <c r="G175" t="s">
        <v>99</v>
      </c>
      <c r="H175" t="s">
        <v>514</v>
      </c>
      <c r="I175" s="5">
        <v>348100</v>
      </c>
      <c r="J175" s="4">
        <v>-10443</v>
      </c>
      <c r="L175" s="5">
        <v>337657</v>
      </c>
      <c r="M175" s="5">
        <v>36177.54</v>
      </c>
      <c r="N175" s="5">
        <v>301479.46000000002</v>
      </c>
    </row>
    <row r="176" spans="1:14" hidden="1">
      <c r="A176" t="s">
        <v>515</v>
      </c>
      <c r="B176" t="s">
        <v>505</v>
      </c>
      <c r="C176" t="s">
        <v>98</v>
      </c>
      <c r="D176" s="6">
        <v>0</v>
      </c>
      <c r="E176" t="s">
        <v>505</v>
      </c>
      <c r="F176" t="s">
        <v>69</v>
      </c>
      <c r="G176" t="s">
        <v>99</v>
      </c>
      <c r="H176" t="s">
        <v>516</v>
      </c>
      <c r="I176" s="5">
        <v>51340</v>
      </c>
      <c r="J176" s="4">
        <v>-1540.2</v>
      </c>
      <c r="L176" s="5">
        <v>49799.8</v>
      </c>
      <c r="M176" s="5">
        <v>5335.69</v>
      </c>
      <c r="N176" s="5">
        <v>44464.11</v>
      </c>
    </row>
    <row r="177" spans="1:14" hidden="1">
      <c r="A177" t="s">
        <v>517</v>
      </c>
      <c r="B177" t="s">
        <v>505</v>
      </c>
      <c r="C177" t="s">
        <v>243</v>
      </c>
      <c r="D177" s="6">
        <v>30</v>
      </c>
      <c r="E177" t="s">
        <v>518</v>
      </c>
      <c r="F177" t="s">
        <v>139</v>
      </c>
      <c r="G177" t="s">
        <v>519</v>
      </c>
      <c r="H177" t="s">
        <v>520</v>
      </c>
      <c r="I177" s="5">
        <v>9802</v>
      </c>
      <c r="L177" s="5">
        <v>9802</v>
      </c>
      <c r="M177" s="5">
        <v>1050.21</v>
      </c>
      <c r="N177" s="5">
        <v>8751.7900000000009</v>
      </c>
    </row>
    <row r="178" spans="1:14" hidden="1">
      <c r="A178" t="s">
        <v>521</v>
      </c>
      <c r="B178" t="s">
        <v>505</v>
      </c>
      <c r="C178" t="s">
        <v>73</v>
      </c>
      <c r="D178" s="6">
        <v>30</v>
      </c>
      <c r="E178" t="s">
        <v>518</v>
      </c>
      <c r="F178" t="s">
        <v>46</v>
      </c>
      <c r="G178" t="s">
        <v>522</v>
      </c>
      <c r="H178" t="s">
        <v>523</v>
      </c>
      <c r="I178" s="5">
        <v>86400</v>
      </c>
      <c r="L178" s="5">
        <v>86400</v>
      </c>
      <c r="N178" s="5">
        <v>86400</v>
      </c>
    </row>
    <row r="179" spans="1:14" hidden="1">
      <c r="A179" t="s">
        <v>524</v>
      </c>
      <c r="B179" t="s">
        <v>505</v>
      </c>
      <c r="C179" t="s">
        <v>60</v>
      </c>
      <c r="D179" s="6">
        <v>0</v>
      </c>
      <c r="E179" t="s">
        <v>505</v>
      </c>
      <c r="F179" t="s">
        <v>56</v>
      </c>
      <c r="G179" t="s">
        <v>168</v>
      </c>
      <c r="H179" t="s">
        <v>525</v>
      </c>
      <c r="I179" s="5">
        <v>58172.84</v>
      </c>
      <c r="L179" s="5">
        <v>58172.84</v>
      </c>
      <c r="M179" s="5">
        <v>6232.8</v>
      </c>
      <c r="N179" s="5">
        <v>51940.04</v>
      </c>
    </row>
    <row r="180" spans="1:14" hidden="1">
      <c r="A180" t="s">
        <v>526</v>
      </c>
      <c r="B180" t="s">
        <v>505</v>
      </c>
      <c r="C180" t="s">
        <v>60</v>
      </c>
      <c r="D180" s="6">
        <v>0</v>
      </c>
      <c r="E180" t="s">
        <v>505</v>
      </c>
      <c r="F180" t="s">
        <v>56</v>
      </c>
      <c r="G180" t="s">
        <v>190</v>
      </c>
      <c r="H180" t="s">
        <v>527</v>
      </c>
      <c r="I180" s="5">
        <v>32000</v>
      </c>
      <c r="L180" s="5">
        <v>32000</v>
      </c>
      <c r="M180" s="5">
        <v>3428.57</v>
      </c>
      <c r="N180" s="5">
        <v>28571.43</v>
      </c>
    </row>
    <row r="181" spans="1:14" hidden="1">
      <c r="A181" t="s">
        <v>528</v>
      </c>
      <c r="B181" t="s">
        <v>505</v>
      </c>
      <c r="C181" t="s">
        <v>23</v>
      </c>
      <c r="D181" s="6">
        <v>30</v>
      </c>
      <c r="E181" t="s">
        <v>518</v>
      </c>
      <c r="F181" t="s">
        <v>329</v>
      </c>
      <c r="G181" t="s">
        <v>529</v>
      </c>
      <c r="H181" t="s">
        <v>530</v>
      </c>
      <c r="I181" s="5">
        <v>239276</v>
      </c>
      <c r="J181" s="4">
        <v>-4785.5200000000004</v>
      </c>
      <c r="L181" s="5">
        <v>234490.48</v>
      </c>
      <c r="M181" s="5">
        <v>25123.98</v>
      </c>
      <c r="N181" s="5">
        <v>209366.5</v>
      </c>
    </row>
    <row r="182" spans="1:14" hidden="1">
      <c r="A182" t="s">
        <v>531</v>
      </c>
      <c r="B182" t="s">
        <v>505</v>
      </c>
      <c r="C182" t="s">
        <v>167</v>
      </c>
      <c r="D182" s="6">
        <v>90</v>
      </c>
      <c r="E182" t="s">
        <v>532</v>
      </c>
      <c r="F182" t="s">
        <v>56</v>
      </c>
      <c r="G182" t="s">
        <v>190</v>
      </c>
      <c r="H182" t="s">
        <v>533</v>
      </c>
      <c r="I182" s="5">
        <v>470460</v>
      </c>
      <c r="L182" s="5">
        <v>470460</v>
      </c>
      <c r="M182" s="5">
        <v>50406.43</v>
      </c>
      <c r="N182" s="5">
        <v>420053.57</v>
      </c>
    </row>
    <row r="183" spans="1:14" hidden="1">
      <c r="A183" t="s">
        <v>534</v>
      </c>
      <c r="B183" t="s">
        <v>505</v>
      </c>
      <c r="C183" t="s">
        <v>60</v>
      </c>
      <c r="D183" s="6">
        <v>0</v>
      </c>
      <c r="E183" t="s">
        <v>505</v>
      </c>
      <c r="F183" t="s">
        <v>56</v>
      </c>
      <c r="G183" t="s">
        <v>190</v>
      </c>
      <c r="H183" t="s">
        <v>535</v>
      </c>
      <c r="I183" s="5">
        <v>98552</v>
      </c>
      <c r="L183" s="5">
        <v>98552</v>
      </c>
      <c r="M183" s="5">
        <v>10559.14</v>
      </c>
      <c r="N183" s="5">
        <v>87992.86</v>
      </c>
    </row>
    <row r="184" spans="1:14" hidden="1">
      <c r="A184" t="s">
        <v>536</v>
      </c>
      <c r="B184" t="s">
        <v>505</v>
      </c>
      <c r="C184" t="s">
        <v>60</v>
      </c>
      <c r="D184" s="6">
        <v>0</v>
      </c>
      <c r="E184" t="s">
        <v>505</v>
      </c>
      <c r="F184" t="s">
        <v>56</v>
      </c>
      <c r="G184" t="s">
        <v>190</v>
      </c>
      <c r="H184" t="s">
        <v>537</v>
      </c>
      <c r="I184" s="5">
        <v>78570</v>
      </c>
      <c r="L184" s="5">
        <v>78570</v>
      </c>
      <c r="M184" s="5">
        <v>8418.2099999999991</v>
      </c>
      <c r="N184" s="5">
        <v>70151.789999999994</v>
      </c>
    </row>
    <row r="185" spans="1:14" hidden="1">
      <c r="A185" t="s">
        <v>538</v>
      </c>
      <c r="B185" t="s">
        <v>505</v>
      </c>
      <c r="C185" t="s">
        <v>60</v>
      </c>
      <c r="D185" s="6">
        <v>0</v>
      </c>
      <c r="E185" t="s">
        <v>505</v>
      </c>
      <c r="F185" t="s">
        <v>56</v>
      </c>
      <c r="G185" t="s">
        <v>190</v>
      </c>
      <c r="H185" t="s">
        <v>539</v>
      </c>
      <c r="I185" s="5">
        <v>9506</v>
      </c>
      <c r="L185" s="5">
        <v>9506</v>
      </c>
      <c r="M185" s="5">
        <v>1018.5</v>
      </c>
      <c r="N185" s="5">
        <v>8487.5</v>
      </c>
    </row>
    <row r="186" spans="1:14" hidden="1">
      <c r="A186" t="s">
        <v>540</v>
      </c>
      <c r="B186" t="s">
        <v>505</v>
      </c>
      <c r="C186" t="s">
        <v>34</v>
      </c>
      <c r="D186" s="6">
        <v>60</v>
      </c>
      <c r="E186" t="s">
        <v>509</v>
      </c>
      <c r="F186" t="s">
        <v>329</v>
      </c>
      <c r="G186" t="s">
        <v>330</v>
      </c>
      <c r="H186" t="s">
        <v>541</v>
      </c>
      <c r="I186" s="5">
        <v>360302</v>
      </c>
      <c r="L186" s="5">
        <v>360302</v>
      </c>
      <c r="M186" s="5">
        <v>38603.79</v>
      </c>
      <c r="N186" s="5">
        <v>321698.21000000002</v>
      </c>
    </row>
    <row r="187" spans="1:14" hidden="1">
      <c r="A187" t="s">
        <v>542</v>
      </c>
      <c r="B187" t="s">
        <v>505</v>
      </c>
      <c r="C187" t="s">
        <v>162</v>
      </c>
      <c r="D187" s="6">
        <v>90</v>
      </c>
      <c r="E187" t="s">
        <v>532</v>
      </c>
      <c r="F187" t="s">
        <v>19</v>
      </c>
      <c r="G187" t="s">
        <v>543</v>
      </c>
      <c r="H187" t="s">
        <v>544</v>
      </c>
      <c r="I187" s="5">
        <v>347124</v>
      </c>
      <c r="L187" s="5">
        <v>347124</v>
      </c>
      <c r="M187" s="5">
        <v>37191.86</v>
      </c>
      <c r="N187" s="5">
        <v>309932.14</v>
      </c>
    </row>
    <row r="188" spans="1:14" hidden="1">
      <c r="A188" t="s">
        <v>545</v>
      </c>
      <c r="B188" t="s">
        <v>505</v>
      </c>
      <c r="C188" t="s">
        <v>60</v>
      </c>
      <c r="D188" s="6">
        <v>0</v>
      </c>
      <c r="E188" t="s">
        <v>505</v>
      </c>
      <c r="F188" t="s">
        <v>56</v>
      </c>
      <c r="G188" t="s">
        <v>546</v>
      </c>
      <c r="H188" t="s">
        <v>547</v>
      </c>
      <c r="I188" s="5">
        <v>83454.48</v>
      </c>
      <c r="L188" s="5">
        <v>83454.48</v>
      </c>
      <c r="M188" s="5">
        <v>8941.5499999999993</v>
      </c>
      <c r="N188" s="5">
        <v>74512.929999999993</v>
      </c>
    </row>
    <row r="189" spans="1:14" hidden="1">
      <c r="A189" t="s">
        <v>548</v>
      </c>
      <c r="B189" t="s">
        <v>505</v>
      </c>
      <c r="C189" t="s">
        <v>18</v>
      </c>
      <c r="D189" s="6">
        <v>0</v>
      </c>
      <c r="E189" t="s">
        <v>505</v>
      </c>
      <c r="F189" t="s">
        <v>56</v>
      </c>
      <c r="G189" t="s">
        <v>412</v>
      </c>
      <c r="H189" t="s">
        <v>549</v>
      </c>
      <c r="I189" s="5">
        <v>308052</v>
      </c>
      <c r="J189" s="4">
        <v>-9241.56</v>
      </c>
      <c r="L189" s="5">
        <v>298810.44</v>
      </c>
      <c r="M189" s="5">
        <v>32015.4</v>
      </c>
      <c r="N189" s="5">
        <v>266795.03999999998</v>
      </c>
    </row>
    <row r="190" spans="1:14" hidden="1">
      <c r="A190" t="s">
        <v>550</v>
      </c>
      <c r="B190" t="s">
        <v>505</v>
      </c>
      <c r="C190" t="s">
        <v>68</v>
      </c>
      <c r="D190" s="6">
        <v>60</v>
      </c>
      <c r="E190" t="s">
        <v>509</v>
      </c>
      <c r="F190" t="s">
        <v>69</v>
      </c>
      <c r="G190" t="s">
        <v>70</v>
      </c>
      <c r="H190" t="s">
        <v>551</v>
      </c>
      <c r="I190" s="5">
        <v>2419200</v>
      </c>
      <c r="L190" s="5">
        <v>2419200</v>
      </c>
      <c r="M190" s="5">
        <v>259200</v>
      </c>
      <c r="N190" s="5">
        <v>2160000</v>
      </c>
    </row>
    <row r="191" spans="1:14" hidden="1">
      <c r="A191" t="s">
        <v>552</v>
      </c>
      <c r="B191" t="s">
        <v>505</v>
      </c>
      <c r="C191" t="s">
        <v>73</v>
      </c>
      <c r="D191" s="6">
        <v>30</v>
      </c>
      <c r="E191" t="s">
        <v>518</v>
      </c>
      <c r="F191" t="s">
        <v>19</v>
      </c>
      <c r="G191" t="s">
        <v>553</v>
      </c>
      <c r="H191" t="s">
        <v>554</v>
      </c>
      <c r="I191" s="5">
        <v>89266</v>
      </c>
      <c r="L191" s="5">
        <v>89266</v>
      </c>
      <c r="M191" s="5">
        <v>9564.2099999999991</v>
      </c>
      <c r="N191" s="5">
        <v>79701.789999999994</v>
      </c>
    </row>
    <row r="192" spans="1:14" hidden="1">
      <c r="A192" t="s">
        <v>555</v>
      </c>
      <c r="B192" t="s">
        <v>505</v>
      </c>
      <c r="C192" t="s">
        <v>73</v>
      </c>
      <c r="D192" s="6">
        <v>30</v>
      </c>
      <c r="E192" t="s">
        <v>518</v>
      </c>
      <c r="F192" t="s">
        <v>19</v>
      </c>
      <c r="G192" t="s">
        <v>553</v>
      </c>
      <c r="H192" t="s">
        <v>556</v>
      </c>
      <c r="I192" s="5">
        <v>120774</v>
      </c>
      <c r="L192" s="5">
        <v>120774</v>
      </c>
      <c r="M192" s="5">
        <v>12940.07</v>
      </c>
      <c r="N192" s="5">
        <v>107833.93</v>
      </c>
    </row>
    <row r="193" spans="1:14" hidden="1">
      <c r="A193" t="s">
        <v>557</v>
      </c>
      <c r="B193" t="s">
        <v>505</v>
      </c>
      <c r="C193" t="s">
        <v>94</v>
      </c>
      <c r="D193" s="6">
        <v>0</v>
      </c>
      <c r="E193" t="s">
        <v>505</v>
      </c>
      <c r="F193" t="s">
        <v>46</v>
      </c>
      <c r="G193" t="s">
        <v>558</v>
      </c>
      <c r="H193" t="s">
        <v>559</v>
      </c>
      <c r="I193" s="5">
        <v>250000</v>
      </c>
      <c r="L193" s="5">
        <v>250000</v>
      </c>
      <c r="M193" s="5">
        <v>26785.71</v>
      </c>
      <c r="N193" s="5">
        <v>223214.29</v>
      </c>
    </row>
    <row r="194" spans="1:14" hidden="1">
      <c r="A194" t="s">
        <v>560</v>
      </c>
      <c r="B194" t="s">
        <v>505</v>
      </c>
      <c r="C194" t="s">
        <v>94</v>
      </c>
      <c r="D194" s="6">
        <v>0</v>
      </c>
      <c r="E194" t="s">
        <v>505</v>
      </c>
      <c r="F194" t="s">
        <v>46</v>
      </c>
      <c r="G194" t="s">
        <v>558</v>
      </c>
      <c r="H194" t="s">
        <v>561</v>
      </c>
      <c r="I194" s="5">
        <v>250000</v>
      </c>
      <c r="L194" s="5">
        <v>250000</v>
      </c>
      <c r="M194" s="5">
        <v>26785.71</v>
      </c>
      <c r="N194" s="5">
        <v>223214.29</v>
      </c>
    </row>
    <row r="195" spans="1:14" hidden="1">
      <c r="A195" t="s">
        <v>562</v>
      </c>
      <c r="B195" t="s">
        <v>505</v>
      </c>
      <c r="C195" t="s">
        <v>29</v>
      </c>
      <c r="D195" s="6">
        <v>0</v>
      </c>
      <c r="E195" t="s">
        <v>505</v>
      </c>
      <c r="F195" t="s">
        <v>139</v>
      </c>
      <c r="G195" t="s">
        <v>140</v>
      </c>
      <c r="H195" t="s">
        <v>563</v>
      </c>
      <c r="I195" s="5">
        <v>12142</v>
      </c>
      <c r="L195" s="5">
        <v>12142</v>
      </c>
      <c r="M195" s="5">
        <v>1300.93</v>
      </c>
      <c r="N195" s="5">
        <v>10841.07</v>
      </c>
    </row>
    <row r="196" spans="1:14" hidden="1">
      <c r="A196" t="s">
        <v>564</v>
      </c>
      <c r="B196" t="s">
        <v>505</v>
      </c>
      <c r="C196" t="s">
        <v>73</v>
      </c>
      <c r="D196" s="6">
        <v>30</v>
      </c>
      <c r="E196" t="s">
        <v>518</v>
      </c>
      <c r="F196" t="s">
        <v>19</v>
      </c>
      <c r="G196" t="s">
        <v>267</v>
      </c>
      <c r="H196" t="s">
        <v>485</v>
      </c>
      <c r="I196" s="5">
        <v>120600</v>
      </c>
      <c r="L196" s="5">
        <v>120600</v>
      </c>
      <c r="M196" s="5">
        <v>12921.43</v>
      </c>
      <c r="N196" s="5">
        <v>107678.57</v>
      </c>
    </row>
    <row r="197" spans="1:14" hidden="1">
      <c r="A197" t="s">
        <v>565</v>
      </c>
      <c r="B197" t="s">
        <v>505</v>
      </c>
      <c r="C197" t="s">
        <v>29</v>
      </c>
      <c r="D197" s="6">
        <v>0</v>
      </c>
      <c r="E197" t="s">
        <v>505</v>
      </c>
      <c r="F197" t="s">
        <v>30</v>
      </c>
      <c r="G197" t="s">
        <v>31</v>
      </c>
      <c r="H197" t="s">
        <v>566</v>
      </c>
      <c r="I197" s="5">
        <v>41600</v>
      </c>
      <c r="L197" s="5">
        <v>41600</v>
      </c>
      <c r="M197" s="5">
        <v>4457.1400000000003</v>
      </c>
      <c r="N197" s="5">
        <v>37142.86</v>
      </c>
    </row>
    <row r="198" spans="1:14" hidden="1">
      <c r="A198" t="s">
        <v>567</v>
      </c>
      <c r="B198" t="s">
        <v>505</v>
      </c>
      <c r="C198" t="s">
        <v>29</v>
      </c>
      <c r="D198" s="6">
        <v>0</v>
      </c>
      <c r="E198" t="s">
        <v>505</v>
      </c>
      <c r="F198" t="s">
        <v>30</v>
      </c>
      <c r="G198" t="s">
        <v>155</v>
      </c>
      <c r="H198" t="s">
        <v>568</v>
      </c>
      <c r="I198" s="5">
        <v>100352</v>
      </c>
      <c r="L198" s="5">
        <v>100352</v>
      </c>
      <c r="M198" s="5">
        <v>10752</v>
      </c>
      <c r="N198" s="5">
        <v>89600</v>
      </c>
    </row>
    <row r="199" spans="1:14" hidden="1">
      <c r="A199" t="s">
        <v>569</v>
      </c>
      <c r="B199" t="s">
        <v>505</v>
      </c>
      <c r="C199" t="s">
        <v>29</v>
      </c>
      <c r="D199" s="6">
        <v>0</v>
      </c>
      <c r="E199" t="s">
        <v>505</v>
      </c>
      <c r="F199" t="s">
        <v>30</v>
      </c>
      <c r="G199" t="s">
        <v>31</v>
      </c>
      <c r="H199" t="s">
        <v>570</v>
      </c>
      <c r="I199" s="5">
        <v>99186</v>
      </c>
      <c r="L199" s="5">
        <v>99186</v>
      </c>
      <c r="M199" s="5">
        <v>10627.07</v>
      </c>
      <c r="N199" s="5">
        <v>88558.93</v>
      </c>
    </row>
    <row r="200" spans="1:14" hidden="1">
      <c r="A200" t="s">
        <v>571</v>
      </c>
      <c r="B200" t="s">
        <v>505</v>
      </c>
      <c r="C200" t="s">
        <v>167</v>
      </c>
      <c r="D200" s="6">
        <v>90</v>
      </c>
      <c r="E200" t="s">
        <v>532</v>
      </c>
      <c r="F200" t="s">
        <v>56</v>
      </c>
      <c r="G200" t="s">
        <v>190</v>
      </c>
      <c r="H200" t="s">
        <v>572</v>
      </c>
      <c r="I200" s="5">
        <v>260736</v>
      </c>
      <c r="L200" s="5">
        <v>260736</v>
      </c>
      <c r="M200" s="5">
        <v>27936</v>
      </c>
      <c r="N200" s="5">
        <v>232800</v>
      </c>
    </row>
    <row r="201" spans="1:14" hidden="1">
      <c r="A201" t="s">
        <v>573</v>
      </c>
      <c r="B201" t="s">
        <v>505</v>
      </c>
      <c r="C201" t="s">
        <v>68</v>
      </c>
      <c r="D201" s="6">
        <v>60</v>
      </c>
      <c r="E201" t="s">
        <v>509</v>
      </c>
      <c r="F201" t="s">
        <v>69</v>
      </c>
      <c r="G201" t="s">
        <v>574</v>
      </c>
      <c r="H201" t="s">
        <v>575</v>
      </c>
      <c r="I201" s="5">
        <v>988600</v>
      </c>
      <c r="L201" s="5">
        <v>988600</v>
      </c>
      <c r="M201" s="5">
        <v>105921.43</v>
      </c>
      <c r="N201" s="5">
        <v>882678.57</v>
      </c>
    </row>
    <row r="202" spans="1:14" hidden="1">
      <c r="A202" t="s">
        <v>576</v>
      </c>
      <c r="B202" t="s">
        <v>505</v>
      </c>
      <c r="C202" t="s">
        <v>68</v>
      </c>
      <c r="D202" s="6">
        <v>60</v>
      </c>
      <c r="E202" t="s">
        <v>509</v>
      </c>
      <c r="F202" t="s">
        <v>577</v>
      </c>
      <c r="G202" t="s">
        <v>578</v>
      </c>
      <c r="H202" t="s">
        <v>579</v>
      </c>
      <c r="I202" s="5">
        <v>1978634</v>
      </c>
      <c r="L202" s="5">
        <v>1978634</v>
      </c>
      <c r="M202" s="5">
        <v>211996.5</v>
      </c>
      <c r="N202" s="5">
        <v>1766637.5</v>
      </c>
    </row>
    <row r="203" spans="1:14" hidden="1">
      <c r="A203" t="s">
        <v>580</v>
      </c>
      <c r="B203" t="s">
        <v>505</v>
      </c>
      <c r="C203" t="s">
        <v>18</v>
      </c>
      <c r="D203" s="6">
        <v>0</v>
      </c>
      <c r="E203" t="s">
        <v>505</v>
      </c>
      <c r="F203" t="s">
        <v>30</v>
      </c>
      <c r="G203" t="s">
        <v>581</v>
      </c>
      <c r="H203" t="s">
        <v>582</v>
      </c>
      <c r="I203" s="5">
        <v>151200</v>
      </c>
      <c r="L203" s="5">
        <v>151200</v>
      </c>
      <c r="M203" s="5">
        <v>16200</v>
      </c>
      <c r="N203" s="5">
        <v>135000</v>
      </c>
    </row>
    <row r="204" spans="1:14" hidden="1">
      <c r="A204" t="s">
        <v>583</v>
      </c>
      <c r="B204" t="s">
        <v>505</v>
      </c>
      <c r="C204" t="s">
        <v>18</v>
      </c>
      <c r="D204" s="6">
        <v>0</v>
      </c>
      <c r="E204" t="s">
        <v>505</v>
      </c>
      <c r="F204" t="s">
        <v>30</v>
      </c>
      <c r="G204" t="s">
        <v>581</v>
      </c>
      <c r="H204" t="s">
        <v>584</v>
      </c>
      <c r="I204" s="5">
        <v>23800</v>
      </c>
      <c r="L204" s="5">
        <v>23800</v>
      </c>
      <c r="M204" s="5">
        <v>2550</v>
      </c>
      <c r="N204" s="5">
        <v>21250</v>
      </c>
    </row>
    <row r="205" spans="1:14" hidden="1">
      <c r="A205" t="s">
        <v>585</v>
      </c>
      <c r="B205" t="s">
        <v>505</v>
      </c>
      <c r="C205" t="s">
        <v>18</v>
      </c>
      <c r="D205" s="6">
        <v>0</v>
      </c>
      <c r="E205" t="s">
        <v>505</v>
      </c>
      <c r="F205" t="s">
        <v>30</v>
      </c>
      <c r="G205" t="s">
        <v>586</v>
      </c>
      <c r="H205" t="s">
        <v>587</v>
      </c>
      <c r="I205" s="5">
        <v>140000</v>
      </c>
      <c r="L205" s="5">
        <v>140000</v>
      </c>
      <c r="M205" s="5">
        <v>15000</v>
      </c>
      <c r="N205" s="5">
        <v>125000</v>
      </c>
    </row>
    <row r="206" spans="1:14" hidden="1">
      <c r="A206" t="s">
        <v>588</v>
      </c>
      <c r="B206" t="s">
        <v>505</v>
      </c>
      <c r="C206" t="s">
        <v>146</v>
      </c>
      <c r="D206" s="6">
        <v>90</v>
      </c>
      <c r="E206" t="s">
        <v>532</v>
      </c>
      <c r="F206" t="s">
        <v>139</v>
      </c>
      <c r="G206" t="s">
        <v>589</v>
      </c>
      <c r="H206" t="s">
        <v>590</v>
      </c>
      <c r="I206" s="5">
        <v>533750</v>
      </c>
      <c r="L206" s="5">
        <v>533750</v>
      </c>
      <c r="M206" s="5">
        <v>57187.5</v>
      </c>
      <c r="N206" s="5">
        <v>476562.5</v>
      </c>
    </row>
    <row r="207" spans="1:14" hidden="1">
      <c r="A207" t="s">
        <v>591</v>
      </c>
      <c r="B207" t="s">
        <v>505</v>
      </c>
      <c r="C207" t="s">
        <v>68</v>
      </c>
      <c r="D207" s="6">
        <v>60</v>
      </c>
      <c r="E207" t="s">
        <v>509</v>
      </c>
      <c r="F207" t="s">
        <v>69</v>
      </c>
      <c r="G207" t="s">
        <v>574</v>
      </c>
      <c r="H207" t="s">
        <v>592</v>
      </c>
      <c r="I207" s="5">
        <v>70510</v>
      </c>
      <c r="L207" s="5">
        <v>70510</v>
      </c>
      <c r="M207" s="5">
        <v>7554.64</v>
      </c>
      <c r="N207" s="5">
        <v>62955.360000000001</v>
      </c>
    </row>
    <row r="208" spans="1:14" hidden="1">
      <c r="A208" t="s">
        <v>593</v>
      </c>
      <c r="B208" t="s">
        <v>505</v>
      </c>
      <c r="C208" t="s">
        <v>68</v>
      </c>
      <c r="D208" s="6">
        <v>60</v>
      </c>
      <c r="E208" t="s">
        <v>509</v>
      </c>
      <c r="F208" t="s">
        <v>69</v>
      </c>
      <c r="G208" t="s">
        <v>574</v>
      </c>
      <c r="H208" t="s">
        <v>594</v>
      </c>
      <c r="I208" s="5">
        <v>2221065</v>
      </c>
      <c r="L208" s="5">
        <v>2221065</v>
      </c>
      <c r="M208" s="5">
        <v>237971.25</v>
      </c>
      <c r="N208" s="5">
        <v>1983093.75</v>
      </c>
    </row>
    <row r="209" spans="1:14" hidden="1">
      <c r="A209" t="s">
        <v>595</v>
      </c>
      <c r="B209" t="s">
        <v>596</v>
      </c>
      <c r="C209" t="s">
        <v>146</v>
      </c>
      <c r="D209" s="6">
        <v>90</v>
      </c>
      <c r="E209" t="s">
        <v>597</v>
      </c>
      <c r="F209" t="s">
        <v>270</v>
      </c>
      <c r="G209" t="s">
        <v>598</v>
      </c>
      <c r="H209" t="s">
        <v>599</v>
      </c>
      <c r="I209" s="5">
        <v>53721</v>
      </c>
      <c r="L209" s="5">
        <v>53721</v>
      </c>
      <c r="M209" s="5">
        <v>5755.82</v>
      </c>
      <c r="N209" s="5">
        <v>47965.18</v>
      </c>
    </row>
    <row r="210" spans="1:14" hidden="1">
      <c r="A210" t="s">
        <v>600</v>
      </c>
      <c r="B210" t="s">
        <v>596</v>
      </c>
      <c r="C210" t="s">
        <v>98</v>
      </c>
      <c r="D210" s="6">
        <v>0</v>
      </c>
      <c r="E210" t="s">
        <v>596</v>
      </c>
      <c r="F210" t="s">
        <v>46</v>
      </c>
      <c r="G210" t="s">
        <v>392</v>
      </c>
      <c r="H210" t="s">
        <v>601</v>
      </c>
      <c r="I210" s="5">
        <v>340975</v>
      </c>
      <c r="L210" s="5">
        <v>340975</v>
      </c>
      <c r="M210" s="5">
        <v>36533.040000000001</v>
      </c>
      <c r="N210" s="5">
        <v>304441.96000000002</v>
      </c>
    </row>
    <row r="211" spans="1:14" hidden="1">
      <c r="A211" t="s">
        <v>602</v>
      </c>
      <c r="B211" t="s">
        <v>596</v>
      </c>
      <c r="C211" t="s">
        <v>167</v>
      </c>
      <c r="D211" s="6">
        <v>90</v>
      </c>
      <c r="E211" t="s">
        <v>597</v>
      </c>
      <c r="F211" t="s">
        <v>56</v>
      </c>
      <c r="G211" t="s">
        <v>190</v>
      </c>
      <c r="H211" t="s">
        <v>603</v>
      </c>
      <c r="I211" s="5">
        <v>313116</v>
      </c>
      <c r="L211" s="5">
        <v>313116</v>
      </c>
      <c r="M211" s="5">
        <v>33548.14</v>
      </c>
      <c r="N211" s="5">
        <v>279567.86</v>
      </c>
    </row>
    <row r="212" spans="1:14" hidden="1">
      <c r="A212" t="s">
        <v>604</v>
      </c>
      <c r="B212" t="s">
        <v>596</v>
      </c>
      <c r="C212" t="s">
        <v>60</v>
      </c>
      <c r="D212" s="6">
        <v>0</v>
      </c>
      <c r="E212" t="s">
        <v>596</v>
      </c>
      <c r="F212" t="s">
        <v>56</v>
      </c>
      <c r="G212" t="s">
        <v>605</v>
      </c>
      <c r="H212" t="s">
        <v>606</v>
      </c>
      <c r="I212" s="5">
        <v>117620</v>
      </c>
      <c r="L212" s="5">
        <v>117620</v>
      </c>
      <c r="M212" s="5">
        <v>12602.14</v>
      </c>
      <c r="N212" s="5">
        <v>105017.86</v>
      </c>
    </row>
    <row r="213" spans="1:14" hidden="1">
      <c r="A213" t="s">
        <v>607</v>
      </c>
      <c r="B213" t="s">
        <v>596</v>
      </c>
      <c r="C213" t="s">
        <v>60</v>
      </c>
      <c r="D213" s="6">
        <v>0</v>
      </c>
      <c r="E213" t="s">
        <v>596</v>
      </c>
      <c r="F213" t="s">
        <v>329</v>
      </c>
      <c r="G213" t="s">
        <v>608</v>
      </c>
      <c r="H213" t="s">
        <v>609</v>
      </c>
      <c r="I213" s="5">
        <v>142360</v>
      </c>
      <c r="J213" s="4">
        <v>-2847.2</v>
      </c>
      <c r="L213" s="5">
        <v>139512.79999999999</v>
      </c>
      <c r="M213" s="5">
        <v>14947.8</v>
      </c>
      <c r="N213" s="5">
        <v>124565</v>
      </c>
    </row>
    <row r="214" spans="1:14" hidden="1">
      <c r="A214" t="s">
        <v>610</v>
      </c>
      <c r="B214" t="s">
        <v>596</v>
      </c>
      <c r="C214" t="s">
        <v>60</v>
      </c>
      <c r="D214" s="6">
        <v>0</v>
      </c>
      <c r="E214" t="s">
        <v>596</v>
      </c>
      <c r="F214" t="s">
        <v>329</v>
      </c>
      <c r="G214" t="s">
        <v>608</v>
      </c>
      <c r="H214" t="s">
        <v>611</v>
      </c>
      <c r="I214" s="5">
        <v>31906</v>
      </c>
      <c r="J214" s="4">
        <v>-638.12</v>
      </c>
      <c r="L214" s="5">
        <v>31267.88</v>
      </c>
      <c r="M214" s="5">
        <v>3350.13</v>
      </c>
      <c r="N214" s="5">
        <v>27917.75</v>
      </c>
    </row>
    <row r="215" spans="1:14" hidden="1">
      <c r="A215" t="s">
        <v>612</v>
      </c>
      <c r="B215" t="s">
        <v>596</v>
      </c>
      <c r="C215" t="s">
        <v>151</v>
      </c>
      <c r="D215" s="6">
        <v>60</v>
      </c>
      <c r="E215" t="s">
        <v>613</v>
      </c>
      <c r="F215" t="s">
        <v>30</v>
      </c>
      <c r="G215" t="s">
        <v>614</v>
      </c>
      <c r="H215" t="s">
        <v>615</v>
      </c>
      <c r="I215" s="5">
        <v>75600</v>
      </c>
      <c r="L215" s="5">
        <v>75600</v>
      </c>
      <c r="M215" s="5">
        <v>8100</v>
      </c>
      <c r="N215" s="5">
        <v>67500</v>
      </c>
    </row>
    <row r="216" spans="1:14" hidden="1">
      <c r="A216" t="s">
        <v>616</v>
      </c>
      <c r="B216" t="s">
        <v>596</v>
      </c>
      <c r="C216" t="s">
        <v>162</v>
      </c>
      <c r="D216" s="6">
        <v>90</v>
      </c>
      <c r="E216" t="s">
        <v>597</v>
      </c>
      <c r="F216" t="s">
        <v>204</v>
      </c>
      <c r="G216" t="s">
        <v>399</v>
      </c>
      <c r="H216" t="s">
        <v>617</v>
      </c>
      <c r="I216" s="5">
        <v>24500</v>
      </c>
      <c r="L216" s="5">
        <v>24500</v>
      </c>
      <c r="M216" s="5">
        <v>2625</v>
      </c>
      <c r="N216" s="5">
        <v>21875</v>
      </c>
    </row>
    <row r="217" spans="1:14" hidden="1">
      <c r="A217" t="s">
        <v>618</v>
      </c>
      <c r="B217" t="s">
        <v>596</v>
      </c>
      <c r="C217" t="s">
        <v>243</v>
      </c>
      <c r="D217" s="6">
        <v>30</v>
      </c>
      <c r="E217" t="s">
        <v>619</v>
      </c>
      <c r="F217" t="s">
        <v>139</v>
      </c>
      <c r="G217" t="s">
        <v>620</v>
      </c>
      <c r="H217" t="s">
        <v>621</v>
      </c>
      <c r="I217" s="5">
        <v>91230</v>
      </c>
      <c r="L217" s="5">
        <v>91230</v>
      </c>
      <c r="M217" s="5">
        <v>9774.64</v>
      </c>
      <c r="N217" s="5">
        <v>81455.360000000001</v>
      </c>
    </row>
    <row r="218" spans="1:14" s="54" customFormat="1" hidden="1">
      <c r="A218" s="54" t="s">
        <v>622</v>
      </c>
      <c r="B218" s="54" t="s">
        <v>596</v>
      </c>
      <c r="C218" s="54" t="s">
        <v>29</v>
      </c>
      <c r="D218" s="55">
        <v>0</v>
      </c>
      <c r="E218" s="54" t="s">
        <v>596</v>
      </c>
      <c r="F218" s="54" t="s">
        <v>50</v>
      </c>
      <c r="G218" s="54" t="s">
        <v>51</v>
      </c>
      <c r="H218" s="54" t="s">
        <v>623</v>
      </c>
      <c r="I218" s="56">
        <v>11657.2</v>
      </c>
      <c r="L218" s="56">
        <v>11657.2</v>
      </c>
      <c r="M218" s="56">
        <v>1248.99</v>
      </c>
      <c r="N218" s="56">
        <v>10408.209999999999</v>
      </c>
    </row>
    <row r="219" spans="1:14" hidden="1">
      <c r="A219" t="s">
        <v>624</v>
      </c>
      <c r="B219" t="s">
        <v>596</v>
      </c>
      <c r="C219" t="s">
        <v>243</v>
      </c>
      <c r="D219" s="6">
        <v>30</v>
      </c>
      <c r="E219" t="s">
        <v>619</v>
      </c>
      <c r="F219" t="s">
        <v>625</v>
      </c>
      <c r="G219" t="s">
        <v>626</v>
      </c>
      <c r="H219" t="s">
        <v>627</v>
      </c>
      <c r="I219" s="5">
        <v>4900</v>
      </c>
      <c r="L219" s="5">
        <v>4900</v>
      </c>
      <c r="M219" s="7">
        <v>525</v>
      </c>
      <c r="N219" s="5">
        <v>4375</v>
      </c>
    </row>
    <row r="220" spans="1:14" hidden="1">
      <c r="A220" t="s">
        <v>628</v>
      </c>
      <c r="B220" t="s">
        <v>596</v>
      </c>
      <c r="C220" t="s">
        <v>167</v>
      </c>
      <c r="D220" s="6">
        <v>90</v>
      </c>
      <c r="E220" t="s">
        <v>597</v>
      </c>
      <c r="F220" t="s">
        <v>56</v>
      </c>
      <c r="G220" t="s">
        <v>168</v>
      </c>
      <c r="H220" t="s">
        <v>629</v>
      </c>
      <c r="I220" s="5">
        <v>52800</v>
      </c>
      <c r="L220" s="5">
        <v>52800</v>
      </c>
      <c r="M220" s="5">
        <v>5657.14</v>
      </c>
      <c r="N220" s="5">
        <v>47142.86</v>
      </c>
    </row>
    <row r="221" spans="1:14" hidden="1">
      <c r="A221" t="s">
        <v>630</v>
      </c>
      <c r="B221" t="s">
        <v>596</v>
      </c>
      <c r="C221" t="s">
        <v>68</v>
      </c>
      <c r="D221" s="6">
        <v>60</v>
      </c>
      <c r="E221" t="s">
        <v>613</v>
      </c>
      <c r="F221" t="s">
        <v>69</v>
      </c>
      <c r="G221" t="s">
        <v>70</v>
      </c>
      <c r="H221" t="s">
        <v>631</v>
      </c>
      <c r="I221" s="5">
        <v>2419200</v>
      </c>
      <c r="L221" s="5">
        <v>2419200</v>
      </c>
      <c r="M221" s="5">
        <v>259200</v>
      </c>
      <c r="N221" s="5">
        <v>2160000</v>
      </c>
    </row>
    <row r="222" spans="1:14" hidden="1">
      <c r="A222" t="s">
        <v>632</v>
      </c>
      <c r="B222" t="s">
        <v>596</v>
      </c>
      <c r="C222" t="s">
        <v>162</v>
      </c>
      <c r="D222" s="6">
        <v>90</v>
      </c>
      <c r="E222" t="s">
        <v>597</v>
      </c>
      <c r="F222" t="s">
        <v>36</v>
      </c>
      <c r="G222" t="s">
        <v>193</v>
      </c>
      <c r="H222" t="s">
        <v>633</v>
      </c>
      <c r="I222" s="5">
        <v>44000</v>
      </c>
      <c r="L222" s="5">
        <v>44000</v>
      </c>
      <c r="M222" s="5">
        <v>4714.29</v>
      </c>
      <c r="N222" s="5">
        <v>39285.71</v>
      </c>
    </row>
    <row r="223" spans="1:14" hidden="1">
      <c r="A223" t="s">
        <v>634</v>
      </c>
      <c r="B223" t="s">
        <v>596</v>
      </c>
      <c r="C223" t="s">
        <v>146</v>
      </c>
      <c r="D223" s="6">
        <v>90</v>
      </c>
      <c r="E223" t="s">
        <v>597</v>
      </c>
      <c r="F223" t="s">
        <v>19</v>
      </c>
      <c r="G223" t="s">
        <v>543</v>
      </c>
      <c r="H223" t="s">
        <v>635</v>
      </c>
      <c r="I223" s="5">
        <v>199515</v>
      </c>
      <c r="L223" s="5">
        <v>199515</v>
      </c>
      <c r="M223" s="5">
        <v>21376.61</v>
      </c>
      <c r="N223" s="5">
        <v>178138.39</v>
      </c>
    </row>
    <row r="224" spans="1:14" hidden="1">
      <c r="A224" t="s">
        <v>636</v>
      </c>
      <c r="B224" t="s">
        <v>637</v>
      </c>
      <c r="C224" t="s">
        <v>73</v>
      </c>
      <c r="D224" s="6">
        <v>30</v>
      </c>
      <c r="E224" t="s">
        <v>638</v>
      </c>
      <c r="F224" t="s">
        <v>56</v>
      </c>
      <c r="G224" t="s">
        <v>126</v>
      </c>
      <c r="H224" t="s">
        <v>639</v>
      </c>
      <c r="I224" s="5">
        <v>19600</v>
      </c>
      <c r="L224" s="5">
        <v>19600</v>
      </c>
      <c r="M224" s="5">
        <v>2100</v>
      </c>
      <c r="N224" s="5">
        <v>17500</v>
      </c>
    </row>
    <row r="225" spans="1:14" hidden="1">
      <c r="A225" t="s">
        <v>640</v>
      </c>
      <c r="B225" t="s">
        <v>637</v>
      </c>
      <c r="C225" t="s">
        <v>117</v>
      </c>
      <c r="D225" s="6">
        <v>120</v>
      </c>
      <c r="E225" t="s">
        <v>641</v>
      </c>
      <c r="F225" t="s">
        <v>56</v>
      </c>
      <c r="G225" t="s">
        <v>642</v>
      </c>
      <c r="H225" t="s">
        <v>643</v>
      </c>
      <c r="I225" s="5">
        <v>490500</v>
      </c>
      <c r="L225" s="5">
        <v>490500</v>
      </c>
      <c r="M225" s="5">
        <v>52553.57</v>
      </c>
      <c r="N225" s="5">
        <v>437946.43</v>
      </c>
    </row>
    <row r="226" spans="1:14" hidden="1">
      <c r="A226" t="s">
        <v>644</v>
      </c>
      <c r="B226" t="s">
        <v>637</v>
      </c>
      <c r="C226" t="s">
        <v>29</v>
      </c>
      <c r="D226" s="6">
        <v>0</v>
      </c>
      <c r="E226" t="s">
        <v>637</v>
      </c>
      <c r="F226" t="s">
        <v>30</v>
      </c>
      <c r="G226" t="s">
        <v>31</v>
      </c>
      <c r="H226" t="s">
        <v>645</v>
      </c>
      <c r="I226" s="5">
        <v>62535</v>
      </c>
      <c r="L226" s="5">
        <v>62535</v>
      </c>
      <c r="M226" s="5">
        <v>6700.18</v>
      </c>
      <c r="N226" s="5">
        <v>55834.82</v>
      </c>
    </row>
    <row r="227" spans="1:14" hidden="1">
      <c r="A227" t="s">
        <v>646</v>
      </c>
      <c r="B227" t="s">
        <v>637</v>
      </c>
      <c r="C227" t="s">
        <v>29</v>
      </c>
      <c r="D227" s="6">
        <v>0</v>
      </c>
      <c r="E227" t="s">
        <v>637</v>
      </c>
      <c r="F227" t="s">
        <v>30</v>
      </c>
      <c r="G227" t="s">
        <v>31</v>
      </c>
      <c r="H227" t="s">
        <v>647</v>
      </c>
      <c r="I227" s="5">
        <v>31800</v>
      </c>
      <c r="L227" s="5">
        <v>31800</v>
      </c>
      <c r="M227" s="5">
        <v>3407.14</v>
      </c>
      <c r="N227" s="5">
        <v>28392.86</v>
      </c>
    </row>
    <row r="228" spans="1:14" hidden="1">
      <c r="A228" t="s">
        <v>648</v>
      </c>
      <c r="B228" t="s">
        <v>637</v>
      </c>
      <c r="C228" t="s">
        <v>29</v>
      </c>
      <c r="D228" s="6">
        <v>0</v>
      </c>
      <c r="E228" t="s">
        <v>637</v>
      </c>
      <c r="F228" t="s">
        <v>30</v>
      </c>
      <c r="G228" t="s">
        <v>31</v>
      </c>
      <c r="H228" t="s">
        <v>649</v>
      </c>
      <c r="I228" s="5">
        <v>6400</v>
      </c>
      <c r="L228" s="5">
        <v>6400</v>
      </c>
      <c r="M228" s="7">
        <v>685.71</v>
      </c>
      <c r="N228" s="5">
        <v>5714.29</v>
      </c>
    </row>
    <row r="229" spans="1:14" hidden="1">
      <c r="A229" t="s">
        <v>650</v>
      </c>
      <c r="B229" t="s">
        <v>637</v>
      </c>
      <c r="C229" t="s">
        <v>29</v>
      </c>
      <c r="D229" s="6">
        <v>0</v>
      </c>
      <c r="E229" t="s">
        <v>637</v>
      </c>
      <c r="F229" t="s">
        <v>30</v>
      </c>
      <c r="G229" t="s">
        <v>31</v>
      </c>
      <c r="H229" t="s">
        <v>651</v>
      </c>
      <c r="I229" s="5">
        <v>142800</v>
      </c>
      <c r="L229" s="5">
        <v>142800</v>
      </c>
      <c r="M229" s="5">
        <v>15300</v>
      </c>
      <c r="N229" s="5">
        <v>127500</v>
      </c>
    </row>
    <row r="230" spans="1:14" hidden="1">
      <c r="A230" t="s">
        <v>652</v>
      </c>
      <c r="B230" t="s">
        <v>637</v>
      </c>
      <c r="C230" t="s">
        <v>73</v>
      </c>
      <c r="D230" s="6">
        <v>30</v>
      </c>
      <c r="E230" t="s">
        <v>638</v>
      </c>
      <c r="F230" t="s">
        <v>56</v>
      </c>
      <c r="G230" t="s">
        <v>244</v>
      </c>
      <c r="H230" t="s">
        <v>653</v>
      </c>
      <c r="I230" s="5">
        <v>190560</v>
      </c>
      <c r="L230" s="5">
        <v>190560</v>
      </c>
      <c r="M230" s="5">
        <v>20417.14</v>
      </c>
      <c r="N230" s="5">
        <v>170142.86</v>
      </c>
    </row>
    <row r="231" spans="1:14" hidden="1">
      <c r="A231" t="s">
        <v>654</v>
      </c>
      <c r="B231" t="s">
        <v>637</v>
      </c>
      <c r="C231" t="s">
        <v>167</v>
      </c>
      <c r="D231" s="6">
        <v>90</v>
      </c>
      <c r="E231" t="s">
        <v>655</v>
      </c>
      <c r="F231" t="s">
        <v>56</v>
      </c>
      <c r="G231" t="s">
        <v>190</v>
      </c>
      <c r="H231" t="s">
        <v>656</v>
      </c>
      <c r="I231" s="5">
        <v>205540</v>
      </c>
      <c r="L231" s="5">
        <v>205540</v>
      </c>
      <c r="M231" s="5">
        <v>22022.14</v>
      </c>
      <c r="N231" s="5">
        <v>183517.86</v>
      </c>
    </row>
    <row r="232" spans="1:14" hidden="1">
      <c r="A232" t="s">
        <v>657</v>
      </c>
      <c r="B232" t="s">
        <v>637</v>
      </c>
      <c r="C232" t="s">
        <v>658</v>
      </c>
      <c r="D232" s="6">
        <v>60</v>
      </c>
      <c r="E232" t="s">
        <v>659</v>
      </c>
      <c r="F232" t="s">
        <v>46</v>
      </c>
      <c r="G232" t="s">
        <v>660</v>
      </c>
      <c r="H232" t="s">
        <v>661</v>
      </c>
      <c r="I232" s="5">
        <v>42000</v>
      </c>
      <c r="L232" s="5">
        <v>42000</v>
      </c>
      <c r="M232" s="5">
        <v>4500</v>
      </c>
      <c r="N232" s="5">
        <v>37500</v>
      </c>
    </row>
    <row r="233" spans="1:14" hidden="1">
      <c r="A233" t="s">
        <v>662</v>
      </c>
      <c r="B233" t="s">
        <v>637</v>
      </c>
      <c r="C233" t="s">
        <v>146</v>
      </c>
      <c r="D233" s="6">
        <v>90</v>
      </c>
      <c r="E233" t="s">
        <v>655</v>
      </c>
      <c r="F233" t="s">
        <v>69</v>
      </c>
      <c r="G233" t="s">
        <v>663</v>
      </c>
      <c r="H233" t="s">
        <v>664</v>
      </c>
      <c r="I233" s="5">
        <v>643242.6</v>
      </c>
      <c r="L233" s="5">
        <v>643242.6</v>
      </c>
      <c r="M233" s="5">
        <v>68918.850000000006</v>
      </c>
      <c r="N233" s="5">
        <v>574323.75</v>
      </c>
    </row>
    <row r="234" spans="1:14" hidden="1">
      <c r="A234" t="s">
        <v>665</v>
      </c>
      <c r="B234" t="s">
        <v>637</v>
      </c>
      <c r="C234" t="s">
        <v>146</v>
      </c>
      <c r="D234" s="6">
        <v>90</v>
      </c>
      <c r="E234" t="s">
        <v>655</v>
      </c>
      <c r="F234" t="s">
        <v>56</v>
      </c>
      <c r="G234" t="s">
        <v>666</v>
      </c>
      <c r="H234" t="s">
        <v>667</v>
      </c>
      <c r="I234" s="5">
        <v>710170</v>
      </c>
      <c r="L234" s="5">
        <v>710170</v>
      </c>
      <c r="M234" s="5">
        <v>76089.64</v>
      </c>
      <c r="N234" s="5">
        <v>634080.36</v>
      </c>
    </row>
    <row r="235" spans="1:14" hidden="1">
      <c r="A235" t="s">
        <v>668</v>
      </c>
      <c r="B235" t="s">
        <v>637</v>
      </c>
      <c r="C235" t="s">
        <v>151</v>
      </c>
      <c r="D235" s="6">
        <v>60</v>
      </c>
      <c r="E235" t="s">
        <v>659</v>
      </c>
      <c r="F235" t="s">
        <v>56</v>
      </c>
      <c r="G235" t="s">
        <v>669</v>
      </c>
      <c r="H235" t="s">
        <v>670</v>
      </c>
      <c r="I235" s="5">
        <v>23500</v>
      </c>
      <c r="L235" s="5">
        <v>23500</v>
      </c>
      <c r="M235" s="5">
        <v>2517.86</v>
      </c>
      <c r="N235" s="5">
        <v>20982.14</v>
      </c>
    </row>
    <row r="236" spans="1:14" hidden="1">
      <c r="A236" t="s">
        <v>671</v>
      </c>
      <c r="B236" t="s">
        <v>637</v>
      </c>
      <c r="C236" t="s">
        <v>162</v>
      </c>
      <c r="D236" s="6">
        <v>90</v>
      </c>
      <c r="E236" t="s">
        <v>655</v>
      </c>
      <c r="F236" t="s">
        <v>19</v>
      </c>
      <c r="G236" t="s">
        <v>672</v>
      </c>
      <c r="H236" t="s">
        <v>673</v>
      </c>
      <c r="I236" s="5">
        <v>11760</v>
      </c>
      <c r="L236" s="5">
        <v>11760</v>
      </c>
      <c r="M236" s="5">
        <v>1260</v>
      </c>
      <c r="N236" s="5">
        <v>10500</v>
      </c>
    </row>
    <row r="237" spans="1:14" hidden="1">
      <c r="A237" t="s">
        <v>674</v>
      </c>
      <c r="B237" t="s">
        <v>637</v>
      </c>
      <c r="C237" t="s">
        <v>162</v>
      </c>
      <c r="D237" s="6">
        <v>90</v>
      </c>
      <c r="E237" t="s">
        <v>655</v>
      </c>
      <c r="F237" t="s">
        <v>19</v>
      </c>
      <c r="G237" t="s">
        <v>672</v>
      </c>
      <c r="H237" t="s">
        <v>673</v>
      </c>
      <c r="I237" s="5">
        <v>11760</v>
      </c>
      <c r="L237" s="5">
        <v>11760</v>
      </c>
      <c r="M237" s="5">
        <v>1260</v>
      </c>
      <c r="N237" s="5">
        <v>10500</v>
      </c>
    </row>
    <row r="238" spans="1:14" hidden="1">
      <c r="A238" t="s">
        <v>675</v>
      </c>
      <c r="B238" t="s">
        <v>637</v>
      </c>
      <c r="C238" t="s">
        <v>162</v>
      </c>
      <c r="D238" s="6">
        <v>90</v>
      </c>
      <c r="E238" t="s">
        <v>655</v>
      </c>
      <c r="F238" t="s">
        <v>423</v>
      </c>
      <c r="G238" t="s">
        <v>424</v>
      </c>
      <c r="H238" t="s">
        <v>676</v>
      </c>
      <c r="I238" s="5">
        <v>88200</v>
      </c>
      <c r="L238" s="5">
        <v>88200</v>
      </c>
      <c r="M238" s="5">
        <v>9450</v>
      </c>
      <c r="N238" s="5">
        <v>78750</v>
      </c>
    </row>
    <row r="239" spans="1:14" hidden="1">
      <c r="A239" t="s">
        <v>677</v>
      </c>
      <c r="B239" t="s">
        <v>637</v>
      </c>
      <c r="C239" t="s">
        <v>151</v>
      </c>
      <c r="D239" s="6">
        <v>60</v>
      </c>
      <c r="E239" t="s">
        <v>659</v>
      </c>
      <c r="F239" t="s">
        <v>19</v>
      </c>
      <c r="G239" t="s">
        <v>678</v>
      </c>
      <c r="H239" t="s">
        <v>679</v>
      </c>
      <c r="I239" s="5">
        <v>162500</v>
      </c>
      <c r="L239" s="5">
        <v>162500</v>
      </c>
      <c r="M239" s="5">
        <v>17410.71</v>
      </c>
      <c r="N239" s="5">
        <v>145089.29</v>
      </c>
    </row>
    <row r="240" spans="1:14" hidden="1">
      <c r="A240" t="s">
        <v>680</v>
      </c>
      <c r="B240" t="s">
        <v>637</v>
      </c>
      <c r="C240" t="s">
        <v>681</v>
      </c>
      <c r="D240" s="6">
        <v>0</v>
      </c>
      <c r="E240" t="s">
        <v>637</v>
      </c>
      <c r="F240" t="s">
        <v>46</v>
      </c>
      <c r="G240" t="s">
        <v>682</v>
      </c>
      <c r="H240" t="s">
        <v>683</v>
      </c>
      <c r="I240" s="5">
        <v>7455</v>
      </c>
      <c r="L240" s="5">
        <v>7455</v>
      </c>
      <c r="M240" s="7">
        <v>798.75</v>
      </c>
      <c r="N240" s="5">
        <v>6656.25</v>
      </c>
    </row>
    <row r="241" spans="1:14" hidden="1">
      <c r="A241" t="s">
        <v>684</v>
      </c>
      <c r="B241" t="s">
        <v>637</v>
      </c>
      <c r="C241" t="s">
        <v>681</v>
      </c>
      <c r="D241" s="6">
        <v>0</v>
      </c>
      <c r="E241" t="s">
        <v>637</v>
      </c>
      <c r="F241" t="s">
        <v>46</v>
      </c>
      <c r="G241" t="s">
        <v>682</v>
      </c>
      <c r="H241" t="s">
        <v>685</v>
      </c>
      <c r="I241" s="5">
        <v>8452</v>
      </c>
      <c r="L241" s="5">
        <v>8452</v>
      </c>
      <c r="M241" s="7">
        <v>905.57</v>
      </c>
      <c r="N241" s="5">
        <v>7546.43</v>
      </c>
    </row>
    <row r="242" spans="1:14" hidden="1">
      <c r="A242" t="s">
        <v>686</v>
      </c>
      <c r="B242" t="s">
        <v>637</v>
      </c>
      <c r="C242" t="s">
        <v>73</v>
      </c>
      <c r="D242" s="6">
        <v>30</v>
      </c>
      <c r="E242" t="s">
        <v>638</v>
      </c>
      <c r="F242" t="s">
        <v>19</v>
      </c>
      <c r="G242" t="s">
        <v>267</v>
      </c>
      <c r="H242" t="s">
        <v>687</v>
      </c>
      <c r="I242" s="5">
        <v>223360</v>
      </c>
      <c r="K242" s="5">
        <v>14000</v>
      </c>
      <c r="L242" s="5">
        <v>237360</v>
      </c>
      <c r="M242" s="5">
        <v>25431.43</v>
      </c>
      <c r="N242" s="5">
        <v>211928.57</v>
      </c>
    </row>
    <row r="243" spans="1:14" hidden="1">
      <c r="A243" t="s">
        <v>688</v>
      </c>
      <c r="B243" t="s">
        <v>689</v>
      </c>
      <c r="C243" t="s">
        <v>60</v>
      </c>
      <c r="D243" s="6">
        <v>0</v>
      </c>
      <c r="E243" t="s">
        <v>689</v>
      </c>
      <c r="F243" t="s">
        <v>56</v>
      </c>
      <c r="G243" t="s">
        <v>293</v>
      </c>
      <c r="H243" t="s">
        <v>690</v>
      </c>
      <c r="I243" s="5">
        <v>34500</v>
      </c>
      <c r="L243" s="5">
        <v>34500</v>
      </c>
      <c r="M243" s="5">
        <v>3696.43</v>
      </c>
      <c r="N243" s="5">
        <v>30803.57</v>
      </c>
    </row>
    <row r="244" spans="1:14" hidden="1">
      <c r="A244" t="s">
        <v>691</v>
      </c>
      <c r="B244" t="s">
        <v>689</v>
      </c>
      <c r="C244" t="s">
        <v>151</v>
      </c>
      <c r="D244" s="6">
        <v>60</v>
      </c>
      <c r="E244" t="s">
        <v>692</v>
      </c>
      <c r="F244" t="s">
        <v>139</v>
      </c>
      <c r="G244" t="s">
        <v>264</v>
      </c>
      <c r="H244" t="s">
        <v>693</v>
      </c>
      <c r="I244" s="5">
        <v>29016</v>
      </c>
      <c r="L244" s="5">
        <v>29016</v>
      </c>
      <c r="M244" s="5">
        <v>3108.86</v>
      </c>
      <c r="N244" s="5">
        <v>25907.14</v>
      </c>
    </row>
    <row r="245" spans="1:14" hidden="1">
      <c r="A245" t="s">
        <v>694</v>
      </c>
      <c r="B245" t="s">
        <v>689</v>
      </c>
      <c r="C245" t="s">
        <v>151</v>
      </c>
      <c r="D245" s="6">
        <v>60</v>
      </c>
      <c r="E245" t="s">
        <v>692</v>
      </c>
      <c r="F245" t="s">
        <v>139</v>
      </c>
      <c r="G245" t="s">
        <v>264</v>
      </c>
      <c r="H245" t="s">
        <v>695</v>
      </c>
      <c r="I245" s="5">
        <v>2768</v>
      </c>
      <c r="L245" s="5">
        <v>2768</v>
      </c>
      <c r="M245" s="7">
        <v>296.57</v>
      </c>
      <c r="N245" s="5">
        <v>2471.4299999999998</v>
      </c>
    </row>
    <row r="246" spans="1:14" hidden="1">
      <c r="A246" t="s">
        <v>696</v>
      </c>
      <c r="B246" t="s">
        <v>689</v>
      </c>
      <c r="C246" t="s">
        <v>34</v>
      </c>
      <c r="D246" s="6">
        <v>60</v>
      </c>
      <c r="E246" t="s">
        <v>692</v>
      </c>
      <c r="F246" t="s">
        <v>69</v>
      </c>
      <c r="G246" t="s">
        <v>697</v>
      </c>
      <c r="H246" t="s">
        <v>698</v>
      </c>
      <c r="I246" s="5">
        <v>167725</v>
      </c>
      <c r="L246" s="5">
        <v>167725</v>
      </c>
      <c r="M246" s="5">
        <v>17970.54</v>
      </c>
      <c r="N246" s="5">
        <v>149754.46</v>
      </c>
    </row>
    <row r="247" spans="1:14" hidden="1">
      <c r="A247" t="s">
        <v>699</v>
      </c>
      <c r="B247" t="s">
        <v>689</v>
      </c>
      <c r="C247" t="s">
        <v>60</v>
      </c>
      <c r="D247" s="6">
        <v>0</v>
      </c>
      <c r="E247" t="s">
        <v>689</v>
      </c>
      <c r="F247" t="s">
        <v>56</v>
      </c>
      <c r="G247" t="s">
        <v>196</v>
      </c>
      <c r="H247" t="s">
        <v>700</v>
      </c>
      <c r="I247" s="5">
        <v>321457</v>
      </c>
      <c r="L247" s="5">
        <v>321457</v>
      </c>
      <c r="M247" s="5">
        <v>34441.82</v>
      </c>
      <c r="N247" s="5">
        <v>287015.18</v>
      </c>
    </row>
    <row r="248" spans="1:14" hidden="1">
      <c r="A248" t="s">
        <v>701</v>
      </c>
      <c r="B248" t="s">
        <v>689</v>
      </c>
      <c r="C248" t="s">
        <v>60</v>
      </c>
      <c r="D248" s="6">
        <v>0</v>
      </c>
      <c r="E248" t="s">
        <v>689</v>
      </c>
      <c r="F248" t="s">
        <v>56</v>
      </c>
      <c r="G248" t="s">
        <v>196</v>
      </c>
      <c r="H248" t="s">
        <v>702</v>
      </c>
      <c r="I248" s="5">
        <v>168063</v>
      </c>
      <c r="L248" s="5">
        <v>168063</v>
      </c>
      <c r="M248" s="5">
        <v>18006.75</v>
      </c>
      <c r="N248" s="5">
        <v>150056.25</v>
      </c>
    </row>
    <row r="249" spans="1:14" hidden="1">
      <c r="A249" t="s">
        <v>703</v>
      </c>
      <c r="B249" t="s">
        <v>689</v>
      </c>
      <c r="C249" t="s">
        <v>73</v>
      </c>
      <c r="D249" s="6">
        <v>30</v>
      </c>
      <c r="E249" t="s">
        <v>704</v>
      </c>
      <c r="F249" t="s">
        <v>270</v>
      </c>
      <c r="G249" t="s">
        <v>705</v>
      </c>
      <c r="H249" t="s">
        <v>706</v>
      </c>
      <c r="I249" s="5">
        <v>88200</v>
      </c>
      <c r="L249" s="5">
        <v>88200</v>
      </c>
      <c r="M249" s="5">
        <v>9450</v>
      </c>
      <c r="N249" s="5">
        <v>78750</v>
      </c>
    </row>
    <row r="250" spans="1:14" hidden="1">
      <c r="A250" t="s">
        <v>707</v>
      </c>
      <c r="B250" t="s">
        <v>689</v>
      </c>
      <c r="C250" t="s">
        <v>104</v>
      </c>
      <c r="D250" s="6">
        <v>0</v>
      </c>
      <c r="E250" t="s">
        <v>689</v>
      </c>
      <c r="F250" t="s">
        <v>69</v>
      </c>
      <c r="G250" t="s">
        <v>277</v>
      </c>
      <c r="H250" t="s">
        <v>708</v>
      </c>
      <c r="I250" s="5">
        <v>191660</v>
      </c>
      <c r="L250" s="5">
        <v>191660</v>
      </c>
      <c r="M250" s="5">
        <v>20535</v>
      </c>
      <c r="N250" s="5">
        <v>171125</v>
      </c>
    </row>
    <row r="251" spans="1:14" hidden="1">
      <c r="A251" t="s">
        <v>709</v>
      </c>
      <c r="B251" t="s">
        <v>689</v>
      </c>
      <c r="C251" t="s">
        <v>34</v>
      </c>
      <c r="D251" s="6">
        <v>60</v>
      </c>
      <c r="E251" t="s">
        <v>692</v>
      </c>
      <c r="F251" t="s">
        <v>30</v>
      </c>
      <c r="G251" t="s">
        <v>201</v>
      </c>
      <c r="H251" t="s">
        <v>710</v>
      </c>
      <c r="I251" s="5">
        <v>9540</v>
      </c>
      <c r="L251" s="5">
        <v>9540</v>
      </c>
      <c r="M251" s="5">
        <v>1022.14</v>
      </c>
      <c r="N251" s="5">
        <v>8517.86</v>
      </c>
    </row>
    <row r="252" spans="1:14" hidden="1">
      <c r="A252" t="s">
        <v>711</v>
      </c>
      <c r="B252" t="s">
        <v>689</v>
      </c>
      <c r="C252" t="s">
        <v>104</v>
      </c>
      <c r="D252" s="6">
        <v>0</v>
      </c>
      <c r="E252" t="s">
        <v>689</v>
      </c>
      <c r="F252" t="s">
        <v>30</v>
      </c>
      <c r="G252" t="s">
        <v>712</v>
      </c>
      <c r="H252" t="s">
        <v>713</v>
      </c>
      <c r="I252" s="5">
        <v>397768</v>
      </c>
      <c r="L252" s="5">
        <v>397768</v>
      </c>
      <c r="M252" s="5">
        <v>42618</v>
      </c>
      <c r="N252" s="5">
        <v>355150</v>
      </c>
    </row>
    <row r="253" spans="1:14" hidden="1">
      <c r="A253" t="s">
        <v>714</v>
      </c>
      <c r="B253" t="s">
        <v>689</v>
      </c>
      <c r="C253" t="s">
        <v>104</v>
      </c>
      <c r="D253" s="6">
        <v>0</v>
      </c>
      <c r="E253" t="s">
        <v>689</v>
      </c>
      <c r="F253" t="s">
        <v>30</v>
      </c>
      <c r="G253" t="s">
        <v>712</v>
      </c>
      <c r="H253" t="s">
        <v>715</v>
      </c>
      <c r="I253" s="5">
        <v>38400</v>
      </c>
      <c r="L253" s="5">
        <v>38400</v>
      </c>
      <c r="M253" s="5">
        <v>4114.29</v>
      </c>
      <c r="N253" s="5">
        <v>34285.71</v>
      </c>
    </row>
    <row r="254" spans="1:14" hidden="1">
      <c r="A254" t="s">
        <v>716</v>
      </c>
      <c r="B254" t="s">
        <v>689</v>
      </c>
      <c r="C254" t="s">
        <v>104</v>
      </c>
      <c r="D254" s="6">
        <v>0</v>
      </c>
      <c r="E254" t="s">
        <v>689</v>
      </c>
      <c r="F254" t="s">
        <v>30</v>
      </c>
      <c r="G254" t="s">
        <v>712</v>
      </c>
      <c r="H254" t="s">
        <v>717</v>
      </c>
      <c r="I254" s="5">
        <v>47488</v>
      </c>
      <c r="L254" s="5">
        <v>47488</v>
      </c>
      <c r="M254" s="5">
        <v>5088</v>
      </c>
      <c r="N254" s="5">
        <v>42400</v>
      </c>
    </row>
    <row r="255" spans="1:14" hidden="1">
      <c r="A255" t="s">
        <v>718</v>
      </c>
      <c r="B255" t="s">
        <v>689</v>
      </c>
      <c r="C255" t="s">
        <v>60</v>
      </c>
      <c r="D255" s="6">
        <v>0</v>
      </c>
      <c r="E255" t="s">
        <v>689</v>
      </c>
      <c r="F255" t="s">
        <v>56</v>
      </c>
      <c r="G255" t="s">
        <v>196</v>
      </c>
      <c r="H255" t="s">
        <v>719</v>
      </c>
      <c r="I255" s="5">
        <v>86505</v>
      </c>
      <c r="L255" s="5">
        <v>86505</v>
      </c>
      <c r="M255" s="5">
        <v>9268.39</v>
      </c>
      <c r="N255" s="5">
        <v>77236.61</v>
      </c>
    </row>
    <row r="256" spans="1:14" hidden="1">
      <c r="A256" t="s">
        <v>720</v>
      </c>
      <c r="B256" t="s">
        <v>689</v>
      </c>
      <c r="C256" t="s">
        <v>23</v>
      </c>
      <c r="D256" s="6">
        <v>30</v>
      </c>
      <c r="E256" t="s">
        <v>704</v>
      </c>
      <c r="F256" t="s">
        <v>180</v>
      </c>
      <c r="G256" t="s">
        <v>224</v>
      </c>
      <c r="H256" t="s">
        <v>721</v>
      </c>
      <c r="I256" s="5">
        <v>22900</v>
      </c>
      <c r="L256" s="5">
        <v>22900</v>
      </c>
      <c r="M256" s="5">
        <v>2453.5700000000002</v>
      </c>
      <c r="N256" s="5">
        <v>20446.43</v>
      </c>
    </row>
    <row r="257" spans="1:14" hidden="1">
      <c r="A257" t="s">
        <v>722</v>
      </c>
      <c r="B257" t="s">
        <v>689</v>
      </c>
      <c r="C257" t="s">
        <v>23</v>
      </c>
      <c r="D257" s="6">
        <v>30</v>
      </c>
      <c r="E257" t="s">
        <v>704</v>
      </c>
      <c r="F257" t="s">
        <v>180</v>
      </c>
      <c r="G257" t="s">
        <v>224</v>
      </c>
      <c r="H257" t="s">
        <v>723</v>
      </c>
      <c r="I257" s="5">
        <v>57200</v>
      </c>
      <c r="L257" s="5">
        <v>57200</v>
      </c>
      <c r="M257" s="5">
        <v>6128.57</v>
      </c>
      <c r="N257" s="5">
        <v>51071.43</v>
      </c>
    </row>
    <row r="258" spans="1:14" hidden="1">
      <c r="A258" t="s">
        <v>724</v>
      </c>
      <c r="B258" t="s">
        <v>689</v>
      </c>
      <c r="C258" t="s">
        <v>23</v>
      </c>
      <c r="D258" s="6">
        <v>30</v>
      </c>
      <c r="E258" t="s">
        <v>704</v>
      </c>
      <c r="F258" t="s">
        <v>180</v>
      </c>
      <c r="G258" t="s">
        <v>224</v>
      </c>
      <c r="H258" t="s">
        <v>725</v>
      </c>
      <c r="I258" s="5">
        <v>22900</v>
      </c>
      <c r="L258" s="5">
        <v>22900</v>
      </c>
      <c r="M258" s="5">
        <v>2453.5700000000002</v>
      </c>
      <c r="N258" s="5">
        <v>20446.43</v>
      </c>
    </row>
    <row r="259" spans="1:14" hidden="1">
      <c r="A259" t="s">
        <v>726</v>
      </c>
      <c r="B259" t="s">
        <v>689</v>
      </c>
      <c r="C259" t="s">
        <v>151</v>
      </c>
      <c r="D259" s="6">
        <v>60</v>
      </c>
      <c r="E259" t="s">
        <v>692</v>
      </c>
      <c r="F259" t="s">
        <v>727</v>
      </c>
      <c r="G259" t="s">
        <v>728</v>
      </c>
      <c r="H259" t="s">
        <v>729</v>
      </c>
      <c r="I259" s="5">
        <v>113168</v>
      </c>
      <c r="L259" s="5">
        <v>113168</v>
      </c>
      <c r="M259" s="5">
        <v>12125.14</v>
      </c>
      <c r="N259" s="5">
        <v>101042.86</v>
      </c>
    </row>
    <row r="260" spans="1:14" hidden="1">
      <c r="A260" t="s">
        <v>730</v>
      </c>
      <c r="B260" t="s">
        <v>689</v>
      </c>
      <c r="C260" t="s">
        <v>151</v>
      </c>
      <c r="D260" s="6">
        <v>60</v>
      </c>
      <c r="E260" t="s">
        <v>692</v>
      </c>
      <c r="F260" t="s">
        <v>727</v>
      </c>
      <c r="G260" t="s">
        <v>728</v>
      </c>
      <c r="H260" t="s">
        <v>731</v>
      </c>
      <c r="I260" s="5">
        <v>686000</v>
      </c>
      <c r="L260" s="5">
        <v>686000</v>
      </c>
      <c r="M260" s="5">
        <v>73500</v>
      </c>
      <c r="N260" s="5">
        <v>612500</v>
      </c>
    </row>
    <row r="261" spans="1:14" hidden="1">
      <c r="A261" t="s">
        <v>732</v>
      </c>
      <c r="B261" t="s">
        <v>689</v>
      </c>
      <c r="C261" t="s">
        <v>151</v>
      </c>
      <c r="D261" s="6">
        <v>60</v>
      </c>
      <c r="E261" t="s">
        <v>692</v>
      </c>
      <c r="F261" t="s">
        <v>727</v>
      </c>
      <c r="G261" t="s">
        <v>728</v>
      </c>
      <c r="H261" t="s">
        <v>733</v>
      </c>
      <c r="I261" s="5">
        <v>313000</v>
      </c>
      <c r="L261" s="5">
        <v>313000</v>
      </c>
      <c r="M261" s="5">
        <v>33535.71</v>
      </c>
      <c r="N261" s="5">
        <v>279464.28999999998</v>
      </c>
    </row>
    <row r="262" spans="1:14" hidden="1">
      <c r="A262" t="s">
        <v>734</v>
      </c>
      <c r="B262" t="s">
        <v>689</v>
      </c>
      <c r="C262" t="s">
        <v>151</v>
      </c>
      <c r="D262" s="6">
        <v>60</v>
      </c>
      <c r="E262" t="s">
        <v>692</v>
      </c>
      <c r="F262" t="s">
        <v>727</v>
      </c>
      <c r="G262" t="s">
        <v>728</v>
      </c>
      <c r="H262" t="s">
        <v>735</v>
      </c>
      <c r="I262" s="5">
        <v>111830</v>
      </c>
      <c r="L262" s="5">
        <v>111830</v>
      </c>
      <c r="M262" s="5">
        <v>11981.79</v>
      </c>
      <c r="N262" s="5">
        <v>99848.21</v>
      </c>
    </row>
    <row r="263" spans="1:14" hidden="1">
      <c r="A263" t="s">
        <v>736</v>
      </c>
      <c r="B263" t="s">
        <v>689</v>
      </c>
      <c r="C263" t="s">
        <v>151</v>
      </c>
      <c r="D263" s="6">
        <v>60</v>
      </c>
      <c r="E263" t="s">
        <v>692</v>
      </c>
      <c r="F263" t="s">
        <v>727</v>
      </c>
      <c r="G263" t="s">
        <v>728</v>
      </c>
      <c r="H263" t="s">
        <v>737</v>
      </c>
      <c r="I263" s="5">
        <v>313000</v>
      </c>
      <c r="L263" s="5">
        <v>313000</v>
      </c>
      <c r="M263" s="5">
        <v>33535.71</v>
      </c>
      <c r="N263" s="5">
        <v>279464.28999999998</v>
      </c>
    </row>
    <row r="264" spans="1:14" hidden="1">
      <c r="A264" t="s">
        <v>738</v>
      </c>
      <c r="B264" t="s">
        <v>689</v>
      </c>
      <c r="C264" t="s">
        <v>60</v>
      </c>
      <c r="D264" s="6">
        <v>0</v>
      </c>
      <c r="E264" t="s">
        <v>689</v>
      </c>
      <c r="F264" t="s">
        <v>56</v>
      </c>
      <c r="G264" t="s">
        <v>546</v>
      </c>
      <c r="H264" t="s">
        <v>739</v>
      </c>
      <c r="I264" s="5">
        <v>46363.6</v>
      </c>
      <c r="L264" s="5">
        <v>46363.6</v>
      </c>
      <c r="M264" s="5">
        <v>4967.53</v>
      </c>
      <c r="N264" s="5">
        <v>41396.07</v>
      </c>
    </row>
    <row r="265" spans="1:14" hidden="1">
      <c r="A265" t="s">
        <v>740</v>
      </c>
      <c r="B265" t="s">
        <v>689</v>
      </c>
      <c r="C265" t="s">
        <v>104</v>
      </c>
      <c r="D265" s="6">
        <v>0</v>
      </c>
      <c r="E265" t="s">
        <v>689</v>
      </c>
      <c r="F265" t="s">
        <v>30</v>
      </c>
      <c r="G265" t="s">
        <v>490</v>
      </c>
      <c r="H265" t="s">
        <v>741</v>
      </c>
      <c r="I265" s="5">
        <v>770100</v>
      </c>
      <c r="L265" s="5">
        <v>770100</v>
      </c>
      <c r="M265" s="5">
        <v>82510.710000000006</v>
      </c>
      <c r="N265" s="5">
        <v>687589.29</v>
      </c>
    </row>
    <row r="266" spans="1:14" hidden="1">
      <c r="A266" t="s">
        <v>742</v>
      </c>
      <c r="B266" t="s">
        <v>689</v>
      </c>
      <c r="C266" t="s">
        <v>29</v>
      </c>
      <c r="D266" s="6">
        <v>0</v>
      </c>
      <c r="E266" t="s">
        <v>689</v>
      </c>
      <c r="F266" t="s">
        <v>30</v>
      </c>
      <c r="G266" t="s">
        <v>218</v>
      </c>
      <c r="H266" t="s">
        <v>743</v>
      </c>
      <c r="I266" s="5">
        <v>22936</v>
      </c>
      <c r="J266" s="4">
        <v>-688.08</v>
      </c>
      <c r="L266" s="5">
        <v>22247.919999999998</v>
      </c>
      <c r="M266" s="5">
        <v>2383.71</v>
      </c>
      <c r="N266" s="5">
        <v>19864.21</v>
      </c>
    </row>
    <row r="267" spans="1:14" hidden="1">
      <c r="A267" t="s">
        <v>744</v>
      </c>
      <c r="B267" t="s">
        <v>689</v>
      </c>
      <c r="C267" t="s">
        <v>29</v>
      </c>
      <c r="D267" s="6">
        <v>0</v>
      </c>
      <c r="E267" t="s">
        <v>689</v>
      </c>
      <c r="F267" t="s">
        <v>30</v>
      </c>
      <c r="G267" t="s">
        <v>218</v>
      </c>
      <c r="H267" t="s">
        <v>745</v>
      </c>
      <c r="I267" s="5">
        <v>61692</v>
      </c>
      <c r="J267" s="4">
        <v>-1850.76</v>
      </c>
      <c r="L267" s="5">
        <v>59841.24</v>
      </c>
      <c r="M267" s="5">
        <v>6411.56</v>
      </c>
      <c r="N267" s="5">
        <v>53429.68</v>
      </c>
    </row>
    <row r="268" spans="1:14" hidden="1">
      <c r="A268" t="s">
        <v>746</v>
      </c>
      <c r="B268" t="s">
        <v>689</v>
      </c>
      <c r="C268" t="s">
        <v>151</v>
      </c>
      <c r="D268" s="6">
        <v>60</v>
      </c>
      <c r="E268" t="s">
        <v>692</v>
      </c>
      <c r="F268" t="s">
        <v>727</v>
      </c>
      <c r="G268" t="s">
        <v>728</v>
      </c>
      <c r="H268" t="s">
        <v>747</v>
      </c>
      <c r="I268" s="5">
        <v>408480</v>
      </c>
      <c r="L268" s="5">
        <v>408480</v>
      </c>
      <c r="M268" s="5">
        <v>43765.71</v>
      </c>
      <c r="N268" s="5">
        <v>364714.29</v>
      </c>
    </row>
    <row r="269" spans="1:14" hidden="1">
      <c r="A269" t="s">
        <v>748</v>
      </c>
      <c r="B269" t="s">
        <v>689</v>
      </c>
      <c r="C269" t="s">
        <v>151</v>
      </c>
      <c r="D269" s="6">
        <v>60</v>
      </c>
      <c r="E269" t="s">
        <v>692</v>
      </c>
      <c r="F269" t="s">
        <v>727</v>
      </c>
      <c r="G269" t="s">
        <v>728</v>
      </c>
      <c r="H269" t="s">
        <v>749</v>
      </c>
      <c r="I269" s="5">
        <v>250400</v>
      </c>
      <c r="L269" s="5">
        <v>250400</v>
      </c>
      <c r="M269" s="5">
        <v>26828.57</v>
      </c>
      <c r="N269" s="5">
        <v>223571.43</v>
      </c>
    </row>
    <row r="270" spans="1:14" hidden="1">
      <c r="A270" t="s">
        <v>750</v>
      </c>
      <c r="B270" t="s">
        <v>689</v>
      </c>
      <c r="C270" t="s">
        <v>162</v>
      </c>
      <c r="D270" s="6">
        <v>90</v>
      </c>
      <c r="E270" t="s">
        <v>751</v>
      </c>
      <c r="F270" t="s">
        <v>36</v>
      </c>
      <c r="G270" t="s">
        <v>193</v>
      </c>
      <c r="H270" t="s">
        <v>752</v>
      </c>
      <c r="I270" s="5">
        <v>8216</v>
      </c>
      <c r="L270" s="5">
        <v>8216</v>
      </c>
      <c r="M270" s="7">
        <v>880.29</v>
      </c>
      <c r="N270" s="5">
        <v>7335.71</v>
      </c>
    </row>
    <row r="271" spans="1:14" hidden="1">
      <c r="A271" t="s">
        <v>753</v>
      </c>
      <c r="B271" t="s">
        <v>689</v>
      </c>
      <c r="C271" t="s">
        <v>162</v>
      </c>
      <c r="D271" s="6">
        <v>90</v>
      </c>
      <c r="E271" t="s">
        <v>751</v>
      </c>
      <c r="F271" t="s">
        <v>36</v>
      </c>
      <c r="G271" t="s">
        <v>754</v>
      </c>
      <c r="H271" t="s">
        <v>755</v>
      </c>
      <c r="I271" s="5">
        <v>18780</v>
      </c>
      <c r="L271" s="5">
        <v>18780</v>
      </c>
      <c r="M271" s="5">
        <v>2012.14</v>
      </c>
      <c r="N271" s="5">
        <v>16767.86</v>
      </c>
    </row>
    <row r="272" spans="1:14" hidden="1">
      <c r="A272" t="s">
        <v>756</v>
      </c>
      <c r="B272" t="s">
        <v>689</v>
      </c>
      <c r="C272" t="s">
        <v>68</v>
      </c>
      <c r="D272" s="6">
        <v>60</v>
      </c>
      <c r="E272" t="s">
        <v>692</v>
      </c>
      <c r="F272" t="s">
        <v>69</v>
      </c>
      <c r="G272" t="s">
        <v>70</v>
      </c>
      <c r="H272" t="s">
        <v>757</v>
      </c>
      <c r="I272" s="5">
        <v>2419200</v>
      </c>
      <c r="L272" s="5">
        <v>2419200</v>
      </c>
      <c r="M272" s="5">
        <v>259200</v>
      </c>
      <c r="N272" s="5">
        <v>2160000</v>
      </c>
    </row>
    <row r="273" spans="1:14" hidden="1">
      <c r="A273" t="s">
        <v>758</v>
      </c>
      <c r="B273" t="s">
        <v>689</v>
      </c>
      <c r="C273" t="s">
        <v>237</v>
      </c>
      <c r="D273" s="6">
        <v>60</v>
      </c>
      <c r="E273" t="s">
        <v>692</v>
      </c>
      <c r="F273" t="s">
        <v>759</v>
      </c>
      <c r="G273" t="s">
        <v>760</v>
      </c>
      <c r="H273" t="s">
        <v>761</v>
      </c>
      <c r="I273" s="5">
        <v>89550</v>
      </c>
      <c r="L273" s="5">
        <v>89550</v>
      </c>
      <c r="M273" s="5">
        <v>9594.64</v>
      </c>
      <c r="N273" s="5">
        <v>79955.360000000001</v>
      </c>
    </row>
    <row r="274" spans="1:14" hidden="1">
      <c r="A274" t="s">
        <v>762</v>
      </c>
      <c r="B274" t="s">
        <v>689</v>
      </c>
      <c r="C274" t="s">
        <v>146</v>
      </c>
      <c r="D274" s="6">
        <v>90</v>
      </c>
      <c r="E274" t="s">
        <v>751</v>
      </c>
      <c r="F274" t="s">
        <v>759</v>
      </c>
      <c r="G274" t="s">
        <v>763</v>
      </c>
      <c r="H274" t="s">
        <v>764</v>
      </c>
      <c r="I274" s="5">
        <v>49500</v>
      </c>
      <c r="L274" s="5">
        <v>49500</v>
      </c>
      <c r="M274" s="5">
        <v>5303.57</v>
      </c>
      <c r="N274" s="5">
        <v>44196.43</v>
      </c>
    </row>
    <row r="275" spans="1:14" hidden="1">
      <c r="A275" t="s">
        <v>765</v>
      </c>
      <c r="B275" t="s">
        <v>689</v>
      </c>
      <c r="C275" t="s">
        <v>146</v>
      </c>
      <c r="D275" s="6">
        <v>90</v>
      </c>
      <c r="E275" t="s">
        <v>751</v>
      </c>
      <c r="F275" t="s">
        <v>759</v>
      </c>
      <c r="G275" t="s">
        <v>766</v>
      </c>
      <c r="H275" t="s">
        <v>767</v>
      </c>
      <c r="I275" s="5">
        <v>89550</v>
      </c>
      <c r="L275" s="5">
        <v>89550</v>
      </c>
      <c r="M275" s="5">
        <v>9594.64</v>
      </c>
      <c r="N275" s="5">
        <v>79955.360000000001</v>
      </c>
    </row>
    <row r="276" spans="1:14" hidden="1">
      <c r="A276" t="s">
        <v>768</v>
      </c>
      <c r="B276" t="s">
        <v>769</v>
      </c>
      <c r="C276" t="s">
        <v>237</v>
      </c>
      <c r="D276" s="6">
        <v>60</v>
      </c>
      <c r="E276" t="s">
        <v>770</v>
      </c>
      <c r="F276" t="s">
        <v>69</v>
      </c>
      <c r="G276" t="s">
        <v>303</v>
      </c>
      <c r="H276" t="s">
        <v>771</v>
      </c>
      <c r="I276" s="5">
        <v>113650</v>
      </c>
      <c r="L276" s="5">
        <v>113650</v>
      </c>
      <c r="M276" s="5">
        <v>12176.79</v>
      </c>
      <c r="N276" s="5">
        <v>101473.21</v>
      </c>
    </row>
    <row r="277" spans="1:14" hidden="1">
      <c r="A277" t="s">
        <v>772</v>
      </c>
      <c r="B277" t="s">
        <v>769</v>
      </c>
      <c r="C277" t="s">
        <v>237</v>
      </c>
      <c r="D277" s="6">
        <v>60</v>
      </c>
      <c r="E277" t="s">
        <v>770</v>
      </c>
      <c r="F277" t="s">
        <v>69</v>
      </c>
      <c r="G277" t="s">
        <v>303</v>
      </c>
      <c r="H277" t="s">
        <v>773</v>
      </c>
      <c r="I277" s="5">
        <v>113650</v>
      </c>
      <c r="L277" s="5">
        <v>113650</v>
      </c>
      <c r="M277" s="5">
        <v>12176.79</v>
      </c>
      <c r="N277" s="5">
        <v>101473.21</v>
      </c>
    </row>
    <row r="278" spans="1:14" hidden="1">
      <c r="A278" t="s">
        <v>774</v>
      </c>
      <c r="B278" t="s">
        <v>769</v>
      </c>
      <c r="C278" t="s">
        <v>237</v>
      </c>
      <c r="D278" s="6">
        <v>60</v>
      </c>
      <c r="E278" t="s">
        <v>770</v>
      </c>
      <c r="F278" t="s">
        <v>69</v>
      </c>
      <c r="G278" t="s">
        <v>303</v>
      </c>
      <c r="H278" t="s">
        <v>775</v>
      </c>
      <c r="I278" s="5">
        <v>154053</v>
      </c>
      <c r="L278" s="5">
        <v>154053</v>
      </c>
      <c r="M278" s="5">
        <v>16505.68</v>
      </c>
      <c r="N278" s="5">
        <v>137547.32</v>
      </c>
    </row>
    <row r="279" spans="1:14" hidden="1">
      <c r="A279" t="s">
        <v>776</v>
      </c>
      <c r="B279" t="s">
        <v>769</v>
      </c>
      <c r="C279" t="s">
        <v>60</v>
      </c>
      <c r="D279" s="6">
        <v>0</v>
      </c>
      <c r="E279" t="s">
        <v>769</v>
      </c>
      <c r="F279" t="s">
        <v>30</v>
      </c>
      <c r="G279" t="s">
        <v>184</v>
      </c>
      <c r="H279" t="s">
        <v>777</v>
      </c>
      <c r="I279" s="5">
        <v>205000</v>
      </c>
      <c r="L279" s="5">
        <v>205000</v>
      </c>
      <c r="M279" s="5">
        <v>21964.29</v>
      </c>
      <c r="N279" s="5">
        <v>183035.71</v>
      </c>
    </row>
    <row r="280" spans="1:14" hidden="1">
      <c r="A280" t="s">
        <v>778</v>
      </c>
      <c r="B280" t="s">
        <v>769</v>
      </c>
      <c r="C280" t="s">
        <v>779</v>
      </c>
      <c r="D280" s="6">
        <v>0</v>
      </c>
      <c r="E280" t="s">
        <v>769</v>
      </c>
      <c r="F280" t="s">
        <v>69</v>
      </c>
      <c r="G280" t="s">
        <v>780</v>
      </c>
      <c r="H280" t="s">
        <v>781</v>
      </c>
      <c r="I280" s="5">
        <v>443290</v>
      </c>
      <c r="L280" s="5">
        <v>443290</v>
      </c>
      <c r="M280" s="5">
        <v>47495.360000000001</v>
      </c>
      <c r="N280" s="5">
        <v>395794.64</v>
      </c>
    </row>
    <row r="281" spans="1:14" hidden="1">
      <c r="A281" t="s">
        <v>782</v>
      </c>
      <c r="B281" t="s">
        <v>769</v>
      </c>
      <c r="C281" t="s">
        <v>779</v>
      </c>
      <c r="D281" s="6">
        <v>0</v>
      </c>
      <c r="E281" t="s">
        <v>769</v>
      </c>
      <c r="F281" t="s">
        <v>69</v>
      </c>
      <c r="G281" t="s">
        <v>780</v>
      </c>
      <c r="H281" t="s">
        <v>783</v>
      </c>
      <c r="I281" s="5">
        <v>353465</v>
      </c>
      <c r="L281" s="5">
        <v>353465</v>
      </c>
      <c r="M281" s="5">
        <v>37871.25</v>
      </c>
      <c r="N281" s="5">
        <v>315593.75</v>
      </c>
    </row>
    <row r="282" spans="1:14" hidden="1">
      <c r="A282" t="s">
        <v>784</v>
      </c>
      <c r="B282" t="s">
        <v>769</v>
      </c>
      <c r="C282" t="s">
        <v>779</v>
      </c>
      <c r="D282" s="6">
        <v>0</v>
      </c>
      <c r="E282" t="s">
        <v>769</v>
      </c>
      <c r="F282" t="s">
        <v>69</v>
      </c>
      <c r="G282" t="s">
        <v>780</v>
      </c>
      <c r="H282" t="s">
        <v>785</v>
      </c>
      <c r="I282" s="5">
        <v>94498</v>
      </c>
      <c r="L282" s="5">
        <v>94498</v>
      </c>
      <c r="M282" s="5">
        <v>10124.790000000001</v>
      </c>
      <c r="N282" s="5">
        <v>84373.21</v>
      </c>
    </row>
    <row r="283" spans="1:14" hidden="1">
      <c r="A283" t="s">
        <v>786</v>
      </c>
      <c r="B283" t="s">
        <v>769</v>
      </c>
      <c r="C283" t="s">
        <v>658</v>
      </c>
      <c r="D283" s="6">
        <v>60</v>
      </c>
      <c r="E283" t="s">
        <v>770</v>
      </c>
      <c r="F283" t="s">
        <v>46</v>
      </c>
      <c r="G283" t="s">
        <v>787</v>
      </c>
      <c r="H283" t="s">
        <v>788</v>
      </c>
      <c r="I283" s="5">
        <v>94080</v>
      </c>
      <c r="L283" s="5">
        <v>94080</v>
      </c>
      <c r="M283" s="5">
        <v>10080</v>
      </c>
      <c r="N283" s="5">
        <v>84000</v>
      </c>
    </row>
    <row r="284" spans="1:14" hidden="1">
      <c r="A284" t="s">
        <v>789</v>
      </c>
      <c r="B284" t="s">
        <v>769</v>
      </c>
      <c r="C284" t="s">
        <v>60</v>
      </c>
      <c r="D284" s="6">
        <v>0</v>
      </c>
      <c r="E284" t="s">
        <v>769</v>
      </c>
      <c r="F284" t="s">
        <v>56</v>
      </c>
      <c r="G284" t="s">
        <v>790</v>
      </c>
      <c r="H284" t="s">
        <v>791</v>
      </c>
      <c r="I284" s="5">
        <v>53782.400000000001</v>
      </c>
      <c r="L284" s="5">
        <v>53782.400000000001</v>
      </c>
      <c r="M284" s="5">
        <v>5762.4</v>
      </c>
      <c r="N284" s="5">
        <v>48020</v>
      </c>
    </row>
    <row r="285" spans="1:14" hidden="1">
      <c r="A285" t="s">
        <v>792</v>
      </c>
      <c r="B285" t="s">
        <v>769</v>
      </c>
      <c r="C285" t="s">
        <v>34</v>
      </c>
      <c r="D285" s="6">
        <v>60</v>
      </c>
      <c r="E285" t="s">
        <v>770</v>
      </c>
      <c r="F285" t="s">
        <v>625</v>
      </c>
      <c r="G285" t="s">
        <v>793</v>
      </c>
      <c r="H285" t="s">
        <v>794</v>
      </c>
      <c r="I285" s="5">
        <v>48003</v>
      </c>
      <c r="L285" s="5">
        <v>48003</v>
      </c>
      <c r="M285" s="5">
        <v>5143.18</v>
      </c>
      <c r="N285" s="5">
        <v>42859.82</v>
      </c>
    </row>
    <row r="286" spans="1:14" hidden="1">
      <c r="A286" t="s">
        <v>795</v>
      </c>
      <c r="B286" t="s">
        <v>769</v>
      </c>
      <c r="C286" t="s">
        <v>60</v>
      </c>
      <c r="D286" s="6">
        <v>0</v>
      </c>
      <c r="E286" t="s">
        <v>769</v>
      </c>
      <c r="F286" t="s">
        <v>46</v>
      </c>
      <c r="G286" t="s">
        <v>796</v>
      </c>
      <c r="H286" t="s">
        <v>797</v>
      </c>
      <c r="I286" s="5">
        <v>4580</v>
      </c>
      <c r="L286" s="5">
        <v>4580</v>
      </c>
      <c r="M286" s="7">
        <v>490.71</v>
      </c>
      <c r="N286" s="5">
        <v>4089.29</v>
      </c>
    </row>
    <row r="287" spans="1:14" hidden="1">
      <c r="A287" t="s">
        <v>798</v>
      </c>
      <c r="B287" t="s">
        <v>769</v>
      </c>
      <c r="C287" t="s">
        <v>29</v>
      </c>
      <c r="D287" s="6">
        <v>0</v>
      </c>
      <c r="E287" t="s">
        <v>769</v>
      </c>
      <c r="F287" t="s">
        <v>30</v>
      </c>
      <c r="G287" t="s">
        <v>155</v>
      </c>
      <c r="H287" t="s">
        <v>799</v>
      </c>
      <c r="I287" s="5">
        <v>103537</v>
      </c>
      <c r="L287" s="5">
        <v>103537</v>
      </c>
      <c r="M287" s="5">
        <v>11093.25</v>
      </c>
      <c r="N287" s="5">
        <v>92443.75</v>
      </c>
    </row>
    <row r="288" spans="1:14" hidden="1">
      <c r="A288" t="s">
        <v>800</v>
      </c>
      <c r="B288" t="s">
        <v>769</v>
      </c>
      <c r="C288" t="s">
        <v>29</v>
      </c>
      <c r="D288" s="6">
        <v>0</v>
      </c>
      <c r="E288" t="s">
        <v>769</v>
      </c>
      <c r="F288" t="s">
        <v>30</v>
      </c>
      <c r="G288" t="s">
        <v>155</v>
      </c>
      <c r="H288" t="s">
        <v>801</v>
      </c>
      <c r="I288" s="5">
        <v>58800</v>
      </c>
      <c r="L288" s="5">
        <v>58800</v>
      </c>
      <c r="M288" s="5">
        <v>6300</v>
      </c>
      <c r="N288" s="5">
        <v>52500</v>
      </c>
    </row>
    <row r="289" spans="1:14" hidden="1">
      <c r="A289" t="s">
        <v>802</v>
      </c>
      <c r="B289" t="s">
        <v>769</v>
      </c>
      <c r="C289" t="s">
        <v>29</v>
      </c>
      <c r="D289" s="6">
        <v>0</v>
      </c>
      <c r="E289" t="s">
        <v>769</v>
      </c>
      <c r="F289" t="s">
        <v>30</v>
      </c>
      <c r="G289" t="s">
        <v>155</v>
      </c>
      <c r="H289" t="s">
        <v>803</v>
      </c>
      <c r="I289" s="5">
        <v>8400</v>
      </c>
      <c r="L289" s="5">
        <v>8400</v>
      </c>
      <c r="M289" s="7">
        <v>900</v>
      </c>
      <c r="N289" s="5">
        <v>7500</v>
      </c>
    </row>
    <row r="290" spans="1:14" hidden="1">
      <c r="A290" t="s">
        <v>804</v>
      </c>
      <c r="B290" t="s">
        <v>769</v>
      </c>
      <c r="C290" t="s">
        <v>73</v>
      </c>
      <c r="D290" s="6">
        <v>30</v>
      </c>
      <c r="E290" t="s">
        <v>805</v>
      </c>
      <c r="F290" t="s">
        <v>139</v>
      </c>
      <c r="G290" t="s">
        <v>806</v>
      </c>
      <c r="H290" t="s">
        <v>807</v>
      </c>
      <c r="I290" s="5">
        <v>146000</v>
      </c>
      <c r="L290" s="5">
        <v>146000</v>
      </c>
      <c r="M290" s="5">
        <v>15642.86</v>
      </c>
      <c r="N290" s="5">
        <v>130357.14</v>
      </c>
    </row>
    <row r="291" spans="1:14" hidden="1">
      <c r="A291" t="s">
        <v>808</v>
      </c>
      <c r="B291" t="s">
        <v>769</v>
      </c>
      <c r="C291" t="s">
        <v>18</v>
      </c>
      <c r="D291" s="6">
        <v>0</v>
      </c>
      <c r="E291" t="s">
        <v>769</v>
      </c>
      <c r="F291" t="s">
        <v>329</v>
      </c>
      <c r="G291" t="s">
        <v>809</v>
      </c>
      <c r="H291" t="s">
        <v>810</v>
      </c>
      <c r="I291" s="5">
        <v>65238</v>
      </c>
      <c r="J291" s="4">
        <v>-1304.76</v>
      </c>
      <c r="L291" s="5">
        <v>63933.24</v>
      </c>
      <c r="M291" s="5">
        <v>6849.99</v>
      </c>
      <c r="N291" s="5">
        <v>57083.25</v>
      </c>
    </row>
    <row r="292" spans="1:14" hidden="1">
      <c r="A292" t="s">
        <v>811</v>
      </c>
      <c r="B292" t="s">
        <v>769</v>
      </c>
      <c r="C292" t="s">
        <v>73</v>
      </c>
      <c r="D292" s="6">
        <v>30</v>
      </c>
      <c r="E292" t="s">
        <v>805</v>
      </c>
      <c r="F292" t="s">
        <v>56</v>
      </c>
      <c r="G292" t="s">
        <v>812</v>
      </c>
      <c r="H292" t="s">
        <v>813</v>
      </c>
      <c r="I292" s="5">
        <v>966395</v>
      </c>
      <c r="L292" s="5">
        <v>966395</v>
      </c>
      <c r="M292" s="5">
        <v>103542.32</v>
      </c>
      <c r="N292" s="5">
        <v>862852.68</v>
      </c>
    </row>
    <row r="293" spans="1:14" hidden="1">
      <c r="A293" t="s">
        <v>814</v>
      </c>
      <c r="B293" t="s">
        <v>769</v>
      </c>
      <c r="C293" t="s">
        <v>162</v>
      </c>
      <c r="D293" s="6">
        <v>90</v>
      </c>
      <c r="E293" t="s">
        <v>815</v>
      </c>
      <c r="F293" t="s">
        <v>46</v>
      </c>
      <c r="G293" t="s">
        <v>816</v>
      </c>
      <c r="H293" t="s">
        <v>817</v>
      </c>
      <c r="I293" s="5">
        <v>38020</v>
      </c>
      <c r="L293" s="5">
        <v>38020</v>
      </c>
      <c r="M293" s="5">
        <v>4073.57</v>
      </c>
      <c r="N293" s="5">
        <v>33946.43</v>
      </c>
    </row>
    <row r="294" spans="1:14" hidden="1">
      <c r="A294" t="s">
        <v>818</v>
      </c>
      <c r="B294" t="s">
        <v>769</v>
      </c>
      <c r="C294" t="s">
        <v>104</v>
      </c>
      <c r="D294" s="6">
        <v>0</v>
      </c>
      <c r="E294" t="s">
        <v>769</v>
      </c>
      <c r="F294" t="s">
        <v>69</v>
      </c>
      <c r="G294" t="s">
        <v>277</v>
      </c>
      <c r="H294" t="s">
        <v>819</v>
      </c>
      <c r="I294" s="5">
        <v>2179150</v>
      </c>
      <c r="L294" s="5">
        <v>2179150</v>
      </c>
      <c r="M294" s="5">
        <v>233480.36</v>
      </c>
      <c r="N294" s="5">
        <v>1945669.64</v>
      </c>
    </row>
    <row r="295" spans="1:14" hidden="1">
      <c r="A295" t="s">
        <v>820</v>
      </c>
      <c r="B295" t="s">
        <v>769</v>
      </c>
      <c r="C295" t="s">
        <v>237</v>
      </c>
      <c r="D295" s="6">
        <v>60</v>
      </c>
      <c r="E295" t="s">
        <v>770</v>
      </c>
      <c r="F295" t="s">
        <v>139</v>
      </c>
      <c r="G295" t="s">
        <v>821</v>
      </c>
      <c r="H295" t="s">
        <v>822</v>
      </c>
      <c r="I295" s="5">
        <v>94096</v>
      </c>
      <c r="L295" s="5">
        <v>94096</v>
      </c>
      <c r="M295" s="5">
        <v>10081.709999999999</v>
      </c>
      <c r="N295" s="5">
        <v>84014.29</v>
      </c>
    </row>
    <row r="296" spans="1:14" hidden="1">
      <c r="A296" t="s">
        <v>823</v>
      </c>
      <c r="B296" t="s">
        <v>769</v>
      </c>
      <c r="C296" t="s">
        <v>60</v>
      </c>
      <c r="D296" s="6">
        <v>0</v>
      </c>
      <c r="E296" t="s">
        <v>769</v>
      </c>
      <c r="F296" t="s">
        <v>50</v>
      </c>
      <c r="G296" t="s">
        <v>824</v>
      </c>
      <c r="H296" t="s">
        <v>825</v>
      </c>
      <c r="I296" s="5">
        <v>300075</v>
      </c>
      <c r="L296" s="5">
        <v>300075</v>
      </c>
      <c r="M296" s="5">
        <v>32150.89</v>
      </c>
      <c r="N296" s="5">
        <v>267924.11</v>
      </c>
    </row>
    <row r="297" spans="1:14" hidden="1">
      <c r="A297" t="s">
        <v>826</v>
      </c>
      <c r="B297" t="s">
        <v>769</v>
      </c>
      <c r="C297" t="s">
        <v>237</v>
      </c>
      <c r="D297" s="6">
        <v>60</v>
      </c>
      <c r="E297" t="s">
        <v>770</v>
      </c>
      <c r="F297" t="s">
        <v>139</v>
      </c>
      <c r="G297" t="s">
        <v>821</v>
      </c>
      <c r="H297" t="s">
        <v>827</v>
      </c>
      <c r="I297" s="5">
        <v>91154</v>
      </c>
      <c r="L297" s="5">
        <v>91154</v>
      </c>
      <c r="M297" s="5">
        <v>9766.5</v>
      </c>
      <c r="N297" s="5">
        <v>81387.5</v>
      </c>
    </row>
    <row r="298" spans="1:14" hidden="1">
      <c r="A298" t="s">
        <v>828</v>
      </c>
      <c r="B298" t="s">
        <v>769</v>
      </c>
      <c r="C298" t="s">
        <v>60</v>
      </c>
      <c r="D298" s="6">
        <v>0</v>
      </c>
      <c r="E298" t="s">
        <v>769</v>
      </c>
      <c r="F298" t="s">
        <v>50</v>
      </c>
      <c r="G298" t="s">
        <v>824</v>
      </c>
      <c r="H298" t="s">
        <v>829</v>
      </c>
      <c r="I298" s="5">
        <v>56749</v>
      </c>
      <c r="L298" s="5">
        <v>56749</v>
      </c>
      <c r="M298" s="5">
        <v>6080.25</v>
      </c>
      <c r="N298" s="5">
        <v>50668.75</v>
      </c>
    </row>
    <row r="299" spans="1:14" hidden="1">
      <c r="A299" t="s">
        <v>830</v>
      </c>
      <c r="B299" t="s">
        <v>769</v>
      </c>
      <c r="C299" t="s">
        <v>237</v>
      </c>
      <c r="D299" s="6">
        <v>60</v>
      </c>
      <c r="E299" t="s">
        <v>770</v>
      </c>
      <c r="F299" t="s">
        <v>139</v>
      </c>
      <c r="G299" t="s">
        <v>821</v>
      </c>
      <c r="H299" t="s">
        <v>831</v>
      </c>
      <c r="I299" s="5">
        <v>16800</v>
      </c>
      <c r="L299" s="5">
        <v>16800</v>
      </c>
      <c r="M299" s="5">
        <v>1800</v>
      </c>
      <c r="N299" s="5">
        <v>15000</v>
      </c>
    </row>
    <row r="300" spans="1:14" hidden="1">
      <c r="A300" t="s">
        <v>832</v>
      </c>
      <c r="B300" t="s">
        <v>769</v>
      </c>
      <c r="C300" t="s">
        <v>237</v>
      </c>
      <c r="D300" s="6">
        <v>60</v>
      </c>
      <c r="E300" t="s">
        <v>770</v>
      </c>
      <c r="F300" t="s">
        <v>139</v>
      </c>
      <c r="G300" t="s">
        <v>821</v>
      </c>
      <c r="H300" t="s">
        <v>833</v>
      </c>
      <c r="I300" s="5">
        <v>14406</v>
      </c>
      <c r="L300" s="5">
        <v>14406</v>
      </c>
      <c r="M300" s="5">
        <v>1543.5</v>
      </c>
      <c r="N300" s="5">
        <v>12862.5</v>
      </c>
    </row>
    <row r="301" spans="1:14" hidden="1">
      <c r="A301" t="s">
        <v>834</v>
      </c>
      <c r="B301" t="s">
        <v>769</v>
      </c>
      <c r="C301" t="s">
        <v>237</v>
      </c>
      <c r="D301" s="6">
        <v>60</v>
      </c>
      <c r="E301" t="s">
        <v>770</v>
      </c>
      <c r="F301" t="s">
        <v>139</v>
      </c>
      <c r="G301" t="s">
        <v>821</v>
      </c>
      <c r="H301" t="s">
        <v>835</v>
      </c>
      <c r="I301" s="5">
        <v>14002</v>
      </c>
      <c r="L301" s="5">
        <v>14002</v>
      </c>
      <c r="M301" s="5">
        <v>1500.21</v>
      </c>
      <c r="N301" s="5">
        <v>12501.79</v>
      </c>
    </row>
    <row r="302" spans="1:14" hidden="1">
      <c r="A302" t="s">
        <v>836</v>
      </c>
      <c r="B302" t="s">
        <v>769</v>
      </c>
      <c r="C302" t="s">
        <v>237</v>
      </c>
      <c r="D302" s="6">
        <v>60</v>
      </c>
      <c r="E302" t="s">
        <v>770</v>
      </c>
      <c r="F302" t="s">
        <v>139</v>
      </c>
      <c r="G302" t="s">
        <v>821</v>
      </c>
      <c r="H302" t="s">
        <v>837</v>
      </c>
      <c r="I302" s="5">
        <v>68892</v>
      </c>
      <c r="L302" s="5">
        <v>68892</v>
      </c>
      <c r="M302" s="5">
        <v>7381.29</v>
      </c>
      <c r="N302" s="5">
        <v>61510.71</v>
      </c>
    </row>
    <row r="303" spans="1:14" hidden="1">
      <c r="A303" t="s">
        <v>838</v>
      </c>
      <c r="B303" t="s">
        <v>769</v>
      </c>
      <c r="C303" t="s">
        <v>237</v>
      </c>
      <c r="D303" s="6">
        <v>60</v>
      </c>
      <c r="E303" t="s">
        <v>770</v>
      </c>
      <c r="F303" t="s">
        <v>139</v>
      </c>
      <c r="G303" t="s">
        <v>821</v>
      </c>
      <c r="H303" t="s">
        <v>839</v>
      </c>
      <c r="I303" s="5">
        <v>7840</v>
      </c>
      <c r="L303" s="5">
        <v>7840</v>
      </c>
      <c r="M303" s="7">
        <v>840</v>
      </c>
      <c r="N303" s="5">
        <v>7000</v>
      </c>
    </row>
    <row r="304" spans="1:14" hidden="1">
      <c r="A304" t="s">
        <v>840</v>
      </c>
      <c r="B304" t="s">
        <v>769</v>
      </c>
      <c r="C304" t="s">
        <v>60</v>
      </c>
      <c r="D304" s="6">
        <v>0</v>
      </c>
      <c r="E304" t="s">
        <v>769</v>
      </c>
      <c r="F304" t="s">
        <v>56</v>
      </c>
      <c r="G304" t="s">
        <v>841</v>
      </c>
      <c r="H304" t="s">
        <v>842</v>
      </c>
      <c r="I304" s="5">
        <v>1117</v>
      </c>
      <c r="L304" s="5">
        <v>1117</v>
      </c>
      <c r="M304" s="7">
        <v>119.68</v>
      </c>
      <c r="N304" s="7">
        <v>997.32</v>
      </c>
    </row>
    <row r="305" spans="1:14" hidden="1">
      <c r="A305" t="s">
        <v>843</v>
      </c>
      <c r="B305" t="s">
        <v>769</v>
      </c>
      <c r="C305" t="s">
        <v>104</v>
      </c>
      <c r="D305" s="6">
        <v>0</v>
      </c>
      <c r="E305" t="s">
        <v>769</v>
      </c>
      <c r="F305" t="s">
        <v>30</v>
      </c>
      <c r="G305" t="s">
        <v>490</v>
      </c>
      <c r="H305" t="s">
        <v>844</v>
      </c>
      <c r="I305" s="5">
        <v>302472</v>
      </c>
      <c r="L305" s="5">
        <v>302472</v>
      </c>
      <c r="M305" s="5">
        <v>32407.71</v>
      </c>
      <c r="N305" s="5">
        <v>270064.28999999998</v>
      </c>
    </row>
    <row r="306" spans="1:14" hidden="1">
      <c r="A306" t="s">
        <v>845</v>
      </c>
      <c r="B306" t="s">
        <v>769</v>
      </c>
      <c r="C306" t="s">
        <v>73</v>
      </c>
      <c r="D306" s="6">
        <v>30</v>
      </c>
      <c r="E306" t="s">
        <v>805</v>
      </c>
      <c r="F306" t="s">
        <v>56</v>
      </c>
      <c r="G306" t="s">
        <v>846</v>
      </c>
      <c r="H306" t="s">
        <v>847</v>
      </c>
      <c r="I306" s="5">
        <v>360296</v>
      </c>
      <c r="L306" s="5">
        <v>360296</v>
      </c>
      <c r="M306" s="5">
        <v>38603.14</v>
      </c>
      <c r="N306" s="5">
        <v>321692.86</v>
      </c>
    </row>
    <row r="307" spans="1:14" hidden="1">
      <c r="A307" t="s">
        <v>848</v>
      </c>
      <c r="B307" t="s">
        <v>769</v>
      </c>
      <c r="C307" t="s">
        <v>73</v>
      </c>
      <c r="D307" s="6">
        <v>30</v>
      </c>
      <c r="E307" t="s">
        <v>805</v>
      </c>
      <c r="F307" t="s">
        <v>56</v>
      </c>
      <c r="G307" t="s">
        <v>812</v>
      </c>
      <c r="H307" t="s">
        <v>849</v>
      </c>
      <c r="I307" s="5">
        <v>127702</v>
      </c>
      <c r="L307" s="5">
        <v>127702</v>
      </c>
      <c r="M307" s="5">
        <v>13682.36</v>
      </c>
      <c r="N307" s="5">
        <v>114019.64</v>
      </c>
    </row>
    <row r="308" spans="1:14" hidden="1">
      <c r="A308" t="s">
        <v>850</v>
      </c>
      <c r="B308" t="s">
        <v>769</v>
      </c>
      <c r="C308" t="s">
        <v>68</v>
      </c>
      <c r="D308" s="6">
        <v>60</v>
      </c>
      <c r="E308" t="s">
        <v>770</v>
      </c>
      <c r="F308" t="s">
        <v>69</v>
      </c>
      <c r="G308" t="s">
        <v>70</v>
      </c>
      <c r="H308" t="s">
        <v>851</v>
      </c>
      <c r="I308" s="5">
        <v>1209600</v>
      </c>
      <c r="L308" s="5">
        <v>1209600</v>
      </c>
      <c r="M308" s="5">
        <v>129600</v>
      </c>
      <c r="N308" s="5">
        <v>1080000</v>
      </c>
    </row>
    <row r="309" spans="1:14" hidden="1">
      <c r="A309" t="s">
        <v>852</v>
      </c>
      <c r="B309" t="s">
        <v>769</v>
      </c>
      <c r="C309" t="s">
        <v>162</v>
      </c>
      <c r="D309" s="6">
        <v>90</v>
      </c>
      <c r="E309" t="s">
        <v>815</v>
      </c>
      <c r="F309" t="s">
        <v>69</v>
      </c>
      <c r="G309" t="s">
        <v>853</v>
      </c>
      <c r="H309" t="s">
        <v>854</v>
      </c>
      <c r="I309" s="5">
        <v>586795</v>
      </c>
      <c r="L309" s="5">
        <v>586795</v>
      </c>
      <c r="M309" s="5">
        <v>62870.89</v>
      </c>
      <c r="N309" s="5">
        <v>523924.11</v>
      </c>
    </row>
    <row r="310" spans="1:14" hidden="1">
      <c r="A310" t="s">
        <v>855</v>
      </c>
      <c r="B310" t="s">
        <v>769</v>
      </c>
      <c r="C310" t="s">
        <v>68</v>
      </c>
      <c r="D310" s="6">
        <v>60</v>
      </c>
      <c r="E310" t="s">
        <v>770</v>
      </c>
      <c r="F310" t="s">
        <v>856</v>
      </c>
      <c r="G310" t="s">
        <v>857</v>
      </c>
      <c r="H310" t="s">
        <v>858</v>
      </c>
      <c r="I310" s="5">
        <v>84296</v>
      </c>
      <c r="L310" s="5">
        <v>84296</v>
      </c>
      <c r="M310" s="5">
        <v>9031.7099999999991</v>
      </c>
      <c r="N310" s="5">
        <v>75264.289999999994</v>
      </c>
    </row>
    <row r="311" spans="1:14" hidden="1">
      <c r="A311" t="s">
        <v>859</v>
      </c>
      <c r="B311" t="s">
        <v>769</v>
      </c>
      <c r="C311" t="s">
        <v>29</v>
      </c>
      <c r="D311" s="6">
        <v>0</v>
      </c>
      <c r="E311" t="s">
        <v>769</v>
      </c>
      <c r="F311" t="s">
        <v>30</v>
      </c>
      <c r="G311" t="s">
        <v>31</v>
      </c>
      <c r="H311" t="s">
        <v>860</v>
      </c>
      <c r="I311" s="5">
        <v>26190</v>
      </c>
      <c r="L311" s="5">
        <v>26190</v>
      </c>
      <c r="M311" s="5">
        <v>2806.07</v>
      </c>
      <c r="N311" s="5">
        <v>23383.93</v>
      </c>
    </row>
    <row r="312" spans="1:14" hidden="1">
      <c r="A312" t="s">
        <v>861</v>
      </c>
      <c r="B312" t="s">
        <v>769</v>
      </c>
      <c r="C312" t="s">
        <v>29</v>
      </c>
      <c r="D312" s="6">
        <v>0</v>
      </c>
      <c r="E312" t="s">
        <v>769</v>
      </c>
      <c r="F312" t="s">
        <v>30</v>
      </c>
      <c r="G312" t="s">
        <v>31</v>
      </c>
      <c r="H312" t="s">
        <v>862</v>
      </c>
      <c r="I312" s="5">
        <v>81120</v>
      </c>
      <c r="L312" s="5">
        <v>81120</v>
      </c>
      <c r="M312" s="5">
        <v>8691.43</v>
      </c>
      <c r="N312" s="5">
        <v>72428.570000000007</v>
      </c>
    </row>
    <row r="313" spans="1:14" hidden="1">
      <c r="A313" t="s">
        <v>863</v>
      </c>
      <c r="B313" t="s">
        <v>769</v>
      </c>
      <c r="C313" t="s">
        <v>29</v>
      </c>
      <c r="D313" s="6">
        <v>0</v>
      </c>
      <c r="E313" t="s">
        <v>769</v>
      </c>
      <c r="F313" t="s">
        <v>30</v>
      </c>
      <c r="G313" t="s">
        <v>31</v>
      </c>
      <c r="H313" t="s">
        <v>864</v>
      </c>
      <c r="I313" s="5">
        <v>13320</v>
      </c>
      <c r="L313" s="5">
        <v>13320</v>
      </c>
      <c r="M313" s="5">
        <v>1427.14</v>
      </c>
      <c r="N313" s="5">
        <v>11892.86</v>
      </c>
    </row>
    <row r="314" spans="1:14" hidden="1">
      <c r="A314" t="s">
        <v>865</v>
      </c>
      <c r="B314" t="s">
        <v>866</v>
      </c>
      <c r="C314" t="s">
        <v>94</v>
      </c>
      <c r="D314" s="6">
        <v>0</v>
      </c>
      <c r="E314" t="s">
        <v>866</v>
      </c>
      <c r="F314" t="s">
        <v>46</v>
      </c>
      <c r="G314" t="s">
        <v>95</v>
      </c>
      <c r="H314" t="s">
        <v>867</v>
      </c>
      <c r="I314" s="5">
        <v>289520</v>
      </c>
      <c r="L314" s="5">
        <v>289520</v>
      </c>
      <c r="M314" s="5">
        <v>31020</v>
      </c>
      <c r="N314" s="5">
        <v>258500</v>
      </c>
    </row>
    <row r="315" spans="1:14" hidden="1">
      <c r="A315" t="s">
        <v>868</v>
      </c>
      <c r="B315" t="s">
        <v>866</v>
      </c>
      <c r="C315" t="s">
        <v>98</v>
      </c>
      <c r="D315" s="6">
        <v>0</v>
      </c>
      <c r="E315" t="s">
        <v>866</v>
      </c>
      <c r="F315" t="s">
        <v>69</v>
      </c>
      <c r="G315" t="s">
        <v>99</v>
      </c>
      <c r="H315" t="s">
        <v>869</v>
      </c>
      <c r="I315" s="5">
        <v>256700</v>
      </c>
      <c r="J315" s="4">
        <v>-7701</v>
      </c>
      <c r="L315" s="5">
        <v>248999</v>
      </c>
      <c r="M315" s="5">
        <v>26678.46</v>
      </c>
      <c r="N315" s="5">
        <v>222320.54</v>
      </c>
    </row>
    <row r="316" spans="1:14" hidden="1">
      <c r="A316" t="s">
        <v>870</v>
      </c>
      <c r="B316" t="s">
        <v>866</v>
      </c>
      <c r="C316" t="s">
        <v>104</v>
      </c>
      <c r="D316" s="6">
        <v>0</v>
      </c>
      <c r="E316" t="s">
        <v>866</v>
      </c>
      <c r="F316" t="s">
        <v>46</v>
      </c>
      <c r="G316" t="s">
        <v>392</v>
      </c>
      <c r="H316" t="s">
        <v>871</v>
      </c>
      <c r="I316" s="5">
        <v>340975</v>
      </c>
      <c r="L316" s="5">
        <v>340975</v>
      </c>
      <c r="M316" s="5">
        <v>36533.040000000001</v>
      </c>
      <c r="N316" s="5">
        <v>304441.96000000002</v>
      </c>
    </row>
    <row r="317" spans="1:14" hidden="1">
      <c r="A317" t="s">
        <v>872</v>
      </c>
      <c r="B317" t="s">
        <v>866</v>
      </c>
      <c r="C317" t="s">
        <v>176</v>
      </c>
      <c r="D317" s="6">
        <v>60</v>
      </c>
      <c r="E317" t="s">
        <v>873</v>
      </c>
      <c r="F317" t="s">
        <v>69</v>
      </c>
      <c r="G317" t="s">
        <v>177</v>
      </c>
      <c r="H317" t="s">
        <v>874</v>
      </c>
      <c r="I317" s="5">
        <v>480000</v>
      </c>
      <c r="L317" s="5">
        <v>480000</v>
      </c>
      <c r="M317" s="5">
        <v>51428.57</v>
      </c>
      <c r="N317" s="5">
        <v>428571.43</v>
      </c>
    </row>
    <row r="318" spans="1:14" hidden="1">
      <c r="A318" t="s">
        <v>875</v>
      </c>
      <c r="B318" t="s">
        <v>866</v>
      </c>
      <c r="C318" t="s">
        <v>176</v>
      </c>
      <c r="D318" s="6">
        <v>60</v>
      </c>
      <c r="E318" t="s">
        <v>873</v>
      </c>
      <c r="F318" t="s">
        <v>69</v>
      </c>
      <c r="G318" t="s">
        <v>177</v>
      </c>
      <c r="H318" t="s">
        <v>876</v>
      </c>
      <c r="I318" s="5">
        <v>72000</v>
      </c>
      <c r="L318" s="5">
        <v>72000</v>
      </c>
      <c r="M318" s="5">
        <v>7714.29</v>
      </c>
      <c r="N318" s="5">
        <v>64285.71</v>
      </c>
    </row>
    <row r="319" spans="1:14" hidden="1">
      <c r="A319" t="s">
        <v>877</v>
      </c>
      <c r="B319" t="s">
        <v>866</v>
      </c>
      <c r="C319" t="s">
        <v>176</v>
      </c>
      <c r="D319" s="6">
        <v>60</v>
      </c>
      <c r="E319" t="s">
        <v>873</v>
      </c>
      <c r="F319" t="s">
        <v>69</v>
      </c>
      <c r="G319" t="s">
        <v>177</v>
      </c>
      <c r="H319" t="s">
        <v>878</v>
      </c>
      <c r="I319" s="5">
        <v>96000</v>
      </c>
      <c r="L319" s="5">
        <v>96000</v>
      </c>
      <c r="M319" s="5">
        <v>10285.709999999999</v>
      </c>
      <c r="N319" s="5">
        <v>85714.29</v>
      </c>
    </row>
    <row r="320" spans="1:14" hidden="1">
      <c r="A320" t="s">
        <v>879</v>
      </c>
      <c r="B320" t="s">
        <v>866</v>
      </c>
      <c r="C320" t="s">
        <v>369</v>
      </c>
      <c r="D320" s="6">
        <v>30</v>
      </c>
      <c r="E320" t="s">
        <v>880</v>
      </c>
      <c r="F320" t="s">
        <v>139</v>
      </c>
      <c r="G320" t="s">
        <v>371</v>
      </c>
      <c r="H320" t="s">
        <v>881</v>
      </c>
      <c r="I320" s="5">
        <v>128240</v>
      </c>
      <c r="L320" s="5">
        <v>128240</v>
      </c>
      <c r="M320" s="5">
        <v>13740</v>
      </c>
      <c r="N320" s="5">
        <v>114500</v>
      </c>
    </row>
    <row r="321" spans="1:14" hidden="1">
      <c r="A321" t="s">
        <v>882</v>
      </c>
      <c r="B321" t="s">
        <v>866</v>
      </c>
      <c r="C321" t="s">
        <v>60</v>
      </c>
      <c r="D321" s="6">
        <v>0</v>
      </c>
      <c r="E321" t="s">
        <v>866</v>
      </c>
      <c r="F321" t="s">
        <v>56</v>
      </c>
      <c r="G321" t="s">
        <v>196</v>
      </c>
      <c r="H321" t="s">
        <v>883</v>
      </c>
      <c r="I321" s="5">
        <v>4000</v>
      </c>
      <c r="L321" s="5">
        <v>4000</v>
      </c>
      <c r="M321" s="7">
        <v>428.57</v>
      </c>
      <c r="N321" s="5">
        <v>3571.43</v>
      </c>
    </row>
    <row r="322" spans="1:14" hidden="1">
      <c r="A322" t="s">
        <v>884</v>
      </c>
      <c r="B322" t="s">
        <v>866</v>
      </c>
      <c r="C322" t="s">
        <v>146</v>
      </c>
      <c r="D322" s="6">
        <v>90</v>
      </c>
      <c r="E322" t="s">
        <v>885</v>
      </c>
      <c r="F322" t="s">
        <v>69</v>
      </c>
      <c r="G322" t="s">
        <v>886</v>
      </c>
      <c r="H322" t="s">
        <v>887</v>
      </c>
      <c r="I322" s="5">
        <v>169280</v>
      </c>
      <c r="L322" s="5">
        <v>169280</v>
      </c>
      <c r="M322" s="5">
        <v>18137.14</v>
      </c>
      <c r="N322" s="5">
        <v>151142.85999999999</v>
      </c>
    </row>
    <row r="323" spans="1:14" hidden="1">
      <c r="A323" t="s">
        <v>888</v>
      </c>
      <c r="B323" t="s">
        <v>866</v>
      </c>
      <c r="C323" t="s">
        <v>68</v>
      </c>
      <c r="D323" s="6">
        <v>60</v>
      </c>
      <c r="E323" t="s">
        <v>873</v>
      </c>
      <c r="F323" t="s">
        <v>69</v>
      </c>
      <c r="G323" t="s">
        <v>574</v>
      </c>
      <c r="H323" t="s">
        <v>889</v>
      </c>
      <c r="I323" s="5">
        <v>2539560</v>
      </c>
      <c r="L323" s="5">
        <v>2539560</v>
      </c>
      <c r="M323" s="5">
        <v>272095.71000000002</v>
      </c>
      <c r="N323" s="5">
        <v>2267464.29</v>
      </c>
    </row>
    <row r="324" spans="1:14" hidden="1">
      <c r="A324" t="s">
        <v>890</v>
      </c>
      <c r="B324" t="s">
        <v>866</v>
      </c>
      <c r="C324" t="s">
        <v>73</v>
      </c>
      <c r="D324" s="6">
        <v>30</v>
      </c>
      <c r="E324" t="s">
        <v>880</v>
      </c>
      <c r="F324" t="s">
        <v>270</v>
      </c>
      <c r="G324" t="s">
        <v>891</v>
      </c>
      <c r="H324" t="s">
        <v>892</v>
      </c>
      <c r="I324" s="5">
        <v>528502</v>
      </c>
      <c r="L324" s="5">
        <v>528502</v>
      </c>
      <c r="M324" s="5">
        <v>56625.21</v>
      </c>
      <c r="N324" s="5">
        <v>471876.79</v>
      </c>
    </row>
    <row r="325" spans="1:14" hidden="1">
      <c r="A325" t="s">
        <v>893</v>
      </c>
      <c r="B325" t="s">
        <v>866</v>
      </c>
      <c r="C325" t="s">
        <v>146</v>
      </c>
      <c r="D325" s="6">
        <v>90</v>
      </c>
      <c r="E325" t="s">
        <v>885</v>
      </c>
      <c r="F325" t="s">
        <v>30</v>
      </c>
      <c r="G325" t="s">
        <v>384</v>
      </c>
      <c r="H325" t="s">
        <v>894</v>
      </c>
      <c r="I325" s="5">
        <v>1315800</v>
      </c>
      <c r="L325" s="5">
        <v>1315800</v>
      </c>
      <c r="M325" s="5">
        <v>140978.57</v>
      </c>
      <c r="N325" s="5">
        <v>1174821.43</v>
      </c>
    </row>
    <row r="326" spans="1:14" hidden="1">
      <c r="A326" t="s">
        <v>895</v>
      </c>
      <c r="B326" t="s">
        <v>866</v>
      </c>
      <c r="C326" t="s">
        <v>60</v>
      </c>
      <c r="D326" s="6">
        <v>0</v>
      </c>
      <c r="E326" t="s">
        <v>866</v>
      </c>
      <c r="F326" t="s">
        <v>56</v>
      </c>
      <c r="G326" t="s">
        <v>196</v>
      </c>
      <c r="H326" t="s">
        <v>896</v>
      </c>
      <c r="I326" s="5">
        <v>313966</v>
      </c>
      <c r="L326" s="5">
        <v>313966</v>
      </c>
      <c r="M326" s="5">
        <v>33639.21</v>
      </c>
      <c r="N326" s="5">
        <v>280326.78999999998</v>
      </c>
    </row>
    <row r="327" spans="1:14" hidden="1">
      <c r="A327" t="s">
        <v>897</v>
      </c>
      <c r="B327" t="s">
        <v>866</v>
      </c>
      <c r="C327" t="s">
        <v>60</v>
      </c>
      <c r="D327" s="6">
        <v>0</v>
      </c>
      <c r="E327" t="s">
        <v>866</v>
      </c>
      <c r="F327" t="s">
        <v>56</v>
      </c>
      <c r="G327" t="s">
        <v>196</v>
      </c>
      <c r="H327" t="s">
        <v>898</v>
      </c>
      <c r="I327" s="5">
        <v>81908</v>
      </c>
      <c r="L327" s="5">
        <v>81908</v>
      </c>
      <c r="M327" s="5">
        <v>8775.86</v>
      </c>
      <c r="N327" s="5">
        <v>73132.14</v>
      </c>
    </row>
    <row r="328" spans="1:14" hidden="1">
      <c r="A328" t="s">
        <v>899</v>
      </c>
      <c r="B328" t="s">
        <v>866</v>
      </c>
      <c r="C328" t="s">
        <v>162</v>
      </c>
      <c r="D328" s="6">
        <v>90</v>
      </c>
      <c r="E328" t="s">
        <v>885</v>
      </c>
      <c r="F328" t="s">
        <v>36</v>
      </c>
      <c r="G328" t="s">
        <v>193</v>
      </c>
      <c r="H328" t="s">
        <v>900</v>
      </c>
      <c r="I328" s="5">
        <v>37150</v>
      </c>
      <c r="L328" s="5">
        <v>37150</v>
      </c>
      <c r="M328" s="5">
        <v>3980.36</v>
      </c>
      <c r="N328" s="5">
        <v>33169.64</v>
      </c>
    </row>
    <row r="329" spans="1:14" hidden="1">
      <c r="A329" t="s">
        <v>901</v>
      </c>
      <c r="B329" t="s">
        <v>866</v>
      </c>
      <c r="C329" t="s">
        <v>162</v>
      </c>
      <c r="D329" s="6">
        <v>90</v>
      </c>
      <c r="E329" t="s">
        <v>885</v>
      </c>
      <c r="F329" t="s">
        <v>36</v>
      </c>
      <c r="G329" t="s">
        <v>193</v>
      </c>
      <c r="H329" t="s">
        <v>902</v>
      </c>
      <c r="I329" s="5">
        <v>51430</v>
      </c>
      <c r="L329" s="5">
        <v>51430</v>
      </c>
      <c r="M329" s="5">
        <v>5510.36</v>
      </c>
      <c r="N329" s="5">
        <v>45919.64</v>
      </c>
    </row>
    <row r="330" spans="1:14" hidden="1">
      <c r="A330" t="s">
        <v>903</v>
      </c>
      <c r="B330" t="s">
        <v>866</v>
      </c>
      <c r="C330" t="s">
        <v>162</v>
      </c>
      <c r="D330" s="6">
        <v>90</v>
      </c>
      <c r="E330" t="s">
        <v>885</v>
      </c>
      <c r="F330" t="s">
        <v>204</v>
      </c>
      <c r="G330" t="s">
        <v>904</v>
      </c>
      <c r="H330" t="s">
        <v>905</v>
      </c>
      <c r="I330" s="5">
        <v>80432</v>
      </c>
      <c r="L330" s="5">
        <v>80432</v>
      </c>
      <c r="M330" s="5">
        <v>8617.7099999999991</v>
      </c>
      <c r="N330" s="5">
        <v>71814.289999999994</v>
      </c>
    </row>
    <row r="331" spans="1:14" hidden="1">
      <c r="A331" t="s">
        <v>906</v>
      </c>
      <c r="B331" t="s">
        <v>866</v>
      </c>
      <c r="C331" t="s">
        <v>146</v>
      </c>
      <c r="D331" s="6">
        <v>90</v>
      </c>
      <c r="E331" t="s">
        <v>885</v>
      </c>
      <c r="F331" t="s">
        <v>25</v>
      </c>
      <c r="G331" t="s">
        <v>907</v>
      </c>
      <c r="H331" t="s">
        <v>908</v>
      </c>
      <c r="I331" s="5">
        <v>133902</v>
      </c>
      <c r="L331" s="5">
        <v>133902</v>
      </c>
      <c r="M331" s="5">
        <v>14346.64</v>
      </c>
      <c r="N331" s="5">
        <v>119555.36</v>
      </c>
    </row>
    <row r="332" spans="1:14" hidden="1">
      <c r="A332" t="s">
        <v>909</v>
      </c>
      <c r="B332" t="s">
        <v>866</v>
      </c>
      <c r="C332" t="s">
        <v>60</v>
      </c>
      <c r="D332" s="6">
        <v>0</v>
      </c>
      <c r="E332" t="s">
        <v>866</v>
      </c>
      <c r="F332" t="s">
        <v>105</v>
      </c>
      <c r="G332" t="s">
        <v>910</v>
      </c>
      <c r="H332" t="s">
        <v>911</v>
      </c>
      <c r="I332" s="5">
        <v>8800</v>
      </c>
      <c r="L332" s="5">
        <v>8800</v>
      </c>
      <c r="M332" s="7">
        <v>942.86</v>
      </c>
      <c r="N332" s="5">
        <v>7857.14</v>
      </c>
    </row>
    <row r="333" spans="1:14" hidden="1">
      <c r="A333" t="s">
        <v>912</v>
      </c>
      <c r="B333" t="s">
        <v>866</v>
      </c>
      <c r="C333" t="s">
        <v>29</v>
      </c>
      <c r="D333" s="6">
        <v>0</v>
      </c>
      <c r="E333" t="s">
        <v>866</v>
      </c>
      <c r="F333" t="s">
        <v>30</v>
      </c>
      <c r="G333" t="s">
        <v>218</v>
      </c>
      <c r="H333" t="s">
        <v>913</v>
      </c>
      <c r="I333" s="5">
        <v>32004</v>
      </c>
      <c r="J333" s="4">
        <v>-960.12</v>
      </c>
      <c r="L333" s="5">
        <v>31043.88</v>
      </c>
      <c r="M333" s="5">
        <v>3326.13</v>
      </c>
      <c r="N333" s="5">
        <v>27717.75</v>
      </c>
    </row>
    <row r="334" spans="1:14" hidden="1">
      <c r="A334" t="s">
        <v>914</v>
      </c>
      <c r="B334" t="s">
        <v>915</v>
      </c>
      <c r="C334" t="s">
        <v>73</v>
      </c>
      <c r="D334" s="6">
        <v>30</v>
      </c>
      <c r="E334" t="s">
        <v>916</v>
      </c>
      <c r="F334" t="s">
        <v>56</v>
      </c>
      <c r="G334" t="s">
        <v>812</v>
      </c>
      <c r="H334" t="s">
        <v>849</v>
      </c>
      <c r="I334" s="5">
        <v>127702</v>
      </c>
      <c r="L334" s="5">
        <v>127702</v>
      </c>
      <c r="M334" s="5">
        <v>13682.36</v>
      </c>
      <c r="N334" s="5">
        <v>114019.64</v>
      </c>
    </row>
    <row r="335" spans="1:14" hidden="1">
      <c r="A335" t="s">
        <v>917</v>
      </c>
      <c r="B335" t="s">
        <v>915</v>
      </c>
      <c r="C335" t="s">
        <v>151</v>
      </c>
      <c r="D335" s="6">
        <v>60</v>
      </c>
      <c r="E335" t="s">
        <v>918</v>
      </c>
      <c r="F335" t="s">
        <v>30</v>
      </c>
      <c r="G335" t="s">
        <v>614</v>
      </c>
      <c r="H335" t="s">
        <v>919</v>
      </c>
      <c r="I335" s="5">
        <v>48720</v>
      </c>
      <c r="L335" s="5">
        <v>48720</v>
      </c>
      <c r="M335" s="5">
        <v>5220</v>
      </c>
      <c r="N335" s="5">
        <v>43500</v>
      </c>
    </row>
    <row r="336" spans="1:14" hidden="1">
      <c r="A336" t="s">
        <v>920</v>
      </c>
      <c r="B336" t="s">
        <v>915</v>
      </c>
      <c r="C336" t="s">
        <v>73</v>
      </c>
      <c r="D336" s="6">
        <v>30</v>
      </c>
      <c r="E336" t="s">
        <v>916</v>
      </c>
      <c r="F336" t="s">
        <v>139</v>
      </c>
      <c r="G336" t="s">
        <v>921</v>
      </c>
      <c r="H336" t="s">
        <v>922</v>
      </c>
      <c r="I336" s="5">
        <v>348834</v>
      </c>
      <c r="L336" s="5">
        <v>348834</v>
      </c>
      <c r="M336" s="5">
        <v>37375.07</v>
      </c>
      <c r="N336" s="5">
        <v>311458.93</v>
      </c>
    </row>
    <row r="337" spans="1:14" hidden="1">
      <c r="A337" t="s">
        <v>923</v>
      </c>
      <c r="B337" t="s">
        <v>915</v>
      </c>
      <c r="C337" t="s">
        <v>146</v>
      </c>
      <c r="D337" s="6">
        <v>90</v>
      </c>
      <c r="E337" t="s">
        <v>924</v>
      </c>
      <c r="F337" t="s">
        <v>759</v>
      </c>
      <c r="G337" t="s">
        <v>766</v>
      </c>
      <c r="H337" t="s">
        <v>925</v>
      </c>
      <c r="I337" s="5">
        <v>242361</v>
      </c>
      <c r="L337" s="5">
        <v>242361</v>
      </c>
      <c r="M337" s="5">
        <v>25967.25</v>
      </c>
      <c r="N337" s="5">
        <v>216393.75</v>
      </c>
    </row>
    <row r="338" spans="1:14" hidden="1">
      <c r="A338" t="s">
        <v>926</v>
      </c>
      <c r="B338" t="s">
        <v>915</v>
      </c>
      <c r="C338" t="s">
        <v>73</v>
      </c>
      <c r="D338" s="6">
        <v>30</v>
      </c>
      <c r="E338" t="s">
        <v>916</v>
      </c>
      <c r="F338" t="s">
        <v>19</v>
      </c>
      <c r="G338" t="s">
        <v>267</v>
      </c>
      <c r="H338" t="s">
        <v>927</v>
      </c>
      <c r="I338" s="5">
        <v>7952</v>
      </c>
      <c r="L338" s="5">
        <v>7952</v>
      </c>
      <c r="M338" s="7">
        <v>852</v>
      </c>
      <c r="N338" s="5">
        <v>7100</v>
      </c>
    </row>
    <row r="339" spans="1:14" hidden="1">
      <c r="A339" t="s">
        <v>928</v>
      </c>
      <c r="B339" t="s">
        <v>915</v>
      </c>
      <c r="C339" t="s">
        <v>73</v>
      </c>
      <c r="D339" s="6">
        <v>30</v>
      </c>
      <c r="E339" t="s">
        <v>916</v>
      </c>
      <c r="F339" t="s">
        <v>19</v>
      </c>
      <c r="G339" t="s">
        <v>267</v>
      </c>
      <c r="H339" t="s">
        <v>929</v>
      </c>
      <c r="I339" s="5">
        <v>19890</v>
      </c>
      <c r="L339" s="5">
        <v>19890</v>
      </c>
      <c r="M339" s="5">
        <v>2131.0700000000002</v>
      </c>
      <c r="N339" s="5">
        <v>17758.93</v>
      </c>
    </row>
    <row r="340" spans="1:14" hidden="1">
      <c r="A340" t="s">
        <v>930</v>
      </c>
      <c r="B340" t="s">
        <v>915</v>
      </c>
      <c r="C340" t="s">
        <v>73</v>
      </c>
      <c r="D340" s="6">
        <v>30</v>
      </c>
      <c r="E340" t="s">
        <v>916</v>
      </c>
      <c r="F340" t="s">
        <v>19</v>
      </c>
      <c r="G340" t="s">
        <v>267</v>
      </c>
      <c r="H340" t="s">
        <v>931</v>
      </c>
      <c r="I340" s="5">
        <v>9180</v>
      </c>
      <c r="L340" s="5">
        <v>9180</v>
      </c>
      <c r="M340" s="7">
        <v>983.57</v>
      </c>
      <c r="N340" s="5">
        <v>8196.43</v>
      </c>
    </row>
    <row r="341" spans="1:14" hidden="1">
      <c r="A341" t="s">
        <v>932</v>
      </c>
      <c r="B341" t="s">
        <v>915</v>
      </c>
      <c r="C341" t="s">
        <v>73</v>
      </c>
      <c r="D341" s="6">
        <v>30</v>
      </c>
      <c r="E341" t="s">
        <v>916</v>
      </c>
      <c r="F341" t="s">
        <v>19</v>
      </c>
      <c r="G341" t="s">
        <v>267</v>
      </c>
      <c r="H341" t="s">
        <v>933</v>
      </c>
      <c r="I341" s="5">
        <v>8274</v>
      </c>
      <c r="L341" s="5">
        <v>8274</v>
      </c>
      <c r="M341" s="7">
        <v>886.5</v>
      </c>
      <c r="N341" s="5">
        <v>7387.5</v>
      </c>
    </row>
    <row r="342" spans="1:14" hidden="1">
      <c r="A342" t="s">
        <v>934</v>
      </c>
      <c r="B342" t="s">
        <v>915</v>
      </c>
      <c r="C342" t="s">
        <v>237</v>
      </c>
      <c r="D342" s="6">
        <v>60</v>
      </c>
      <c r="E342" t="s">
        <v>918</v>
      </c>
      <c r="F342" t="s">
        <v>180</v>
      </c>
      <c r="G342" t="s">
        <v>238</v>
      </c>
      <c r="H342" t="s">
        <v>935</v>
      </c>
      <c r="I342" s="5">
        <v>151350</v>
      </c>
      <c r="L342" s="5">
        <v>151350</v>
      </c>
      <c r="M342" s="5">
        <v>16216.07</v>
      </c>
      <c r="N342" s="5">
        <v>135133.93</v>
      </c>
    </row>
    <row r="343" spans="1:14" hidden="1">
      <c r="A343" t="s">
        <v>936</v>
      </c>
      <c r="B343" t="s">
        <v>915</v>
      </c>
      <c r="C343" t="s">
        <v>54</v>
      </c>
      <c r="D343" s="6">
        <v>90</v>
      </c>
      <c r="E343" t="s">
        <v>924</v>
      </c>
      <c r="F343" t="s">
        <v>19</v>
      </c>
      <c r="G343" t="s">
        <v>937</v>
      </c>
      <c r="H343" t="s">
        <v>938</v>
      </c>
      <c r="I343" s="5">
        <v>430000</v>
      </c>
      <c r="L343" s="5">
        <v>430000</v>
      </c>
      <c r="M343" s="5">
        <v>46071.43</v>
      </c>
      <c r="N343" s="5">
        <v>383928.57</v>
      </c>
    </row>
    <row r="344" spans="1:14" hidden="1">
      <c r="A344" t="s">
        <v>939</v>
      </c>
      <c r="B344" t="s">
        <v>915</v>
      </c>
      <c r="C344" t="s">
        <v>34</v>
      </c>
      <c r="D344" s="6">
        <v>60</v>
      </c>
      <c r="E344" t="s">
        <v>918</v>
      </c>
      <c r="F344" t="s">
        <v>19</v>
      </c>
      <c r="G344" t="s">
        <v>940</v>
      </c>
      <c r="H344" t="s">
        <v>941</v>
      </c>
      <c r="I344" s="5">
        <v>19604</v>
      </c>
      <c r="L344" s="5">
        <v>19604</v>
      </c>
      <c r="M344" s="5">
        <v>2100.4299999999998</v>
      </c>
      <c r="N344" s="5">
        <v>17503.57</v>
      </c>
    </row>
    <row r="345" spans="1:14" hidden="1">
      <c r="A345" t="s">
        <v>942</v>
      </c>
      <c r="B345" t="s">
        <v>915</v>
      </c>
      <c r="C345" t="s">
        <v>104</v>
      </c>
      <c r="D345" s="6">
        <v>0</v>
      </c>
      <c r="E345" t="s">
        <v>915</v>
      </c>
      <c r="F345" t="s">
        <v>25</v>
      </c>
      <c r="G345" t="s">
        <v>943</v>
      </c>
      <c r="H345" t="s">
        <v>944</v>
      </c>
      <c r="I345" s="5">
        <v>7500</v>
      </c>
      <c r="L345" s="5">
        <v>7500</v>
      </c>
      <c r="N345" s="5">
        <v>7500</v>
      </c>
    </row>
    <row r="346" spans="1:14" hidden="1">
      <c r="A346" t="s">
        <v>945</v>
      </c>
      <c r="B346" t="s">
        <v>915</v>
      </c>
      <c r="C346" t="s">
        <v>162</v>
      </c>
      <c r="D346" s="6">
        <v>90</v>
      </c>
      <c r="E346" t="s">
        <v>924</v>
      </c>
      <c r="F346" t="s">
        <v>204</v>
      </c>
      <c r="G346" t="s">
        <v>904</v>
      </c>
      <c r="H346" t="s">
        <v>946</v>
      </c>
      <c r="I346" s="5">
        <v>41100</v>
      </c>
      <c r="L346" s="5">
        <v>41100</v>
      </c>
      <c r="M346" s="5">
        <v>4403.57</v>
      </c>
      <c r="N346" s="5">
        <v>36696.43</v>
      </c>
    </row>
    <row r="347" spans="1:14" hidden="1">
      <c r="A347" t="s">
        <v>947</v>
      </c>
      <c r="B347" t="s">
        <v>915</v>
      </c>
      <c r="C347" t="s">
        <v>34</v>
      </c>
      <c r="D347" s="6">
        <v>60</v>
      </c>
      <c r="E347" t="s">
        <v>918</v>
      </c>
      <c r="F347" t="s">
        <v>30</v>
      </c>
      <c r="G347" t="s">
        <v>201</v>
      </c>
      <c r="H347" t="s">
        <v>948</v>
      </c>
      <c r="I347" s="5">
        <v>14400</v>
      </c>
      <c r="L347" s="5">
        <v>14400</v>
      </c>
      <c r="M347" s="5">
        <v>1542.86</v>
      </c>
      <c r="N347" s="5">
        <v>12857.14</v>
      </c>
    </row>
    <row r="348" spans="1:14" hidden="1">
      <c r="A348" t="s">
        <v>949</v>
      </c>
      <c r="B348" t="s">
        <v>915</v>
      </c>
      <c r="C348" t="s">
        <v>60</v>
      </c>
      <c r="D348" s="6">
        <v>0</v>
      </c>
      <c r="E348" t="s">
        <v>915</v>
      </c>
      <c r="F348" t="s">
        <v>56</v>
      </c>
      <c r="G348" t="s">
        <v>190</v>
      </c>
      <c r="H348" t="s">
        <v>950</v>
      </c>
      <c r="I348" s="5">
        <v>27760</v>
      </c>
      <c r="L348" s="5">
        <v>27760</v>
      </c>
      <c r="M348" s="5">
        <v>2974.29</v>
      </c>
      <c r="N348" s="5">
        <v>24785.71</v>
      </c>
    </row>
    <row r="349" spans="1:14" hidden="1">
      <c r="A349" t="s">
        <v>951</v>
      </c>
      <c r="B349" t="s">
        <v>915</v>
      </c>
      <c r="C349" t="s">
        <v>151</v>
      </c>
      <c r="D349" s="6">
        <v>60</v>
      </c>
      <c r="E349" t="s">
        <v>918</v>
      </c>
      <c r="F349" t="s">
        <v>139</v>
      </c>
      <c r="G349" t="s">
        <v>264</v>
      </c>
      <c r="H349" t="s">
        <v>952</v>
      </c>
      <c r="I349" s="5">
        <v>13520</v>
      </c>
      <c r="L349" s="5">
        <v>13520</v>
      </c>
      <c r="M349" s="5">
        <v>1448.57</v>
      </c>
      <c r="N349" s="5">
        <v>12071.43</v>
      </c>
    </row>
    <row r="350" spans="1:14" hidden="1">
      <c r="A350" t="s">
        <v>953</v>
      </c>
      <c r="B350" t="s">
        <v>915</v>
      </c>
      <c r="C350" t="s">
        <v>29</v>
      </c>
      <c r="D350" s="6">
        <v>0</v>
      </c>
      <c r="E350" t="s">
        <v>915</v>
      </c>
      <c r="F350" t="s">
        <v>30</v>
      </c>
      <c r="G350" t="s">
        <v>31</v>
      </c>
      <c r="H350" t="s">
        <v>954</v>
      </c>
      <c r="I350" s="5">
        <v>5460</v>
      </c>
      <c r="L350" s="5">
        <v>5460</v>
      </c>
      <c r="M350" s="7">
        <v>585</v>
      </c>
      <c r="N350" s="5">
        <v>4875</v>
      </c>
    </row>
    <row r="351" spans="1:14" hidden="1">
      <c r="A351" t="s">
        <v>955</v>
      </c>
      <c r="B351" t="s">
        <v>915</v>
      </c>
      <c r="C351" t="s">
        <v>29</v>
      </c>
      <c r="D351" s="6">
        <v>0</v>
      </c>
      <c r="E351" t="s">
        <v>915</v>
      </c>
      <c r="F351" t="s">
        <v>30</v>
      </c>
      <c r="G351" t="s">
        <v>31</v>
      </c>
      <c r="H351" t="s">
        <v>956</v>
      </c>
      <c r="I351" s="5">
        <v>13144</v>
      </c>
      <c r="L351" s="5">
        <v>13144</v>
      </c>
      <c r="M351" s="5">
        <v>1408.29</v>
      </c>
      <c r="N351" s="5">
        <v>11735.71</v>
      </c>
    </row>
    <row r="352" spans="1:14" hidden="1">
      <c r="A352" t="s">
        <v>957</v>
      </c>
      <c r="B352" t="s">
        <v>915</v>
      </c>
      <c r="C352" t="s">
        <v>60</v>
      </c>
      <c r="D352" s="6">
        <v>0</v>
      </c>
      <c r="E352" t="s">
        <v>915</v>
      </c>
      <c r="F352" t="s">
        <v>139</v>
      </c>
      <c r="G352" t="s">
        <v>958</v>
      </c>
      <c r="H352" t="s">
        <v>959</v>
      </c>
      <c r="I352" s="5">
        <v>588000</v>
      </c>
      <c r="J352" s="4">
        <v>-17640</v>
      </c>
      <c r="L352" s="5">
        <v>570360</v>
      </c>
      <c r="M352" s="5">
        <v>61110</v>
      </c>
      <c r="N352" s="5">
        <v>509250</v>
      </c>
    </row>
    <row r="353" spans="1:14" hidden="1">
      <c r="A353" t="s">
        <v>960</v>
      </c>
      <c r="B353" t="s">
        <v>915</v>
      </c>
      <c r="C353" t="s">
        <v>60</v>
      </c>
      <c r="D353" s="6">
        <v>0</v>
      </c>
      <c r="E353" t="s">
        <v>915</v>
      </c>
      <c r="F353" t="s">
        <v>139</v>
      </c>
      <c r="G353" t="s">
        <v>958</v>
      </c>
      <c r="H353" t="s">
        <v>961</v>
      </c>
      <c r="I353" s="5">
        <v>395135</v>
      </c>
      <c r="J353" s="4">
        <v>-11854.05</v>
      </c>
      <c r="L353" s="5">
        <v>383280.95</v>
      </c>
      <c r="M353" s="5">
        <v>41065.82</v>
      </c>
      <c r="N353" s="5">
        <v>342215.13</v>
      </c>
    </row>
    <row r="354" spans="1:14" hidden="1">
      <c r="A354" t="s">
        <v>962</v>
      </c>
      <c r="B354" t="s">
        <v>915</v>
      </c>
      <c r="C354" t="s">
        <v>162</v>
      </c>
      <c r="D354" s="6">
        <v>90</v>
      </c>
      <c r="E354" t="s">
        <v>924</v>
      </c>
      <c r="F354" t="s">
        <v>36</v>
      </c>
      <c r="G354" t="s">
        <v>754</v>
      </c>
      <c r="H354" t="s">
        <v>963</v>
      </c>
      <c r="I354" s="5">
        <v>150500</v>
      </c>
      <c r="L354" s="5">
        <v>150500</v>
      </c>
      <c r="M354" s="5">
        <v>16125</v>
      </c>
      <c r="N354" s="5">
        <v>134375</v>
      </c>
    </row>
    <row r="355" spans="1:14" hidden="1">
      <c r="A355" t="s">
        <v>964</v>
      </c>
      <c r="B355" t="s">
        <v>915</v>
      </c>
      <c r="C355" t="s">
        <v>18</v>
      </c>
      <c r="D355" s="6">
        <v>0</v>
      </c>
      <c r="E355" t="s">
        <v>915</v>
      </c>
      <c r="F355" t="s">
        <v>180</v>
      </c>
      <c r="G355" t="s">
        <v>319</v>
      </c>
      <c r="H355" t="s">
        <v>965</v>
      </c>
      <c r="I355" s="5">
        <v>88000</v>
      </c>
      <c r="L355" s="5">
        <v>88000</v>
      </c>
      <c r="M355" s="5">
        <v>9428.57</v>
      </c>
      <c r="N355" s="5">
        <v>78571.429999999993</v>
      </c>
    </row>
    <row r="356" spans="1:14" hidden="1">
      <c r="A356" t="s">
        <v>966</v>
      </c>
      <c r="B356" t="s">
        <v>915</v>
      </c>
      <c r="C356" t="s">
        <v>18</v>
      </c>
      <c r="D356" s="6">
        <v>0</v>
      </c>
      <c r="E356" t="s">
        <v>915</v>
      </c>
      <c r="F356" t="s">
        <v>180</v>
      </c>
      <c r="G356" t="s">
        <v>319</v>
      </c>
      <c r="H356" t="s">
        <v>967</v>
      </c>
      <c r="I356" s="5">
        <v>241500</v>
      </c>
      <c r="L356" s="5">
        <v>241500</v>
      </c>
      <c r="M356" s="5">
        <v>25875</v>
      </c>
      <c r="N356" s="5">
        <v>215625</v>
      </c>
    </row>
    <row r="357" spans="1:14" hidden="1">
      <c r="A357" t="s">
        <v>968</v>
      </c>
      <c r="B357" t="s">
        <v>915</v>
      </c>
      <c r="C357" t="s">
        <v>779</v>
      </c>
      <c r="D357" s="6">
        <v>0</v>
      </c>
      <c r="E357" t="s">
        <v>915</v>
      </c>
      <c r="F357" t="s">
        <v>69</v>
      </c>
      <c r="G357" t="s">
        <v>780</v>
      </c>
      <c r="H357" t="s">
        <v>969</v>
      </c>
      <c r="I357" s="5">
        <v>600900</v>
      </c>
      <c r="L357" s="5">
        <v>600900</v>
      </c>
      <c r="M357" s="5">
        <v>64382.14</v>
      </c>
      <c r="N357" s="5">
        <v>536517.86</v>
      </c>
    </row>
    <row r="358" spans="1:14" hidden="1">
      <c r="A358" t="s">
        <v>970</v>
      </c>
      <c r="B358" t="s">
        <v>971</v>
      </c>
      <c r="C358" t="s">
        <v>972</v>
      </c>
      <c r="D358" s="6">
        <v>15</v>
      </c>
      <c r="E358" t="s">
        <v>296</v>
      </c>
      <c r="F358" t="s">
        <v>30</v>
      </c>
      <c r="G358" t="s">
        <v>973</v>
      </c>
      <c r="H358" t="s">
        <v>974</v>
      </c>
      <c r="I358" s="5">
        <v>45600</v>
      </c>
      <c r="L358" s="5">
        <v>45600</v>
      </c>
      <c r="M358" s="5">
        <v>4885.71</v>
      </c>
      <c r="N358" s="5">
        <v>40714.29</v>
      </c>
    </row>
    <row r="359" spans="1:14" hidden="1">
      <c r="A359" t="s">
        <v>975</v>
      </c>
      <c r="B359" t="s">
        <v>971</v>
      </c>
      <c r="C359" t="s">
        <v>98</v>
      </c>
      <c r="D359" s="6">
        <v>0</v>
      </c>
      <c r="E359" t="s">
        <v>971</v>
      </c>
      <c r="F359" t="s">
        <v>139</v>
      </c>
      <c r="G359" t="s">
        <v>976</v>
      </c>
      <c r="H359" t="s">
        <v>977</v>
      </c>
      <c r="I359" s="5">
        <v>221591</v>
      </c>
      <c r="L359" s="5">
        <v>221591</v>
      </c>
      <c r="M359" s="5">
        <v>23741.89</v>
      </c>
      <c r="N359" s="5">
        <v>197849.11</v>
      </c>
    </row>
    <row r="360" spans="1:14" hidden="1">
      <c r="A360" t="s">
        <v>978</v>
      </c>
      <c r="B360" t="s">
        <v>971</v>
      </c>
      <c r="C360" t="s">
        <v>18</v>
      </c>
      <c r="D360" s="6">
        <v>0</v>
      </c>
      <c r="E360" t="s">
        <v>971</v>
      </c>
      <c r="F360" t="s">
        <v>270</v>
      </c>
      <c r="G360" t="s">
        <v>979</v>
      </c>
      <c r="H360" t="s">
        <v>980</v>
      </c>
      <c r="I360" s="5">
        <v>515828.54</v>
      </c>
      <c r="L360" s="5">
        <v>515828.54</v>
      </c>
      <c r="M360" s="5">
        <v>55267.34</v>
      </c>
      <c r="N360" s="5">
        <v>460561.2</v>
      </c>
    </row>
    <row r="361" spans="1:14" hidden="1">
      <c r="A361" t="s">
        <v>981</v>
      </c>
      <c r="B361" t="s">
        <v>971</v>
      </c>
      <c r="C361" t="s">
        <v>18</v>
      </c>
      <c r="D361" s="6">
        <v>0</v>
      </c>
      <c r="E361" t="s">
        <v>971</v>
      </c>
      <c r="F361" t="s">
        <v>270</v>
      </c>
      <c r="G361" t="s">
        <v>979</v>
      </c>
      <c r="H361" t="s">
        <v>982</v>
      </c>
      <c r="I361" s="5">
        <v>951330</v>
      </c>
      <c r="L361" s="5">
        <v>951330</v>
      </c>
      <c r="M361" s="5">
        <v>101928.21</v>
      </c>
      <c r="N361" s="5">
        <v>849401.79</v>
      </c>
    </row>
    <row r="362" spans="1:14" hidden="1">
      <c r="A362" t="s">
        <v>983</v>
      </c>
      <c r="B362" t="s">
        <v>971</v>
      </c>
      <c r="C362" t="s">
        <v>60</v>
      </c>
      <c r="D362" s="6">
        <v>0</v>
      </c>
      <c r="E362" t="s">
        <v>971</v>
      </c>
      <c r="F362" t="s">
        <v>56</v>
      </c>
      <c r="G362" t="s">
        <v>190</v>
      </c>
      <c r="H362" t="s">
        <v>984</v>
      </c>
      <c r="I362" s="5">
        <v>2489.9</v>
      </c>
      <c r="L362" s="5">
        <v>2489.9</v>
      </c>
      <c r="M362" s="7">
        <v>266.77</v>
      </c>
      <c r="N362" s="5">
        <v>2223.13</v>
      </c>
    </row>
    <row r="363" spans="1:14" hidden="1">
      <c r="A363" t="s">
        <v>985</v>
      </c>
      <c r="B363" t="s">
        <v>971</v>
      </c>
      <c r="C363" t="s">
        <v>162</v>
      </c>
      <c r="D363" s="6">
        <v>90</v>
      </c>
      <c r="E363" t="s">
        <v>986</v>
      </c>
      <c r="F363" t="s">
        <v>759</v>
      </c>
      <c r="G363" t="s">
        <v>763</v>
      </c>
      <c r="H363" t="s">
        <v>987</v>
      </c>
      <c r="I363" s="5">
        <v>20070</v>
      </c>
      <c r="L363" s="5">
        <v>20070</v>
      </c>
      <c r="M363" s="5">
        <v>2150.36</v>
      </c>
      <c r="N363" s="5">
        <v>17919.64</v>
      </c>
    </row>
    <row r="364" spans="1:14" hidden="1">
      <c r="A364" t="s">
        <v>988</v>
      </c>
      <c r="B364" t="s">
        <v>971</v>
      </c>
      <c r="C364" t="s">
        <v>162</v>
      </c>
      <c r="D364" s="6">
        <v>90</v>
      </c>
      <c r="E364" t="s">
        <v>986</v>
      </c>
      <c r="F364" t="s">
        <v>759</v>
      </c>
      <c r="G364" t="s">
        <v>763</v>
      </c>
      <c r="H364" t="s">
        <v>989</v>
      </c>
      <c r="I364" s="5">
        <v>781060</v>
      </c>
      <c r="L364" s="5">
        <v>781060</v>
      </c>
      <c r="M364" s="5">
        <v>83685</v>
      </c>
      <c r="N364" s="5">
        <v>697375</v>
      </c>
    </row>
    <row r="365" spans="1:14" hidden="1">
      <c r="A365" t="s">
        <v>990</v>
      </c>
      <c r="B365" t="s">
        <v>971</v>
      </c>
      <c r="C365" t="s">
        <v>151</v>
      </c>
      <c r="D365" s="6">
        <v>60</v>
      </c>
      <c r="E365" t="s">
        <v>991</v>
      </c>
      <c r="F365" t="s">
        <v>69</v>
      </c>
      <c r="G365" t="s">
        <v>70</v>
      </c>
      <c r="H365" t="s">
        <v>992</v>
      </c>
      <c r="I365" s="5">
        <v>58800</v>
      </c>
      <c r="L365" s="5">
        <v>58800</v>
      </c>
      <c r="M365" s="5">
        <v>6300</v>
      </c>
      <c r="N365" s="5">
        <v>52500</v>
      </c>
    </row>
    <row r="366" spans="1:14" hidden="1">
      <c r="A366" t="s">
        <v>993</v>
      </c>
      <c r="B366" t="s">
        <v>971</v>
      </c>
      <c r="C366" t="s">
        <v>29</v>
      </c>
      <c r="D366" s="6">
        <v>0</v>
      </c>
      <c r="E366" t="s">
        <v>971</v>
      </c>
      <c r="F366" t="s">
        <v>139</v>
      </c>
      <c r="G366" t="s">
        <v>140</v>
      </c>
      <c r="H366" t="s">
        <v>994</v>
      </c>
      <c r="I366" s="5">
        <v>109780</v>
      </c>
      <c r="L366" s="5">
        <v>109780</v>
      </c>
      <c r="M366" s="5">
        <v>11762.14</v>
      </c>
      <c r="N366" s="5">
        <v>98017.86</v>
      </c>
    </row>
    <row r="367" spans="1:14" hidden="1">
      <c r="A367" t="s">
        <v>995</v>
      </c>
      <c r="B367" t="s">
        <v>971</v>
      </c>
      <c r="C367" t="s">
        <v>60</v>
      </c>
      <c r="D367" s="6">
        <v>0</v>
      </c>
      <c r="E367" t="s">
        <v>971</v>
      </c>
      <c r="F367" t="s">
        <v>56</v>
      </c>
      <c r="G367" t="s">
        <v>996</v>
      </c>
      <c r="H367" t="s">
        <v>997</v>
      </c>
      <c r="I367" s="5">
        <v>233990</v>
      </c>
      <c r="L367" s="5">
        <v>233990</v>
      </c>
      <c r="M367" s="5">
        <v>25070.36</v>
      </c>
      <c r="N367" s="5">
        <v>208919.64</v>
      </c>
    </row>
    <row r="368" spans="1:14" hidden="1">
      <c r="A368" t="s">
        <v>998</v>
      </c>
      <c r="B368" t="s">
        <v>971</v>
      </c>
      <c r="C368" t="s">
        <v>146</v>
      </c>
      <c r="D368" s="6">
        <v>90</v>
      </c>
      <c r="E368" t="s">
        <v>986</v>
      </c>
      <c r="F368" t="s">
        <v>36</v>
      </c>
      <c r="G368" t="s">
        <v>754</v>
      </c>
      <c r="H368" t="s">
        <v>999</v>
      </c>
      <c r="I368" s="5">
        <v>752500</v>
      </c>
      <c r="L368" s="5">
        <v>752500</v>
      </c>
      <c r="M368" s="5">
        <v>80625</v>
      </c>
      <c r="N368" s="5">
        <v>671875</v>
      </c>
    </row>
    <row r="369" spans="1:14" hidden="1">
      <c r="A369" t="s">
        <v>1000</v>
      </c>
      <c r="B369" t="s">
        <v>971</v>
      </c>
      <c r="C369" t="s">
        <v>34</v>
      </c>
      <c r="D369" s="6">
        <v>60</v>
      </c>
      <c r="E369" t="s">
        <v>991</v>
      </c>
      <c r="F369" t="s">
        <v>19</v>
      </c>
      <c r="G369" t="s">
        <v>287</v>
      </c>
      <c r="H369" t="s">
        <v>1001</v>
      </c>
      <c r="I369" s="5">
        <v>25200</v>
      </c>
      <c r="L369" s="5">
        <v>25200</v>
      </c>
      <c r="M369" s="5">
        <v>2700</v>
      </c>
      <c r="N369" s="5">
        <v>22500</v>
      </c>
    </row>
    <row r="370" spans="1:14" hidden="1">
      <c r="A370" t="s">
        <v>1002</v>
      </c>
      <c r="B370" t="s">
        <v>971</v>
      </c>
      <c r="C370" t="s">
        <v>60</v>
      </c>
      <c r="D370" s="6">
        <v>0</v>
      </c>
      <c r="E370" t="s">
        <v>971</v>
      </c>
      <c r="F370" t="s">
        <v>56</v>
      </c>
      <c r="G370" t="s">
        <v>1003</v>
      </c>
      <c r="H370" t="s">
        <v>1004</v>
      </c>
      <c r="I370" s="5">
        <v>1328544</v>
      </c>
      <c r="L370" s="5">
        <v>1328544</v>
      </c>
      <c r="M370" s="5">
        <v>142344</v>
      </c>
      <c r="N370" s="5">
        <v>1186200</v>
      </c>
    </row>
    <row r="371" spans="1:14" hidden="1">
      <c r="A371" t="s">
        <v>1005</v>
      </c>
      <c r="B371" t="s">
        <v>971</v>
      </c>
      <c r="C371" t="s">
        <v>60</v>
      </c>
      <c r="D371" s="6">
        <v>0</v>
      </c>
      <c r="E371" t="s">
        <v>971</v>
      </c>
      <c r="F371" t="s">
        <v>56</v>
      </c>
      <c r="G371" t="s">
        <v>1006</v>
      </c>
      <c r="H371" t="s">
        <v>1007</v>
      </c>
      <c r="I371" s="5">
        <v>78544</v>
      </c>
      <c r="L371" s="5">
        <v>78544</v>
      </c>
      <c r="M371" s="5">
        <v>8415.43</v>
      </c>
      <c r="N371" s="5">
        <v>70128.570000000007</v>
      </c>
    </row>
    <row r="372" spans="1:14" hidden="1">
      <c r="A372" t="s">
        <v>1008</v>
      </c>
      <c r="B372" t="s">
        <v>971</v>
      </c>
      <c r="C372" t="s">
        <v>104</v>
      </c>
      <c r="D372" s="6">
        <v>0</v>
      </c>
      <c r="E372" t="s">
        <v>971</v>
      </c>
      <c r="F372" t="s">
        <v>105</v>
      </c>
      <c r="G372" t="s">
        <v>274</v>
      </c>
      <c r="H372" t="s">
        <v>1009</v>
      </c>
      <c r="I372" s="5">
        <v>148747</v>
      </c>
      <c r="J372" s="4">
        <v>-2974.94</v>
      </c>
      <c r="L372" s="5">
        <v>145772.06</v>
      </c>
      <c r="M372" s="5">
        <v>15618.44</v>
      </c>
      <c r="N372" s="5">
        <v>130153.62</v>
      </c>
    </row>
    <row r="373" spans="1:14" hidden="1">
      <c r="A373" t="s">
        <v>1010</v>
      </c>
      <c r="B373" t="s">
        <v>971</v>
      </c>
      <c r="C373" t="s">
        <v>1011</v>
      </c>
      <c r="D373" s="6">
        <v>60</v>
      </c>
      <c r="E373" t="s">
        <v>991</v>
      </c>
      <c r="F373" t="s">
        <v>56</v>
      </c>
      <c r="G373" t="s">
        <v>1012</v>
      </c>
      <c r="H373" t="s">
        <v>1013</v>
      </c>
      <c r="I373" s="5">
        <v>168032</v>
      </c>
      <c r="L373" s="5">
        <v>168032</v>
      </c>
      <c r="M373" s="5">
        <v>18003.43</v>
      </c>
      <c r="N373" s="5">
        <v>150028.57</v>
      </c>
    </row>
    <row r="374" spans="1:14" hidden="1">
      <c r="A374" t="s">
        <v>1014</v>
      </c>
      <c r="B374" t="s">
        <v>971</v>
      </c>
      <c r="C374" t="s">
        <v>146</v>
      </c>
      <c r="D374" s="6">
        <v>90</v>
      </c>
      <c r="E374" t="s">
        <v>986</v>
      </c>
      <c r="F374" t="s">
        <v>69</v>
      </c>
      <c r="G374" t="s">
        <v>663</v>
      </c>
      <c r="H374" t="s">
        <v>1015</v>
      </c>
      <c r="I374" s="5">
        <v>367567.2</v>
      </c>
      <c r="L374" s="5">
        <v>367567.2</v>
      </c>
      <c r="M374" s="5">
        <v>39382.199999999997</v>
      </c>
      <c r="N374" s="5">
        <v>328185</v>
      </c>
    </row>
    <row r="375" spans="1:14" hidden="1">
      <c r="A375" t="s">
        <v>1016</v>
      </c>
      <c r="B375" t="s">
        <v>971</v>
      </c>
      <c r="C375" t="s">
        <v>1011</v>
      </c>
      <c r="D375" s="6">
        <v>60</v>
      </c>
      <c r="E375" t="s">
        <v>991</v>
      </c>
      <c r="F375" t="s">
        <v>56</v>
      </c>
      <c r="G375" t="s">
        <v>1012</v>
      </c>
      <c r="H375" t="s">
        <v>1017</v>
      </c>
      <c r="I375" s="5">
        <v>135474</v>
      </c>
      <c r="L375" s="5">
        <v>135474</v>
      </c>
      <c r="M375" s="5">
        <v>14515.07</v>
      </c>
      <c r="N375" s="5">
        <v>120958.93</v>
      </c>
    </row>
    <row r="376" spans="1:14" hidden="1">
      <c r="A376" t="s">
        <v>1018</v>
      </c>
      <c r="B376" t="s">
        <v>971</v>
      </c>
      <c r="C376" t="s">
        <v>1011</v>
      </c>
      <c r="D376" s="6">
        <v>60</v>
      </c>
      <c r="E376" t="s">
        <v>991</v>
      </c>
      <c r="F376" t="s">
        <v>56</v>
      </c>
      <c r="G376" t="s">
        <v>1012</v>
      </c>
      <c r="H376" t="s">
        <v>1019</v>
      </c>
      <c r="I376" s="5">
        <v>75614</v>
      </c>
      <c r="L376" s="5">
        <v>75614</v>
      </c>
      <c r="M376" s="5">
        <v>8101.5</v>
      </c>
      <c r="N376" s="5">
        <v>67512.5</v>
      </c>
    </row>
    <row r="377" spans="1:14" hidden="1">
      <c r="A377" t="s">
        <v>1020</v>
      </c>
      <c r="B377" t="s">
        <v>971</v>
      </c>
      <c r="C377" t="s">
        <v>1011</v>
      </c>
      <c r="D377" s="6">
        <v>60</v>
      </c>
      <c r="E377" t="s">
        <v>991</v>
      </c>
      <c r="F377" t="s">
        <v>56</v>
      </c>
      <c r="G377" t="s">
        <v>1012</v>
      </c>
      <c r="H377" t="s">
        <v>1021</v>
      </c>
      <c r="I377" s="5">
        <v>168032</v>
      </c>
      <c r="L377" s="5">
        <v>168032</v>
      </c>
      <c r="M377" s="5">
        <v>18003.43</v>
      </c>
      <c r="N377" s="5">
        <v>150028.57</v>
      </c>
    </row>
    <row r="378" spans="1:14" hidden="1">
      <c r="A378" t="s">
        <v>1022</v>
      </c>
      <c r="B378" t="s">
        <v>971</v>
      </c>
      <c r="C378" t="s">
        <v>162</v>
      </c>
      <c r="D378" s="6">
        <v>90</v>
      </c>
      <c r="E378" t="s">
        <v>986</v>
      </c>
      <c r="F378" t="s">
        <v>19</v>
      </c>
      <c r="G378" t="s">
        <v>543</v>
      </c>
      <c r="H378" t="s">
        <v>1023</v>
      </c>
      <c r="I378" s="5">
        <v>386992</v>
      </c>
      <c r="L378" s="5">
        <v>386992</v>
      </c>
      <c r="M378" s="5">
        <v>41463.43</v>
      </c>
      <c r="N378" s="5">
        <v>345528.57</v>
      </c>
    </row>
    <row r="379" spans="1:14" hidden="1">
      <c r="A379" t="s">
        <v>1024</v>
      </c>
      <c r="B379" t="s">
        <v>971</v>
      </c>
      <c r="C379" t="s">
        <v>151</v>
      </c>
      <c r="D379" s="6">
        <v>60</v>
      </c>
      <c r="E379" t="s">
        <v>991</v>
      </c>
      <c r="F379" t="s">
        <v>69</v>
      </c>
      <c r="G379" t="s">
        <v>1025</v>
      </c>
      <c r="H379" t="s">
        <v>1026</v>
      </c>
      <c r="I379" s="5">
        <v>28145</v>
      </c>
      <c r="L379" s="5">
        <v>28145</v>
      </c>
      <c r="M379" s="5">
        <v>3015.54</v>
      </c>
      <c r="N379" s="5">
        <v>25129.46</v>
      </c>
    </row>
    <row r="380" spans="1:14" hidden="1">
      <c r="A380" t="s">
        <v>1027</v>
      </c>
      <c r="B380" t="s">
        <v>971</v>
      </c>
      <c r="C380" t="s">
        <v>151</v>
      </c>
      <c r="D380" s="6">
        <v>60</v>
      </c>
      <c r="E380" t="s">
        <v>991</v>
      </c>
      <c r="F380" t="s">
        <v>69</v>
      </c>
      <c r="G380" t="s">
        <v>1025</v>
      </c>
      <c r="H380" t="s">
        <v>1028</v>
      </c>
      <c r="I380" s="5">
        <v>54780</v>
      </c>
      <c r="L380" s="5">
        <v>54780</v>
      </c>
      <c r="M380" s="5">
        <v>5869.29</v>
      </c>
      <c r="N380" s="5">
        <v>48910.71</v>
      </c>
    </row>
    <row r="381" spans="1:14" hidden="1">
      <c r="A381" t="s">
        <v>1029</v>
      </c>
      <c r="B381" t="s">
        <v>971</v>
      </c>
      <c r="C381" t="s">
        <v>151</v>
      </c>
      <c r="D381" s="6">
        <v>60</v>
      </c>
      <c r="E381" t="s">
        <v>991</v>
      </c>
      <c r="F381" t="s">
        <v>69</v>
      </c>
      <c r="G381" t="s">
        <v>1025</v>
      </c>
      <c r="H381" t="s">
        <v>1030</v>
      </c>
      <c r="I381" s="5">
        <v>21925</v>
      </c>
      <c r="L381" s="5">
        <v>21925</v>
      </c>
      <c r="M381" s="5">
        <v>2349.11</v>
      </c>
      <c r="N381" s="5">
        <v>19575.89</v>
      </c>
    </row>
    <row r="382" spans="1:14" hidden="1">
      <c r="A382" t="s">
        <v>1031</v>
      </c>
      <c r="B382" t="s">
        <v>971</v>
      </c>
      <c r="C382" t="s">
        <v>237</v>
      </c>
      <c r="D382" s="6">
        <v>60</v>
      </c>
      <c r="E382" t="s">
        <v>991</v>
      </c>
      <c r="F382" t="s">
        <v>69</v>
      </c>
      <c r="G382" t="s">
        <v>1025</v>
      </c>
      <c r="H382" t="s">
        <v>1032</v>
      </c>
      <c r="I382" s="5">
        <v>98130</v>
      </c>
      <c r="L382" s="5">
        <v>98130</v>
      </c>
      <c r="M382" s="5">
        <v>10513.93</v>
      </c>
      <c r="N382" s="5">
        <v>87616.07</v>
      </c>
    </row>
    <row r="383" spans="1:14" hidden="1">
      <c r="A383" t="s">
        <v>1033</v>
      </c>
      <c r="B383" t="s">
        <v>971</v>
      </c>
      <c r="C383" t="s">
        <v>60</v>
      </c>
      <c r="D383" s="6">
        <v>0</v>
      </c>
      <c r="E383" t="s">
        <v>971</v>
      </c>
      <c r="F383" t="s">
        <v>56</v>
      </c>
      <c r="G383" t="s">
        <v>190</v>
      </c>
      <c r="H383" t="s">
        <v>1034</v>
      </c>
      <c r="I383" s="5">
        <v>165070.72</v>
      </c>
      <c r="L383" s="5">
        <v>165070.72</v>
      </c>
      <c r="M383" s="5">
        <v>17686.150000000001</v>
      </c>
      <c r="N383" s="5">
        <v>147384.57</v>
      </c>
    </row>
    <row r="384" spans="1:14" hidden="1">
      <c r="A384" t="s">
        <v>1035</v>
      </c>
      <c r="B384" t="s">
        <v>971</v>
      </c>
      <c r="C384" t="s">
        <v>162</v>
      </c>
      <c r="D384" s="6">
        <v>90</v>
      </c>
      <c r="E384" t="s">
        <v>986</v>
      </c>
      <c r="F384" t="s">
        <v>36</v>
      </c>
      <c r="G384" t="s">
        <v>193</v>
      </c>
      <c r="H384" t="s">
        <v>1036</v>
      </c>
      <c r="I384" s="5">
        <v>69000</v>
      </c>
      <c r="L384" s="5">
        <v>69000</v>
      </c>
      <c r="M384" s="5">
        <v>7392.86</v>
      </c>
      <c r="N384" s="5">
        <v>61607.14</v>
      </c>
    </row>
    <row r="385" spans="1:14" hidden="1">
      <c r="A385" t="s">
        <v>1037</v>
      </c>
      <c r="B385" t="s">
        <v>971</v>
      </c>
      <c r="C385" t="s">
        <v>146</v>
      </c>
      <c r="D385" s="6">
        <v>90</v>
      </c>
      <c r="E385" t="s">
        <v>986</v>
      </c>
      <c r="F385" t="s">
        <v>139</v>
      </c>
      <c r="G385" t="s">
        <v>1038</v>
      </c>
      <c r="H385" t="s">
        <v>1039</v>
      </c>
      <c r="I385" s="5">
        <v>297555</v>
      </c>
      <c r="L385" s="5">
        <v>297555</v>
      </c>
      <c r="M385" s="5">
        <v>31880.89</v>
      </c>
      <c r="N385" s="5">
        <v>265674.11</v>
      </c>
    </row>
    <row r="386" spans="1:14" hidden="1">
      <c r="A386" t="s">
        <v>1040</v>
      </c>
      <c r="B386" t="s">
        <v>971</v>
      </c>
      <c r="C386" t="s">
        <v>146</v>
      </c>
      <c r="D386" s="6">
        <v>90</v>
      </c>
      <c r="E386" t="s">
        <v>986</v>
      </c>
      <c r="F386" t="s">
        <v>139</v>
      </c>
      <c r="G386" t="s">
        <v>1038</v>
      </c>
      <c r="H386" t="s">
        <v>1041</v>
      </c>
      <c r="I386" s="5">
        <v>768251</v>
      </c>
      <c r="L386" s="5">
        <v>768251</v>
      </c>
      <c r="M386" s="5">
        <v>82312.61</v>
      </c>
      <c r="N386" s="5">
        <v>685938.39</v>
      </c>
    </row>
    <row r="387" spans="1:14" hidden="1">
      <c r="A387" t="s">
        <v>1042</v>
      </c>
      <c r="B387" t="s">
        <v>971</v>
      </c>
      <c r="C387" t="s">
        <v>94</v>
      </c>
      <c r="D387" s="6">
        <v>0</v>
      </c>
      <c r="E387" t="s">
        <v>971</v>
      </c>
      <c r="F387" t="s">
        <v>139</v>
      </c>
      <c r="G387" t="s">
        <v>1043</v>
      </c>
      <c r="H387" t="s">
        <v>1044</v>
      </c>
      <c r="I387" s="5">
        <v>166626.75</v>
      </c>
      <c r="L387" s="5">
        <v>166626.75</v>
      </c>
      <c r="M387" s="5">
        <v>17852.87</v>
      </c>
      <c r="N387" s="5">
        <v>148773.88</v>
      </c>
    </row>
    <row r="388" spans="1:14" hidden="1">
      <c r="A388" t="s">
        <v>1045</v>
      </c>
      <c r="B388" t="s">
        <v>971</v>
      </c>
      <c r="C388" t="s">
        <v>18</v>
      </c>
      <c r="D388" s="6">
        <v>0</v>
      </c>
      <c r="E388" t="s">
        <v>971</v>
      </c>
      <c r="F388" t="s">
        <v>56</v>
      </c>
      <c r="G388" t="s">
        <v>412</v>
      </c>
      <c r="H388" t="s">
        <v>1046</v>
      </c>
      <c r="I388" s="5">
        <v>965019</v>
      </c>
      <c r="J388" s="4">
        <v>-28950.57</v>
      </c>
      <c r="L388" s="5">
        <v>936068.43</v>
      </c>
      <c r="M388" s="5">
        <v>100293.05</v>
      </c>
      <c r="N388" s="5">
        <v>835775.38</v>
      </c>
    </row>
    <row r="389" spans="1:14" s="10" customFormat="1" hidden="1">
      <c r="A389" s="10" t="s">
        <v>1047</v>
      </c>
      <c r="B389" s="10" t="s">
        <v>1048</v>
      </c>
      <c r="C389" s="10" t="s">
        <v>60</v>
      </c>
      <c r="D389" s="11">
        <v>0</v>
      </c>
      <c r="E389" s="10" t="s">
        <v>1048</v>
      </c>
      <c r="F389" s="10" t="s">
        <v>139</v>
      </c>
      <c r="G389" s="10" t="s">
        <v>449</v>
      </c>
      <c r="H389" s="10" t="s">
        <v>1049</v>
      </c>
      <c r="I389" s="9">
        <v>17072</v>
      </c>
      <c r="L389" s="9">
        <v>17072</v>
      </c>
      <c r="M389" s="9">
        <v>1829.14</v>
      </c>
      <c r="N389" s="9">
        <v>15242.86</v>
      </c>
    </row>
    <row r="390" spans="1:14" s="10" customFormat="1" hidden="1">
      <c r="A390" s="10" t="s">
        <v>1050</v>
      </c>
      <c r="B390" s="10" t="s">
        <v>1048</v>
      </c>
      <c r="C390" s="10" t="s">
        <v>60</v>
      </c>
      <c r="D390" s="11">
        <v>0</v>
      </c>
      <c r="E390" s="10" t="s">
        <v>1048</v>
      </c>
      <c r="F390" s="10" t="s">
        <v>139</v>
      </c>
      <c r="G390" s="10" t="s">
        <v>449</v>
      </c>
      <c r="H390" s="10" t="s">
        <v>1051</v>
      </c>
      <c r="I390" s="9">
        <v>17020</v>
      </c>
      <c r="L390" s="9">
        <v>17020</v>
      </c>
      <c r="M390" s="9">
        <v>1823.57</v>
      </c>
      <c r="N390" s="9">
        <v>15196.43</v>
      </c>
    </row>
    <row r="391" spans="1:14" hidden="1">
      <c r="A391" t="s">
        <v>1052</v>
      </c>
      <c r="B391" t="s">
        <v>1048</v>
      </c>
      <c r="C391" t="s">
        <v>29</v>
      </c>
      <c r="D391" s="6">
        <v>0</v>
      </c>
      <c r="E391" t="s">
        <v>1048</v>
      </c>
      <c r="F391" t="s">
        <v>30</v>
      </c>
      <c r="G391" t="s">
        <v>31</v>
      </c>
      <c r="H391" t="s">
        <v>1053</v>
      </c>
      <c r="I391" s="5">
        <v>142620</v>
      </c>
      <c r="L391" s="5">
        <v>142620</v>
      </c>
      <c r="M391" s="5">
        <v>15280.71</v>
      </c>
      <c r="N391" s="5">
        <v>127339.29</v>
      </c>
    </row>
    <row r="392" spans="1:14" hidden="1">
      <c r="A392" t="s">
        <v>1054</v>
      </c>
      <c r="B392" t="s">
        <v>1048</v>
      </c>
      <c r="C392" t="s">
        <v>1055</v>
      </c>
      <c r="D392" s="6">
        <v>30</v>
      </c>
      <c r="E392" t="s">
        <v>1056</v>
      </c>
      <c r="F392" t="s">
        <v>56</v>
      </c>
      <c r="G392" t="s">
        <v>1057</v>
      </c>
      <c r="H392" t="s">
        <v>1058</v>
      </c>
      <c r="I392" s="5">
        <v>19740</v>
      </c>
      <c r="L392" s="5">
        <v>19740</v>
      </c>
      <c r="M392" s="5">
        <v>2115</v>
      </c>
      <c r="N392" s="5">
        <v>17625</v>
      </c>
    </row>
    <row r="393" spans="1:14" hidden="1">
      <c r="A393" t="s">
        <v>1059</v>
      </c>
      <c r="B393" t="s">
        <v>1048</v>
      </c>
      <c r="C393" t="s">
        <v>23</v>
      </c>
      <c r="D393" s="6">
        <v>30</v>
      </c>
      <c r="E393" t="s">
        <v>1056</v>
      </c>
      <c r="F393" t="s">
        <v>180</v>
      </c>
      <c r="G393" t="s">
        <v>224</v>
      </c>
      <c r="H393" t="s">
        <v>1060</v>
      </c>
      <c r="I393" s="5">
        <v>50400</v>
      </c>
      <c r="L393" s="5">
        <v>50400</v>
      </c>
      <c r="M393" s="5">
        <v>5400</v>
      </c>
      <c r="N393" s="5">
        <v>45000</v>
      </c>
    </row>
    <row r="394" spans="1:14" hidden="1">
      <c r="A394" t="s">
        <v>1061</v>
      </c>
      <c r="B394" t="s">
        <v>1048</v>
      </c>
      <c r="C394" t="s">
        <v>23</v>
      </c>
      <c r="D394" s="6">
        <v>30</v>
      </c>
      <c r="E394" t="s">
        <v>1056</v>
      </c>
      <c r="F394" t="s">
        <v>180</v>
      </c>
      <c r="G394" t="s">
        <v>224</v>
      </c>
      <c r="H394" t="s">
        <v>1062</v>
      </c>
      <c r="I394" s="5">
        <v>22900</v>
      </c>
      <c r="L394" s="5">
        <v>22900</v>
      </c>
      <c r="M394" s="5">
        <v>2453.5700000000002</v>
      </c>
      <c r="N394" s="5">
        <v>20446.43</v>
      </c>
    </row>
    <row r="395" spans="1:14" hidden="1">
      <c r="A395" t="s">
        <v>1063</v>
      </c>
      <c r="B395" t="s">
        <v>1048</v>
      </c>
      <c r="C395" t="s">
        <v>167</v>
      </c>
      <c r="D395" s="6">
        <v>90</v>
      </c>
      <c r="E395" t="s">
        <v>1064</v>
      </c>
      <c r="F395" t="s">
        <v>56</v>
      </c>
      <c r="G395" t="s">
        <v>190</v>
      </c>
      <c r="H395" t="s">
        <v>1065</v>
      </c>
      <c r="I395" s="5">
        <v>191136</v>
      </c>
      <c r="L395" s="5">
        <v>191136</v>
      </c>
      <c r="M395" s="5">
        <v>20478.86</v>
      </c>
      <c r="N395" s="5">
        <v>170657.14</v>
      </c>
    </row>
    <row r="396" spans="1:14" hidden="1">
      <c r="A396" t="s">
        <v>1066</v>
      </c>
      <c r="B396" t="s">
        <v>1048</v>
      </c>
      <c r="C396" t="s">
        <v>151</v>
      </c>
      <c r="D396" s="6">
        <v>60</v>
      </c>
      <c r="E396" t="s">
        <v>1067</v>
      </c>
      <c r="F396" t="s">
        <v>56</v>
      </c>
      <c r="G396" t="s">
        <v>152</v>
      </c>
      <c r="H396" t="s">
        <v>1068</v>
      </c>
      <c r="I396" s="5">
        <v>68700</v>
      </c>
      <c r="L396" s="5">
        <v>68700</v>
      </c>
      <c r="M396" s="5">
        <v>7360.71</v>
      </c>
      <c r="N396" s="5">
        <v>61339.29</v>
      </c>
    </row>
    <row r="397" spans="1:14" hidden="1">
      <c r="A397" t="s">
        <v>1069</v>
      </c>
      <c r="B397" t="s">
        <v>1048</v>
      </c>
      <c r="C397" t="s">
        <v>151</v>
      </c>
      <c r="D397" s="6">
        <v>60</v>
      </c>
      <c r="E397" t="s">
        <v>1067</v>
      </c>
      <c r="F397" t="s">
        <v>56</v>
      </c>
      <c r="G397" t="s">
        <v>152</v>
      </c>
      <c r="H397" t="s">
        <v>1070</v>
      </c>
      <c r="I397" s="5">
        <v>7841</v>
      </c>
      <c r="L397" s="5">
        <v>7841</v>
      </c>
      <c r="M397" s="7">
        <v>840.11</v>
      </c>
      <c r="N397" s="5">
        <v>7000.89</v>
      </c>
    </row>
    <row r="398" spans="1:14" hidden="1">
      <c r="A398" t="s">
        <v>1071</v>
      </c>
      <c r="B398" t="s">
        <v>1048</v>
      </c>
      <c r="C398" t="s">
        <v>60</v>
      </c>
      <c r="D398" s="6">
        <v>0</v>
      </c>
      <c r="E398" t="s">
        <v>1048</v>
      </c>
      <c r="F398" t="s">
        <v>46</v>
      </c>
      <c r="G398" t="s">
        <v>129</v>
      </c>
      <c r="H398" t="s">
        <v>1072</v>
      </c>
      <c r="I398" s="5">
        <v>67468</v>
      </c>
      <c r="J398" s="4">
        <v>-1349.36</v>
      </c>
      <c r="L398" s="5">
        <v>66118.64</v>
      </c>
      <c r="M398" s="5">
        <v>7084.14</v>
      </c>
      <c r="N398" s="5">
        <v>59034.5</v>
      </c>
    </row>
    <row r="399" spans="1:14" hidden="1">
      <c r="A399" t="s">
        <v>1073</v>
      </c>
      <c r="B399" t="s">
        <v>1048</v>
      </c>
      <c r="C399" t="s">
        <v>1074</v>
      </c>
      <c r="D399" s="6">
        <v>0</v>
      </c>
      <c r="E399" t="s">
        <v>1048</v>
      </c>
      <c r="F399" t="s">
        <v>56</v>
      </c>
      <c r="G399" t="s">
        <v>1075</v>
      </c>
      <c r="H399" t="s">
        <v>1076</v>
      </c>
      <c r="I399" s="5">
        <v>919820</v>
      </c>
      <c r="J399" s="4">
        <v>-18396.400000000001</v>
      </c>
      <c r="L399" s="5">
        <v>901423.6</v>
      </c>
      <c r="M399" s="5">
        <v>96581.1</v>
      </c>
      <c r="N399" s="5">
        <v>804842.5</v>
      </c>
    </row>
    <row r="400" spans="1:14" hidden="1">
      <c r="A400" t="s">
        <v>1077</v>
      </c>
      <c r="B400" t="s">
        <v>1048</v>
      </c>
      <c r="C400" t="s">
        <v>73</v>
      </c>
      <c r="D400" s="6">
        <v>30</v>
      </c>
      <c r="E400" t="s">
        <v>1056</v>
      </c>
      <c r="F400" t="s">
        <v>46</v>
      </c>
      <c r="G400" t="s">
        <v>1078</v>
      </c>
      <c r="H400" t="s">
        <v>1079</v>
      </c>
      <c r="I400" s="5">
        <v>138000</v>
      </c>
      <c r="L400" s="5">
        <v>138000</v>
      </c>
      <c r="M400" s="5">
        <v>14785.71</v>
      </c>
      <c r="N400" s="5">
        <v>123214.29</v>
      </c>
    </row>
    <row r="401" spans="1:14" hidden="1">
      <c r="A401" t="s">
        <v>1080</v>
      </c>
      <c r="B401" t="s">
        <v>1048</v>
      </c>
      <c r="C401" t="s">
        <v>73</v>
      </c>
      <c r="D401" s="6">
        <v>30</v>
      </c>
      <c r="E401" t="s">
        <v>1056</v>
      </c>
      <c r="F401" t="s">
        <v>46</v>
      </c>
      <c r="G401" t="s">
        <v>1078</v>
      </c>
      <c r="H401" t="s">
        <v>1081</v>
      </c>
      <c r="I401" s="5">
        <v>136000</v>
      </c>
      <c r="L401" s="5">
        <v>136000</v>
      </c>
      <c r="M401" s="5">
        <v>14571.43</v>
      </c>
      <c r="N401" s="5">
        <v>121428.57</v>
      </c>
    </row>
    <row r="402" spans="1:14" hidden="1">
      <c r="A402" t="s">
        <v>1082</v>
      </c>
      <c r="B402" t="s">
        <v>1048</v>
      </c>
      <c r="C402" t="s">
        <v>60</v>
      </c>
      <c r="D402" s="6">
        <v>0</v>
      </c>
      <c r="E402" t="s">
        <v>1048</v>
      </c>
      <c r="F402" t="s">
        <v>625</v>
      </c>
      <c r="G402" t="s">
        <v>1083</v>
      </c>
      <c r="H402" t="s">
        <v>1084</v>
      </c>
      <c r="I402" s="5">
        <v>94908</v>
      </c>
      <c r="J402" s="4">
        <v>-1898.16</v>
      </c>
      <c r="L402" s="5">
        <v>93009.84</v>
      </c>
      <c r="M402" s="5">
        <v>9965.34</v>
      </c>
      <c r="N402" s="5">
        <v>83044.5</v>
      </c>
    </row>
    <row r="403" spans="1:14" hidden="1">
      <c r="A403" t="s">
        <v>1085</v>
      </c>
      <c r="B403" t="s">
        <v>1048</v>
      </c>
      <c r="C403" t="s">
        <v>1074</v>
      </c>
      <c r="D403" s="6">
        <v>0</v>
      </c>
      <c r="E403" t="s">
        <v>1048</v>
      </c>
      <c r="F403" t="s">
        <v>56</v>
      </c>
      <c r="G403" t="s">
        <v>1075</v>
      </c>
      <c r="H403" t="s">
        <v>1076</v>
      </c>
      <c r="I403" s="5">
        <v>919820</v>
      </c>
      <c r="J403" s="4">
        <v>-18396.400000000001</v>
      </c>
      <c r="L403" s="5">
        <v>901423.6</v>
      </c>
      <c r="M403" s="5">
        <v>96581.1</v>
      </c>
      <c r="N403" s="5">
        <v>804842.5</v>
      </c>
    </row>
    <row r="404" spans="1:14" hidden="1">
      <c r="A404" t="s">
        <v>1086</v>
      </c>
      <c r="B404" t="s">
        <v>1048</v>
      </c>
      <c r="C404" t="s">
        <v>29</v>
      </c>
      <c r="D404" s="6">
        <v>0</v>
      </c>
      <c r="E404" t="s">
        <v>1048</v>
      </c>
      <c r="F404" t="s">
        <v>30</v>
      </c>
      <c r="G404" t="s">
        <v>31</v>
      </c>
      <c r="H404" t="s">
        <v>1087</v>
      </c>
      <c r="I404" s="5">
        <v>1840</v>
      </c>
      <c r="L404" s="5">
        <v>1840</v>
      </c>
      <c r="M404" s="7">
        <v>197.14</v>
      </c>
      <c r="N404" s="5">
        <v>1642.86</v>
      </c>
    </row>
    <row r="405" spans="1:14" hidden="1">
      <c r="A405" t="s">
        <v>1088</v>
      </c>
      <c r="B405" t="s">
        <v>1048</v>
      </c>
      <c r="C405" t="s">
        <v>29</v>
      </c>
      <c r="D405" s="6">
        <v>0</v>
      </c>
      <c r="E405" t="s">
        <v>1048</v>
      </c>
      <c r="F405" t="s">
        <v>30</v>
      </c>
      <c r="G405" t="s">
        <v>155</v>
      </c>
      <c r="H405" t="s">
        <v>1089</v>
      </c>
      <c r="I405" s="5">
        <v>39208</v>
      </c>
      <c r="L405" s="5">
        <v>39208</v>
      </c>
      <c r="M405" s="5">
        <v>4200.8599999999997</v>
      </c>
      <c r="N405" s="5">
        <v>35007.14</v>
      </c>
    </row>
    <row r="406" spans="1:14" hidden="1">
      <c r="A406" t="s">
        <v>1090</v>
      </c>
      <c r="B406" t="s">
        <v>1048</v>
      </c>
      <c r="C406" t="s">
        <v>29</v>
      </c>
      <c r="D406" s="6">
        <v>0</v>
      </c>
      <c r="E406" t="s">
        <v>1048</v>
      </c>
      <c r="F406" t="s">
        <v>30</v>
      </c>
      <c r="G406" t="s">
        <v>31</v>
      </c>
      <c r="H406" t="s">
        <v>1091</v>
      </c>
      <c r="I406" s="5">
        <v>244000</v>
      </c>
      <c r="L406" s="5">
        <v>244000</v>
      </c>
      <c r="M406" s="5">
        <v>26142.86</v>
      </c>
      <c r="N406" s="5">
        <v>217857.14</v>
      </c>
    </row>
    <row r="407" spans="1:14" hidden="1">
      <c r="A407" t="s">
        <v>1092</v>
      </c>
      <c r="B407" t="s">
        <v>1048</v>
      </c>
      <c r="C407" t="s">
        <v>60</v>
      </c>
      <c r="D407" s="6">
        <v>0</v>
      </c>
      <c r="E407" t="s">
        <v>1048</v>
      </c>
      <c r="F407" t="s">
        <v>1093</v>
      </c>
      <c r="G407" t="s">
        <v>1094</v>
      </c>
      <c r="H407" t="s">
        <v>1095</v>
      </c>
      <c r="I407" s="5">
        <v>220540</v>
      </c>
      <c r="L407" s="5">
        <v>220540</v>
      </c>
      <c r="M407" s="5">
        <v>23629.29</v>
      </c>
      <c r="N407" s="5">
        <v>196910.71</v>
      </c>
    </row>
    <row r="408" spans="1:14" hidden="1">
      <c r="A408" t="s">
        <v>1096</v>
      </c>
      <c r="B408" t="s">
        <v>1048</v>
      </c>
      <c r="C408" t="s">
        <v>60</v>
      </c>
      <c r="D408" s="6">
        <v>0</v>
      </c>
      <c r="E408" t="s">
        <v>1048</v>
      </c>
      <c r="F408" t="s">
        <v>139</v>
      </c>
      <c r="G408" t="s">
        <v>1097</v>
      </c>
      <c r="H408" t="s">
        <v>1098</v>
      </c>
      <c r="I408" s="5">
        <v>106000</v>
      </c>
      <c r="L408" s="5">
        <v>106000</v>
      </c>
      <c r="M408" s="5">
        <v>11357.14</v>
      </c>
      <c r="N408" s="5">
        <v>94642.86</v>
      </c>
    </row>
    <row r="409" spans="1:14" hidden="1">
      <c r="A409" t="s">
        <v>1099</v>
      </c>
      <c r="B409" t="s">
        <v>1048</v>
      </c>
      <c r="C409" t="s">
        <v>60</v>
      </c>
      <c r="D409" s="6">
        <v>0</v>
      </c>
      <c r="E409" t="s">
        <v>1048</v>
      </c>
      <c r="F409" t="s">
        <v>139</v>
      </c>
      <c r="G409" t="s">
        <v>1097</v>
      </c>
      <c r="H409" t="s">
        <v>1100</v>
      </c>
      <c r="I409" s="5">
        <v>265000</v>
      </c>
      <c r="L409" s="5">
        <v>265000</v>
      </c>
      <c r="M409" s="5">
        <v>28392.86</v>
      </c>
      <c r="N409" s="5">
        <v>236607.14</v>
      </c>
    </row>
    <row r="410" spans="1:14" hidden="1">
      <c r="A410" t="s">
        <v>1101</v>
      </c>
      <c r="B410" t="s">
        <v>1048</v>
      </c>
      <c r="C410" t="s">
        <v>1102</v>
      </c>
      <c r="D410" s="6">
        <v>60</v>
      </c>
      <c r="E410" t="s">
        <v>1067</v>
      </c>
      <c r="F410" t="s">
        <v>46</v>
      </c>
      <c r="G410" t="s">
        <v>787</v>
      </c>
      <c r="H410" t="s">
        <v>1103</v>
      </c>
      <c r="I410" s="5">
        <v>970898</v>
      </c>
      <c r="L410" s="5">
        <v>970898</v>
      </c>
      <c r="M410" s="5">
        <v>104024.79</v>
      </c>
      <c r="N410" s="5">
        <v>866873.21</v>
      </c>
    </row>
    <row r="411" spans="1:14" hidden="1">
      <c r="A411" t="s">
        <v>1104</v>
      </c>
      <c r="B411" t="s">
        <v>1048</v>
      </c>
      <c r="C411" t="s">
        <v>73</v>
      </c>
      <c r="D411" s="6">
        <v>30</v>
      </c>
      <c r="E411" t="s">
        <v>1056</v>
      </c>
      <c r="F411" t="s">
        <v>19</v>
      </c>
      <c r="G411" t="s">
        <v>267</v>
      </c>
      <c r="H411" t="s">
        <v>1105</v>
      </c>
      <c r="I411" s="5">
        <v>204680</v>
      </c>
      <c r="K411" s="5">
        <v>17000</v>
      </c>
      <c r="L411" s="5">
        <v>221680</v>
      </c>
      <c r="M411" s="5">
        <v>23751.43</v>
      </c>
      <c r="N411" s="5">
        <v>197928.57</v>
      </c>
    </row>
    <row r="412" spans="1:14" hidden="1">
      <c r="A412" t="s">
        <v>1106</v>
      </c>
      <c r="B412" t="s">
        <v>1048</v>
      </c>
      <c r="C412" t="s">
        <v>73</v>
      </c>
      <c r="D412" s="6">
        <v>30</v>
      </c>
      <c r="E412" t="s">
        <v>1056</v>
      </c>
      <c r="F412" t="s">
        <v>19</v>
      </c>
      <c r="G412" t="s">
        <v>267</v>
      </c>
      <c r="H412" t="s">
        <v>1107</v>
      </c>
      <c r="I412" s="5">
        <v>12040</v>
      </c>
      <c r="L412" s="5">
        <v>12040</v>
      </c>
      <c r="M412" s="5">
        <v>1290</v>
      </c>
      <c r="N412" s="5">
        <v>10750</v>
      </c>
    </row>
    <row r="413" spans="1:14" hidden="1">
      <c r="A413" t="s">
        <v>1108</v>
      </c>
      <c r="B413" t="s">
        <v>1048</v>
      </c>
      <c r="C413" t="s">
        <v>73</v>
      </c>
      <c r="D413" s="6">
        <v>30</v>
      </c>
      <c r="E413" t="s">
        <v>1056</v>
      </c>
      <c r="F413" t="s">
        <v>56</v>
      </c>
      <c r="G413" t="s">
        <v>1109</v>
      </c>
      <c r="H413" t="s">
        <v>1110</v>
      </c>
      <c r="I413" s="5">
        <v>812880</v>
      </c>
      <c r="L413" s="5">
        <v>812880</v>
      </c>
      <c r="M413" s="5">
        <v>87094.29</v>
      </c>
      <c r="N413" s="5">
        <v>725785.71</v>
      </c>
    </row>
    <row r="414" spans="1:14" hidden="1">
      <c r="A414" t="s">
        <v>1111</v>
      </c>
      <c r="B414" t="s">
        <v>1048</v>
      </c>
      <c r="C414" t="s">
        <v>73</v>
      </c>
      <c r="D414" s="6">
        <v>30</v>
      </c>
      <c r="E414" t="s">
        <v>1056</v>
      </c>
      <c r="F414" t="s">
        <v>56</v>
      </c>
      <c r="G414" t="s">
        <v>1109</v>
      </c>
      <c r="H414" t="s">
        <v>1112</v>
      </c>
      <c r="I414" s="5">
        <v>1129000</v>
      </c>
      <c r="L414" s="5">
        <v>1129000</v>
      </c>
      <c r="M414" s="5">
        <v>120964.29</v>
      </c>
      <c r="N414" s="5">
        <v>1008035.71</v>
      </c>
    </row>
    <row r="415" spans="1:14" hidden="1">
      <c r="A415" t="s">
        <v>1113</v>
      </c>
      <c r="B415" t="s">
        <v>1048</v>
      </c>
      <c r="C415" t="s">
        <v>73</v>
      </c>
      <c r="D415" s="6">
        <v>30</v>
      </c>
      <c r="E415" t="s">
        <v>1056</v>
      </c>
      <c r="F415" t="s">
        <v>105</v>
      </c>
      <c r="G415" t="s">
        <v>1114</v>
      </c>
      <c r="H415" t="s">
        <v>1115</v>
      </c>
      <c r="I415" s="5">
        <v>371089</v>
      </c>
      <c r="L415" s="5">
        <v>371089</v>
      </c>
      <c r="M415" s="5">
        <v>39759.54</v>
      </c>
      <c r="N415" s="5">
        <v>331329.46000000002</v>
      </c>
    </row>
    <row r="416" spans="1:14" hidden="1">
      <c r="A416" t="s">
        <v>1116</v>
      </c>
      <c r="B416" t="s">
        <v>1117</v>
      </c>
      <c r="C416" t="s">
        <v>333</v>
      </c>
      <c r="D416" s="6">
        <v>30</v>
      </c>
      <c r="E416" t="s">
        <v>1118</v>
      </c>
      <c r="F416" t="s">
        <v>270</v>
      </c>
      <c r="G416" t="s">
        <v>1119</v>
      </c>
      <c r="H416" t="s">
        <v>1120</v>
      </c>
      <c r="I416" s="5">
        <v>1585</v>
      </c>
      <c r="L416" s="5">
        <v>1585</v>
      </c>
      <c r="M416" s="7">
        <v>169.82</v>
      </c>
      <c r="N416" s="5">
        <v>1415.18</v>
      </c>
    </row>
    <row r="417" spans="1:14" hidden="1">
      <c r="A417" t="s">
        <v>1121</v>
      </c>
      <c r="B417" t="s">
        <v>1117</v>
      </c>
      <c r="C417" t="s">
        <v>18</v>
      </c>
      <c r="D417" s="6">
        <v>0</v>
      </c>
      <c r="E417" t="s">
        <v>1117</v>
      </c>
      <c r="F417" t="s">
        <v>46</v>
      </c>
      <c r="G417" t="s">
        <v>1122</v>
      </c>
      <c r="H417" t="s">
        <v>1123</v>
      </c>
      <c r="I417" s="5">
        <v>70950</v>
      </c>
      <c r="L417" s="5">
        <v>70950</v>
      </c>
      <c r="M417" s="5">
        <v>7601.79</v>
      </c>
      <c r="N417" s="5">
        <v>63348.21</v>
      </c>
    </row>
    <row r="418" spans="1:14" hidden="1">
      <c r="A418" t="s">
        <v>1124</v>
      </c>
      <c r="B418" t="s">
        <v>1117</v>
      </c>
      <c r="C418" t="s">
        <v>333</v>
      </c>
      <c r="D418" s="6">
        <v>30</v>
      </c>
      <c r="E418" t="s">
        <v>1118</v>
      </c>
      <c r="F418" t="s">
        <v>270</v>
      </c>
      <c r="G418" t="s">
        <v>1119</v>
      </c>
      <c r="H418" t="s">
        <v>1125</v>
      </c>
      <c r="I418" s="5">
        <v>95426</v>
      </c>
      <c r="L418" s="5">
        <v>95426</v>
      </c>
      <c r="M418" s="5">
        <v>10224.209999999999</v>
      </c>
      <c r="N418" s="5">
        <v>85201.79</v>
      </c>
    </row>
    <row r="419" spans="1:14" hidden="1">
      <c r="A419" t="s">
        <v>1126</v>
      </c>
      <c r="B419" t="s">
        <v>1117</v>
      </c>
      <c r="C419" t="s">
        <v>18</v>
      </c>
      <c r="D419" s="6">
        <v>0</v>
      </c>
      <c r="E419" t="s">
        <v>1117</v>
      </c>
      <c r="F419" t="s">
        <v>56</v>
      </c>
      <c r="G419" t="s">
        <v>1127</v>
      </c>
      <c r="H419" t="s">
        <v>1128</v>
      </c>
      <c r="I419" s="5">
        <v>124768</v>
      </c>
      <c r="J419" s="4">
        <v>-2495.36</v>
      </c>
      <c r="L419" s="5">
        <v>122272.64</v>
      </c>
      <c r="M419" s="5">
        <v>13100.64</v>
      </c>
      <c r="N419" s="5">
        <v>109172</v>
      </c>
    </row>
    <row r="420" spans="1:14" hidden="1">
      <c r="A420" t="s">
        <v>1129</v>
      </c>
      <c r="B420" t="s">
        <v>1117</v>
      </c>
      <c r="C420" t="s">
        <v>18</v>
      </c>
      <c r="D420" s="6">
        <v>0</v>
      </c>
      <c r="E420" t="s">
        <v>1117</v>
      </c>
      <c r="F420" t="s">
        <v>25</v>
      </c>
      <c r="G420" t="s">
        <v>1130</v>
      </c>
      <c r="H420" t="s">
        <v>1131</v>
      </c>
      <c r="I420" s="5">
        <v>104800</v>
      </c>
      <c r="L420" s="5">
        <v>104800</v>
      </c>
      <c r="M420" s="5">
        <v>11228.57</v>
      </c>
      <c r="N420" s="5">
        <v>93571.43</v>
      </c>
    </row>
    <row r="421" spans="1:14" hidden="1">
      <c r="A421" t="s">
        <v>1132</v>
      </c>
      <c r="B421" t="s">
        <v>1117</v>
      </c>
      <c r="C421" t="s">
        <v>333</v>
      </c>
      <c r="D421" s="6">
        <v>30</v>
      </c>
      <c r="E421" t="s">
        <v>1118</v>
      </c>
      <c r="F421" t="s">
        <v>270</v>
      </c>
      <c r="G421" t="s">
        <v>1119</v>
      </c>
      <c r="H421" t="s">
        <v>1133</v>
      </c>
      <c r="I421" s="5">
        <v>27400</v>
      </c>
      <c r="L421" s="5">
        <v>27400</v>
      </c>
      <c r="M421" s="5">
        <v>2935.71</v>
      </c>
      <c r="N421" s="5">
        <v>24464.29</v>
      </c>
    </row>
    <row r="422" spans="1:14" hidden="1">
      <c r="A422" t="s">
        <v>1134</v>
      </c>
      <c r="B422" t="s">
        <v>1117</v>
      </c>
      <c r="C422" t="s">
        <v>333</v>
      </c>
      <c r="D422" s="6">
        <v>30</v>
      </c>
      <c r="E422" t="s">
        <v>1118</v>
      </c>
      <c r="F422" t="s">
        <v>270</v>
      </c>
      <c r="G422" t="s">
        <v>334</v>
      </c>
      <c r="H422" t="s">
        <v>1135</v>
      </c>
      <c r="I422" s="5">
        <v>206180</v>
      </c>
      <c r="L422" s="5">
        <v>206180</v>
      </c>
      <c r="M422" s="5">
        <v>22090.71</v>
      </c>
      <c r="N422" s="5">
        <v>184089.29</v>
      </c>
    </row>
    <row r="423" spans="1:14" hidden="1">
      <c r="A423" t="s">
        <v>1136</v>
      </c>
      <c r="B423" t="s">
        <v>1117</v>
      </c>
      <c r="C423" t="s">
        <v>333</v>
      </c>
      <c r="D423" s="6">
        <v>30</v>
      </c>
      <c r="E423" t="s">
        <v>1118</v>
      </c>
      <c r="F423" t="s">
        <v>270</v>
      </c>
      <c r="G423" t="s">
        <v>337</v>
      </c>
      <c r="H423" t="s">
        <v>1137</v>
      </c>
      <c r="I423" s="5">
        <v>568880</v>
      </c>
      <c r="L423" s="5">
        <v>568880</v>
      </c>
      <c r="M423" s="5">
        <v>60951.43</v>
      </c>
      <c r="N423" s="5">
        <v>507928.57</v>
      </c>
    </row>
    <row r="424" spans="1:14" hidden="1">
      <c r="A424" t="s">
        <v>1138</v>
      </c>
      <c r="B424" t="s">
        <v>1117</v>
      </c>
      <c r="C424" t="s">
        <v>237</v>
      </c>
      <c r="D424" s="6">
        <v>60</v>
      </c>
      <c r="E424" t="s">
        <v>1139</v>
      </c>
      <c r="F424" t="s">
        <v>270</v>
      </c>
      <c r="G424" t="s">
        <v>337</v>
      </c>
      <c r="H424" t="s">
        <v>338</v>
      </c>
      <c r="I424" s="5">
        <v>143215</v>
      </c>
      <c r="L424" s="5">
        <v>143215</v>
      </c>
      <c r="M424" s="5">
        <v>15344.46</v>
      </c>
      <c r="N424" s="5">
        <v>127870.54</v>
      </c>
    </row>
    <row r="425" spans="1:14" hidden="1">
      <c r="A425" t="s">
        <v>1140</v>
      </c>
      <c r="B425" t="s">
        <v>1117</v>
      </c>
      <c r="C425" t="s">
        <v>60</v>
      </c>
      <c r="D425" s="6">
        <v>0</v>
      </c>
      <c r="E425" t="s">
        <v>1117</v>
      </c>
      <c r="F425" t="s">
        <v>1141</v>
      </c>
      <c r="G425" t="s">
        <v>1142</v>
      </c>
      <c r="H425" t="s">
        <v>1143</v>
      </c>
      <c r="I425" s="5">
        <v>403050.68</v>
      </c>
      <c r="L425" s="5">
        <v>403050.68</v>
      </c>
      <c r="M425" s="5">
        <v>43184</v>
      </c>
      <c r="N425" s="5">
        <v>359866.68</v>
      </c>
    </row>
    <row r="426" spans="1:14" hidden="1">
      <c r="A426" t="s">
        <v>1144</v>
      </c>
      <c r="B426" t="s">
        <v>1117</v>
      </c>
      <c r="C426" t="s">
        <v>60</v>
      </c>
      <c r="D426" s="6">
        <v>0</v>
      </c>
      <c r="E426" t="s">
        <v>1117</v>
      </c>
      <c r="F426" t="s">
        <v>1141</v>
      </c>
      <c r="G426" t="s">
        <v>1142</v>
      </c>
      <c r="H426" t="s">
        <v>1145</v>
      </c>
      <c r="I426" s="5">
        <v>107600</v>
      </c>
      <c r="L426" s="5">
        <v>107600</v>
      </c>
      <c r="M426" s="5">
        <v>11528.57</v>
      </c>
      <c r="N426" s="5">
        <v>96071.43</v>
      </c>
    </row>
    <row r="427" spans="1:14" hidden="1">
      <c r="A427" t="s">
        <v>1146</v>
      </c>
      <c r="B427" t="s">
        <v>1117</v>
      </c>
      <c r="C427" t="s">
        <v>151</v>
      </c>
      <c r="D427" s="6">
        <v>60</v>
      </c>
      <c r="E427" t="s">
        <v>1139</v>
      </c>
      <c r="F427" t="s">
        <v>69</v>
      </c>
      <c r="G427" t="s">
        <v>574</v>
      </c>
      <c r="H427" t="s">
        <v>1147</v>
      </c>
      <c r="I427" s="5">
        <v>528825</v>
      </c>
      <c r="L427" s="5">
        <v>528825</v>
      </c>
      <c r="M427" s="5">
        <v>56659.82</v>
      </c>
      <c r="N427" s="5">
        <v>472165.18</v>
      </c>
    </row>
    <row r="428" spans="1:14" hidden="1">
      <c r="A428" t="s">
        <v>1148</v>
      </c>
      <c r="B428" t="s">
        <v>1117</v>
      </c>
      <c r="C428" t="s">
        <v>23</v>
      </c>
      <c r="D428" s="6">
        <v>30</v>
      </c>
      <c r="E428" t="s">
        <v>1118</v>
      </c>
      <c r="F428" t="s">
        <v>30</v>
      </c>
      <c r="G428" t="s">
        <v>1149</v>
      </c>
      <c r="H428" t="s">
        <v>1150</v>
      </c>
      <c r="I428" s="5">
        <v>77750</v>
      </c>
      <c r="L428" s="5">
        <v>77750</v>
      </c>
      <c r="M428" s="5">
        <v>8330.36</v>
      </c>
      <c r="N428" s="5">
        <v>69419.64</v>
      </c>
    </row>
    <row r="429" spans="1:14" hidden="1">
      <c r="A429" t="s">
        <v>1151</v>
      </c>
      <c r="B429" t="s">
        <v>1117</v>
      </c>
      <c r="C429" t="s">
        <v>23</v>
      </c>
      <c r="D429" s="6">
        <v>30</v>
      </c>
      <c r="E429" t="s">
        <v>1118</v>
      </c>
      <c r="F429" t="s">
        <v>180</v>
      </c>
      <c r="G429" t="s">
        <v>224</v>
      </c>
      <c r="H429" t="s">
        <v>1152</v>
      </c>
      <c r="I429" s="5">
        <v>22900</v>
      </c>
      <c r="L429" s="5">
        <v>22900</v>
      </c>
      <c r="M429" s="5">
        <v>2453.5700000000002</v>
      </c>
      <c r="N429" s="5">
        <v>20446.43</v>
      </c>
    </row>
    <row r="430" spans="1:14" hidden="1">
      <c r="A430" t="s">
        <v>1153</v>
      </c>
      <c r="B430" t="s">
        <v>1117</v>
      </c>
      <c r="C430" t="s">
        <v>23</v>
      </c>
      <c r="D430" s="6">
        <v>30</v>
      </c>
      <c r="E430" t="s">
        <v>1118</v>
      </c>
      <c r="F430" t="s">
        <v>180</v>
      </c>
      <c r="G430" t="s">
        <v>224</v>
      </c>
      <c r="H430" t="s">
        <v>1154</v>
      </c>
      <c r="I430" s="5">
        <v>50400</v>
      </c>
      <c r="L430" s="5">
        <v>50400</v>
      </c>
      <c r="M430" s="5">
        <v>5400</v>
      </c>
      <c r="N430" s="5">
        <v>45000</v>
      </c>
    </row>
    <row r="431" spans="1:14" hidden="1">
      <c r="A431" t="s">
        <v>1155</v>
      </c>
      <c r="B431" t="s">
        <v>1117</v>
      </c>
      <c r="C431" t="s">
        <v>162</v>
      </c>
      <c r="D431" s="6">
        <v>90</v>
      </c>
      <c r="E431" t="s">
        <v>1156</v>
      </c>
      <c r="F431" t="s">
        <v>204</v>
      </c>
      <c r="G431" t="s">
        <v>1157</v>
      </c>
      <c r="H431" t="s">
        <v>1158</v>
      </c>
      <c r="I431" s="5">
        <v>58498</v>
      </c>
      <c r="L431" s="5">
        <v>58498</v>
      </c>
      <c r="M431" s="5">
        <v>6267.64</v>
      </c>
      <c r="N431" s="5">
        <v>52230.36</v>
      </c>
    </row>
    <row r="432" spans="1:14" hidden="1">
      <c r="A432" t="s">
        <v>1159</v>
      </c>
      <c r="B432" t="s">
        <v>1117</v>
      </c>
      <c r="C432" t="s">
        <v>162</v>
      </c>
      <c r="D432" s="6">
        <v>90</v>
      </c>
      <c r="E432" t="s">
        <v>1156</v>
      </c>
      <c r="F432" t="s">
        <v>204</v>
      </c>
      <c r="G432" t="s">
        <v>1157</v>
      </c>
      <c r="H432" t="s">
        <v>1160</v>
      </c>
      <c r="I432" s="5">
        <v>8304</v>
      </c>
      <c r="L432" s="5">
        <v>8304</v>
      </c>
      <c r="M432" s="7">
        <v>889.71</v>
      </c>
      <c r="N432" s="5">
        <v>7414.29</v>
      </c>
    </row>
    <row r="433" spans="1:14" hidden="1">
      <c r="A433" t="s">
        <v>1161</v>
      </c>
      <c r="B433" t="s">
        <v>1117</v>
      </c>
      <c r="C433" t="s">
        <v>29</v>
      </c>
      <c r="D433" s="6">
        <v>0</v>
      </c>
      <c r="E433" t="s">
        <v>1117</v>
      </c>
      <c r="F433" t="s">
        <v>30</v>
      </c>
      <c r="G433" t="s">
        <v>31</v>
      </c>
      <c r="H433" t="s">
        <v>1162</v>
      </c>
      <c r="I433" s="5">
        <v>294000</v>
      </c>
      <c r="L433" s="5">
        <v>294000</v>
      </c>
      <c r="M433" s="5">
        <v>31500</v>
      </c>
      <c r="N433" s="5">
        <v>262500</v>
      </c>
    </row>
    <row r="434" spans="1:14" hidden="1">
      <c r="A434" t="s">
        <v>1163</v>
      </c>
      <c r="B434" t="s">
        <v>1117</v>
      </c>
      <c r="C434" t="s">
        <v>151</v>
      </c>
      <c r="D434" s="6">
        <v>60</v>
      </c>
      <c r="E434" t="s">
        <v>1139</v>
      </c>
      <c r="F434" t="s">
        <v>139</v>
      </c>
      <c r="G434" t="s">
        <v>264</v>
      </c>
      <c r="H434" t="s">
        <v>1164</v>
      </c>
      <c r="I434" s="5">
        <v>23524.2</v>
      </c>
      <c r="L434" s="5">
        <v>23524.2</v>
      </c>
      <c r="M434" s="5">
        <v>2520.4499999999998</v>
      </c>
      <c r="N434" s="5">
        <v>21003.75</v>
      </c>
    </row>
    <row r="435" spans="1:14" hidden="1">
      <c r="A435" t="s">
        <v>1165</v>
      </c>
      <c r="B435" t="s">
        <v>1117</v>
      </c>
      <c r="C435" t="s">
        <v>54</v>
      </c>
      <c r="D435" s="6">
        <v>90</v>
      </c>
      <c r="E435" t="s">
        <v>1156</v>
      </c>
      <c r="F435" t="s">
        <v>19</v>
      </c>
      <c r="G435" t="s">
        <v>937</v>
      </c>
      <c r="H435" t="s">
        <v>1166</v>
      </c>
      <c r="I435" s="5">
        <v>537500</v>
      </c>
      <c r="L435" s="5">
        <v>537500</v>
      </c>
      <c r="M435" s="5">
        <v>57589.29</v>
      </c>
      <c r="N435" s="5">
        <v>479910.71</v>
      </c>
    </row>
    <row r="436" spans="1:14" hidden="1">
      <c r="A436" t="s">
        <v>1167</v>
      </c>
      <c r="B436" t="s">
        <v>1117</v>
      </c>
      <c r="C436" t="s">
        <v>54</v>
      </c>
      <c r="D436" s="6">
        <v>90</v>
      </c>
      <c r="E436" t="s">
        <v>1156</v>
      </c>
      <c r="F436" t="s">
        <v>19</v>
      </c>
      <c r="G436" t="s">
        <v>937</v>
      </c>
      <c r="H436" t="s">
        <v>1168</v>
      </c>
      <c r="I436" s="5">
        <v>107500</v>
      </c>
      <c r="L436" s="5">
        <v>107500</v>
      </c>
      <c r="M436" s="5">
        <v>11517.86</v>
      </c>
      <c r="N436" s="5">
        <v>95982.14</v>
      </c>
    </row>
    <row r="437" spans="1:14" hidden="1">
      <c r="A437" t="s">
        <v>1169</v>
      </c>
      <c r="B437" t="s">
        <v>1117</v>
      </c>
      <c r="C437" t="s">
        <v>73</v>
      </c>
      <c r="D437" s="6">
        <v>30</v>
      </c>
      <c r="E437" t="s">
        <v>1118</v>
      </c>
      <c r="F437" t="s">
        <v>56</v>
      </c>
      <c r="G437" t="s">
        <v>1109</v>
      </c>
      <c r="H437" t="s">
        <v>1170</v>
      </c>
      <c r="I437" s="5">
        <v>1048060</v>
      </c>
      <c r="L437" s="5">
        <v>1048060</v>
      </c>
      <c r="M437" s="5">
        <v>112292.14</v>
      </c>
      <c r="N437" s="5">
        <v>935767.86</v>
      </c>
    </row>
    <row r="438" spans="1:14" hidden="1">
      <c r="A438" t="s">
        <v>1171</v>
      </c>
      <c r="B438" t="s">
        <v>1117</v>
      </c>
      <c r="C438" t="s">
        <v>73</v>
      </c>
      <c r="D438" s="6">
        <v>30</v>
      </c>
      <c r="E438" t="s">
        <v>1118</v>
      </c>
      <c r="F438" t="s">
        <v>56</v>
      </c>
      <c r="G438" t="s">
        <v>1109</v>
      </c>
      <c r="H438" t="s">
        <v>1172</v>
      </c>
      <c r="I438" s="5">
        <v>752620</v>
      </c>
      <c r="L438" s="5">
        <v>752620</v>
      </c>
      <c r="M438" s="5">
        <v>80637.86</v>
      </c>
      <c r="N438" s="5">
        <v>671982.14</v>
      </c>
    </row>
    <row r="439" spans="1:14" hidden="1">
      <c r="A439" t="s">
        <v>1173</v>
      </c>
      <c r="B439" t="s">
        <v>1117</v>
      </c>
      <c r="C439" t="s">
        <v>60</v>
      </c>
      <c r="D439" s="6">
        <v>0</v>
      </c>
      <c r="E439" t="s">
        <v>1117</v>
      </c>
      <c r="F439" t="s">
        <v>56</v>
      </c>
      <c r="G439" t="s">
        <v>190</v>
      </c>
      <c r="H439" t="s">
        <v>1174</v>
      </c>
      <c r="I439" s="5">
        <v>204476</v>
      </c>
      <c r="L439" s="5">
        <v>204476</v>
      </c>
      <c r="M439" s="5">
        <v>21908.14</v>
      </c>
      <c r="N439" s="5">
        <v>182567.86</v>
      </c>
    </row>
    <row r="440" spans="1:14" hidden="1">
      <c r="A440" t="s">
        <v>1175</v>
      </c>
      <c r="B440" t="s">
        <v>1117</v>
      </c>
      <c r="C440" t="s">
        <v>23</v>
      </c>
      <c r="D440" s="6">
        <v>30</v>
      </c>
      <c r="E440" t="s">
        <v>1118</v>
      </c>
      <c r="F440" t="s">
        <v>50</v>
      </c>
      <c r="G440" t="s">
        <v>1176</v>
      </c>
      <c r="H440" t="s">
        <v>1177</v>
      </c>
      <c r="I440" s="5">
        <v>63822</v>
      </c>
      <c r="L440" s="5">
        <v>63822</v>
      </c>
      <c r="M440" s="5">
        <v>6838.07</v>
      </c>
      <c r="N440" s="5">
        <v>56983.93</v>
      </c>
    </row>
    <row r="441" spans="1:14" hidden="1">
      <c r="A441" t="s">
        <v>1178</v>
      </c>
      <c r="B441" t="s">
        <v>1117</v>
      </c>
      <c r="C441" t="s">
        <v>73</v>
      </c>
      <c r="D441" s="6">
        <v>30</v>
      </c>
      <c r="E441" t="s">
        <v>1118</v>
      </c>
      <c r="F441" t="s">
        <v>46</v>
      </c>
      <c r="G441" t="s">
        <v>1078</v>
      </c>
      <c r="H441" t="s">
        <v>1179</v>
      </c>
      <c r="I441" s="5">
        <v>133500</v>
      </c>
      <c r="L441" s="5">
        <v>133500</v>
      </c>
      <c r="M441" s="5">
        <v>14303.57</v>
      </c>
      <c r="N441" s="5">
        <v>119196.43</v>
      </c>
    </row>
    <row r="442" spans="1:14" hidden="1">
      <c r="A442" t="s">
        <v>1180</v>
      </c>
      <c r="B442" t="s">
        <v>1117</v>
      </c>
      <c r="C442" t="s">
        <v>73</v>
      </c>
      <c r="D442" s="6">
        <v>30</v>
      </c>
      <c r="E442" t="s">
        <v>1118</v>
      </c>
      <c r="F442" t="s">
        <v>19</v>
      </c>
      <c r="G442" t="s">
        <v>247</v>
      </c>
      <c r="H442" t="s">
        <v>1181</v>
      </c>
      <c r="I442" s="5">
        <v>471120</v>
      </c>
      <c r="L442" s="5">
        <v>471120</v>
      </c>
      <c r="M442" s="5">
        <v>50477.14</v>
      </c>
      <c r="N442" s="5">
        <v>420642.86</v>
      </c>
    </row>
    <row r="443" spans="1:14" hidden="1">
      <c r="A443" t="s">
        <v>1182</v>
      </c>
      <c r="B443" t="s">
        <v>1117</v>
      </c>
      <c r="C443" t="s">
        <v>1102</v>
      </c>
      <c r="D443" s="6">
        <v>60</v>
      </c>
      <c r="E443" t="s">
        <v>1139</v>
      </c>
      <c r="F443" t="s">
        <v>46</v>
      </c>
      <c r="G443" t="s">
        <v>787</v>
      </c>
      <c r="H443" t="s">
        <v>1183</v>
      </c>
      <c r="I443" s="5">
        <v>214500</v>
      </c>
      <c r="L443" s="5">
        <v>214500</v>
      </c>
      <c r="M443" s="5">
        <v>22982.14</v>
      </c>
      <c r="N443" s="5">
        <v>191517.86</v>
      </c>
    </row>
    <row r="444" spans="1:14" hidden="1">
      <c r="A444" t="s">
        <v>1184</v>
      </c>
      <c r="B444" t="s">
        <v>1117</v>
      </c>
      <c r="C444" t="s">
        <v>1102</v>
      </c>
      <c r="D444" s="6">
        <v>60</v>
      </c>
      <c r="E444" t="s">
        <v>1139</v>
      </c>
      <c r="F444" t="s">
        <v>46</v>
      </c>
      <c r="G444" t="s">
        <v>787</v>
      </c>
      <c r="H444" t="s">
        <v>1185</v>
      </c>
      <c r="I444" s="5">
        <v>52684</v>
      </c>
      <c r="L444" s="5">
        <v>52684</v>
      </c>
      <c r="M444" s="5">
        <v>5644.71</v>
      </c>
      <c r="N444" s="5">
        <v>47039.29</v>
      </c>
    </row>
    <row r="445" spans="1:14" hidden="1">
      <c r="A445" t="s">
        <v>1186</v>
      </c>
      <c r="B445" t="s">
        <v>1117</v>
      </c>
      <c r="C445" t="s">
        <v>60</v>
      </c>
      <c r="D445" s="6">
        <v>0</v>
      </c>
      <c r="E445" t="s">
        <v>1117</v>
      </c>
      <c r="F445" t="s">
        <v>56</v>
      </c>
      <c r="G445" t="s">
        <v>190</v>
      </c>
      <c r="H445" t="s">
        <v>1187</v>
      </c>
      <c r="I445" s="5">
        <v>119504</v>
      </c>
      <c r="L445" s="5">
        <v>119504</v>
      </c>
      <c r="M445" s="5">
        <v>12804</v>
      </c>
      <c r="N445" s="5">
        <v>106700</v>
      </c>
    </row>
    <row r="446" spans="1:14" hidden="1">
      <c r="A446" t="s">
        <v>1188</v>
      </c>
      <c r="B446" t="s">
        <v>1117</v>
      </c>
      <c r="C446" t="s">
        <v>162</v>
      </c>
      <c r="D446" s="6">
        <v>90</v>
      </c>
      <c r="E446" t="s">
        <v>1156</v>
      </c>
      <c r="F446" t="s">
        <v>36</v>
      </c>
      <c r="G446" t="s">
        <v>193</v>
      </c>
      <c r="H446" t="s">
        <v>1189</v>
      </c>
      <c r="I446" s="5">
        <v>26590</v>
      </c>
      <c r="L446" s="5">
        <v>26590</v>
      </c>
      <c r="M446" s="5">
        <v>2848.93</v>
      </c>
      <c r="N446" s="5">
        <v>23741.07</v>
      </c>
    </row>
    <row r="447" spans="1:14" hidden="1">
      <c r="A447" t="s">
        <v>1190</v>
      </c>
      <c r="B447" t="s">
        <v>1117</v>
      </c>
      <c r="C447" t="s">
        <v>60</v>
      </c>
      <c r="D447" s="6">
        <v>0</v>
      </c>
      <c r="E447" t="s">
        <v>1117</v>
      </c>
      <c r="F447" t="s">
        <v>46</v>
      </c>
      <c r="G447" t="s">
        <v>1191</v>
      </c>
      <c r="H447" t="s">
        <v>1192</v>
      </c>
      <c r="I447" s="5">
        <v>20257</v>
      </c>
      <c r="L447" s="5">
        <v>20257</v>
      </c>
      <c r="M447" s="5">
        <v>2170.39</v>
      </c>
      <c r="N447" s="5">
        <v>18086.61</v>
      </c>
    </row>
    <row r="448" spans="1:14" hidden="1">
      <c r="A448" t="s">
        <v>1193</v>
      </c>
      <c r="B448" t="s">
        <v>1117</v>
      </c>
      <c r="C448" t="s">
        <v>23</v>
      </c>
      <c r="D448" s="6">
        <v>30</v>
      </c>
      <c r="E448" t="s">
        <v>1118</v>
      </c>
      <c r="F448" t="s">
        <v>329</v>
      </c>
      <c r="G448" t="s">
        <v>529</v>
      </c>
      <c r="H448" t="s">
        <v>1194</v>
      </c>
      <c r="I448" s="5">
        <v>141200</v>
      </c>
      <c r="J448" s="4">
        <v>-2824</v>
      </c>
      <c r="L448" s="5">
        <v>138376</v>
      </c>
      <c r="M448" s="5">
        <v>14826</v>
      </c>
      <c r="N448" s="5">
        <v>123550</v>
      </c>
    </row>
    <row r="449" spans="1:14" hidden="1">
      <c r="A449" t="s">
        <v>1195</v>
      </c>
      <c r="B449" t="s">
        <v>1117</v>
      </c>
      <c r="C449" t="s">
        <v>94</v>
      </c>
      <c r="D449" s="6">
        <v>0</v>
      </c>
      <c r="E449" t="s">
        <v>1117</v>
      </c>
      <c r="F449" t="s">
        <v>46</v>
      </c>
      <c r="G449" t="s">
        <v>558</v>
      </c>
      <c r="H449" t="s">
        <v>1196</v>
      </c>
      <c r="I449" s="5">
        <v>236250</v>
      </c>
      <c r="L449" s="5">
        <v>236250</v>
      </c>
      <c r="M449" s="5">
        <v>25312.5</v>
      </c>
      <c r="N449" s="5">
        <v>210937.5</v>
      </c>
    </row>
    <row r="450" spans="1:14" hidden="1">
      <c r="A450" t="s">
        <v>1197</v>
      </c>
      <c r="B450" t="s">
        <v>1117</v>
      </c>
      <c r="C450" t="s">
        <v>34</v>
      </c>
      <c r="D450" s="6">
        <v>60</v>
      </c>
      <c r="E450" t="s">
        <v>1139</v>
      </c>
      <c r="F450" t="s">
        <v>329</v>
      </c>
      <c r="G450" t="s">
        <v>330</v>
      </c>
      <c r="H450" t="s">
        <v>1198</v>
      </c>
      <c r="I450" s="5">
        <v>453268</v>
      </c>
      <c r="L450" s="5">
        <v>453268</v>
      </c>
      <c r="M450" s="5">
        <v>48564.43</v>
      </c>
      <c r="N450" s="5">
        <v>404703.57</v>
      </c>
    </row>
    <row r="451" spans="1:14" hidden="1">
      <c r="A451" t="s">
        <v>1199</v>
      </c>
      <c r="B451" t="s">
        <v>1117</v>
      </c>
      <c r="C451" t="s">
        <v>151</v>
      </c>
      <c r="D451" s="6">
        <v>60</v>
      </c>
      <c r="E451" t="s">
        <v>1139</v>
      </c>
      <c r="F451" t="s">
        <v>139</v>
      </c>
      <c r="G451" t="s">
        <v>1200</v>
      </c>
      <c r="H451" t="s">
        <v>1201</v>
      </c>
      <c r="I451" s="5">
        <v>29500</v>
      </c>
      <c r="L451" s="5">
        <v>29500</v>
      </c>
      <c r="M451" s="5">
        <v>3160.71</v>
      </c>
      <c r="N451" s="5">
        <v>26339.29</v>
      </c>
    </row>
    <row r="452" spans="1:14" hidden="1">
      <c r="A452" t="s">
        <v>1202</v>
      </c>
      <c r="B452" t="s">
        <v>1117</v>
      </c>
      <c r="C452" t="s">
        <v>34</v>
      </c>
      <c r="D452" s="6">
        <v>60</v>
      </c>
      <c r="E452" t="s">
        <v>1139</v>
      </c>
      <c r="F452" t="s">
        <v>69</v>
      </c>
      <c r="G452" t="s">
        <v>697</v>
      </c>
      <c r="H452" t="s">
        <v>1203</v>
      </c>
      <c r="I452" s="5">
        <v>49180</v>
      </c>
      <c r="L452" s="5">
        <v>49180</v>
      </c>
      <c r="M452" s="5">
        <v>5269.29</v>
      </c>
      <c r="N452" s="5">
        <v>43910.71</v>
      </c>
    </row>
    <row r="453" spans="1:14" hidden="1">
      <c r="A453" t="s">
        <v>1204</v>
      </c>
      <c r="B453" t="s">
        <v>1117</v>
      </c>
      <c r="C453" t="s">
        <v>1055</v>
      </c>
      <c r="D453" s="6">
        <v>30</v>
      </c>
      <c r="E453" t="s">
        <v>1118</v>
      </c>
      <c r="F453" t="s">
        <v>56</v>
      </c>
      <c r="G453" t="s">
        <v>1057</v>
      </c>
      <c r="H453" t="s">
        <v>1205</v>
      </c>
      <c r="I453" s="5">
        <v>29610</v>
      </c>
      <c r="L453" s="5">
        <v>29610</v>
      </c>
      <c r="M453" s="5">
        <v>3172.5</v>
      </c>
      <c r="N453" s="5">
        <v>26437.5</v>
      </c>
    </row>
    <row r="454" spans="1:14" hidden="1">
      <c r="A454" t="s">
        <v>1206</v>
      </c>
      <c r="B454" t="s">
        <v>1117</v>
      </c>
      <c r="C454" t="s">
        <v>23</v>
      </c>
      <c r="D454" s="6">
        <v>30</v>
      </c>
      <c r="E454" t="s">
        <v>1118</v>
      </c>
      <c r="F454" t="s">
        <v>50</v>
      </c>
      <c r="G454" t="s">
        <v>1176</v>
      </c>
      <c r="H454" t="s">
        <v>1207</v>
      </c>
      <c r="I454" s="5">
        <v>186750</v>
      </c>
      <c r="L454" s="5">
        <v>186750</v>
      </c>
      <c r="M454" s="5">
        <v>20008.93</v>
      </c>
      <c r="N454" s="5">
        <v>166741.07</v>
      </c>
    </row>
    <row r="455" spans="1:14" hidden="1">
      <c r="A455" t="s">
        <v>1208</v>
      </c>
      <c r="B455" t="s">
        <v>1117</v>
      </c>
      <c r="C455" t="s">
        <v>94</v>
      </c>
      <c r="D455" s="6">
        <v>0</v>
      </c>
      <c r="E455" t="s">
        <v>1117</v>
      </c>
      <c r="F455" t="s">
        <v>139</v>
      </c>
      <c r="G455" t="s">
        <v>1043</v>
      </c>
      <c r="H455" t="s">
        <v>1209</v>
      </c>
      <c r="I455" s="5">
        <v>93350</v>
      </c>
      <c r="L455" s="5">
        <v>93350</v>
      </c>
      <c r="M455" s="5">
        <v>10001.790000000001</v>
      </c>
      <c r="N455" s="5">
        <v>83348.210000000006</v>
      </c>
    </row>
    <row r="456" spans="1:14" hidden="1">
      <c r="A456" t="s">
        <v>1210</v>
      </c>
      <c r="B456" t="s">
        <v>1117</v>
      </c>
      <c r="C456" t="s">
        <v>162</v>
      </c>
      <c r="D456" s="6">
        <v>90</v>
      </c>
      <c r="E456" t="s">
        <v>1156</v>
      </c>
      <c r="F456" t="s">
        <v>36</v>
      </c>
      <c r="G456" t="s">
        <v>193</v>
      </c>
      <c r="H456" t="s">
        <v>1211</v>
      </c>
      <c r="I456" s="5">
        <v>5680</v>
      </c>
      <c r="L456" s="5">
        <v>5680</v>
      </c>
      <c r="M456" s="7">
        <v>608.57000000000005</v>
      </c>
      <c r="N456" s="5">
        <v>5071.43</v>
      </c>
    </row>
    <row r="457" spans="1:14" hidden="1">
      <c r="A457" t="s">
        <v>1212</v>
      </c>
      <c r="B457" t="s">
        <v>1117</v>
      </c>
      <c r="C457" t="s">
        <v>162</v>
      </c>
      <c r="D457" s="6">
        <v>90</v>
      </c>
      <c r="E457" t="s">
        <v>1156</v>
      </c>
      <c r="F457" t="s">
        <v>36</v>
      </c>
      <c r="G457" t="s">
        <v>193</v>
      </c>
      <c r="H457" t="s">
        <v>1213</v>
      </c>
      <c r="I457" s="5">
        <v>224410</v>
      </c>
      <c r="L457" s="5">
        <v>224410</v>
      </c>
      <c r="M457" s="5">
        <v>24043.93</v>
      </c>
      <c r="N457" s="5">
        <v>200366.07</v>
      </c>
    </row>
    <row r="458" spans="1:14" hidden="1">
      <c r="A458" t="s">
        <v>1214</v>
      </c>
      <c r="B458" t="s">
        <v>1117</v>
      </c>
      <c r="C458" t="s">
        <v>146</v>
      </c>
      <c r="D458" s="6">
        <v>90</v>
      </c>
      <c r="E458" t="s">
        <v>1156</v>
      </c>
      <c r="F458" t="s">
        <v>36</v>
      </c>
      <c r="G458" t="s">
        <v>193</v>
      </c>
      <c r="H458" t="s">
        <v>1215</v>
      </c>
      <c r="I458" s="5">
        <v>27750</v>
      </c>
      <c r="L458" s="5">
        <v>27750</v>
      </c>
      <c r="M458" s="5">
        <v>2973.21</v>
      </c>
      <c r="N458" s="5">
        <v>24776.79</v>
      </c>
    </row>
    <row r="459" spans="1:14" hidden="1">
      <c r="A459" t="s">
        <v>1216</v>
      </c>
      <c r="B459" t="s">
        <v>1217</v>
      </c>
      <c r="C459" t="s">
        <v>60</v>
      </c>
      <c r="D459" s="6">
        <v>0</v>
      </c>
      <c r="E459" t="s">
        <v>1217</v>
      </c>
      <c r="F459" t="s">
        <v>270</v>
      </c>
      <c r="G459" t="s">
        <v>1218</v>
      </c>
      <c r="H459" t="s">
        <v>1219</v>
      </c>
      <c r="I459" s="5">
        <v>37000</v>
      </c>
      <c r="L459" s="5">
        <v>37000</v>
      </c>
      <c r="M459" s="5">
        <v>3964.29</v>
      </c>
      <c r="N459" s="5">
        <v>33035.71</v>
      </c>
    </row>
    <row r="460" spans="1:14" hidden="1">
      <c r="A460" t="s">
        <v>1220</v>
      </c>
      <c r="B460" t="s">
        <v>1217</v>
      </c>
      <c r="C460" t="s">
        <v>104</v>
      </c>
      <c r="D460" s="6">
        <v>0</v>
      </c>
      <c r="E460" t="s">
        <v>1217</v>
      </c>
      <c r="F460" t="s">
        <v>46</v>
      </c>
      <c r="G460" t="s">
        <v>392</v>
      </c>
      <c r="H460" t="s">
        <v>1221</v>
      </c>
      <c r="I460" s="5">
        <v>340975</v>
      </c>
      <c r="L460" s="5">
        <v>340975</v>
      </c>
      <c r="M460" s="5">
        <v>36533.040000000001</v>
      </c>
      <c r="N460" s="5">
        <v>304441.96000000002</v>
      </c>
    </row>
    <row r="461" spans="1:14" hidden="1">
      <c r="A461" t="s">
        <v>1222</v>
      </c>
      <c r="B461" t="s">
        <v>1217</v>
      </c>
      <c r="C461" t="s">
        <v>34</v>
      </c>
      <c r="D461" s="6">
        <v>60</v>
      </c>
      <c r="E461" t="s">
        <v>1223</v>
      </c>
      <c r="F461" t="s">
        <v>30</v>
      </c>
      <c r="G461" t="s">
        <v>201</v>
      </c>
      <c r="H461" t="s">
        <v>1224</v>
      </c>
      <c r="I461" s="5">
        <v>7200</v>
      </c>
      <c r="L461" s="5">
        <v>7200</v>
      </c>
      <c r="M461" s="7">
        <v>771.43</v>
      </c>
      <c r="N461" s="5">
        <v>6428.57</v>
      </c>
    </row>
    <row r="462" spans="1:14" hidden="1">
      <c r="A462" t="s">
        <v>1225</v>
      </c>
      <c r="B462" t="s">
        <v>1217</v>
      </c>
      <c r="C462" t="s">
        <v>34</v>
      </c>
      <c r="D462" s="6">
        <v>60</v>
      </c>
      <c r="E462" t="s">
        <v>1223</v>
      </c>
      <c r="F462" t="s">
        <v>46</v>
      </c>
      <c r="G462" t="s">
        <v>1226</v>
      </c>
      <c r="H462" t="s">
        <v>1227</v>
      </c>
      <c r="I462" s="5">
        <v>37782</v>
      </c>
      <c r="L462" s="5">
        <v>37782</v>
      </c>
      <c r="M462" s="5">
        <v>4048.07</v>
      </c>
      <c r="N462" s="5">
        <v>33733.93</v>
      </c>
    </row>
    <row r="463" spans="1:14" hidden="1">
      <c r="A463" t="s">
        <v>1228</v>
      </c>
      <c r="B463" t="s">
        <v>1217</v>
      </c>
      <c r="C463" t="s">
        <v>60</v>
      </c>
      <c r="D463" s="6">
        <v>0</v>
      </c>
      <c r="E463" t="s">
        <v>1217</v>
      </c>
      <c r="F463" t="s">
        <v>270</v>
      </c>
      <c r="G463" t="s">
        <v>1218</v>
      </c>
      <c r="H463" t="s">
        <v>1229</v>
      </c>
      <c r="I463" s="5">
        <v>22200</v>
      </c>
      <c r="L463" s="5">
        <v>22200</v>
      </c>
      <c r="M463" s="5">
        <v>2378.5700000000002</v>
      </c>
      <c r="N463" s="5">
        <v>19821.43</v>
      </c>
    </row>
    <row r="464" spans="1:14" hidden="1">
      <c r="A464" t="s">
        <v>1230</v>
      </c>
      <c r="B464" t="s">
        <v>1217</v>
      </c>
      <c r="C464" t="s">
        <v>23</v>
      </c>
      <c r="D464" s="6">
        <v>30</v>
      </c>
      <c r="E464" t="s">
        <v>1231</v>
      </c>
      <c r="F464" t="s">
        <v>180</v>
      </c>
      <c r="G464" t="s">
        <v>1232</v>
      </c>
      <c r="H464" t="s">
        <v>1233</v>
      </c>
      <c r="I464" s="5">
        <v>73934</v>
      </c>
      <c r="L464" s="5">
        <v>73934</v>
      </c>
      <c r="M464" s="5">
        <v>7921.5</v>
      </c>
      <c r="N464" s="5">
        <v>66012.5</v>
      </c>
    </row>
    <row r="465" spans="1:14" hidden="1">
      <c r="A465" t="s">
        <v>1234</v>
      </c>
      <c r="B465" t="s">
        <v>1217</v>
      </c>
      <c r="C465" t="s">
        <v>162</v>
      </c>
      <c r="D465" s="6">
        <v>90</v>
      </c>
      <c r="E465" t="s">
        <v>1235</v>
      </c>
      <c r="F465" t="s">
        <v>163</v>
      </c>
      <c r="G465" t="s">
        <v>164</v>
      </c>
      <c r="H465" t="s">
        <v>1236</v>
      </c>
      <c r="I465" s="5">
        <v>29400</v>
      </c>
      <c r="L465" s="5">
        <v>29400</v>
      </c>
      <c r="M465" s="5">
        <v>3150</v>
      </c>
      <c r="N465" s="5">
        <v>26250</v>
      </c>
    </row>
    <row r="466" spans="1:14" hidden="1">
      <c r="A466" t="s">
        <v>1237</v>
      </c>
      <c r="B466" t="s">
        <v>1217</v>
      </c>
      <c r="C466" t="s">
        <v>243</v>
      </c>
      <c r="D466" s="6">
        <v>30</v>
      </c>
      <c r="E466" t="s">
        <v>1231</v>
      </c>
      <c r="F466" t="s">
        <v>56</v>
      </c>
      <c r="G466" t="s">
        <v>126</v>
      </c>
      <c r="H466" t="s">
        <v>1238</v>
      </c>
      <c r="I466" s="5">
        <v>39200</v>
      </c>
      <c r="L466" s="5">
        <v>39200</v>
      </c>
      <c r="M466" s="5">
        <v>4200</v>
      </c>
      <c r="N466" s="5">
        <v>35000</v>
      </c>
    </row>
    <row r="467" spans="1:14" hidden="1">
      <c r="A467" t="s">
        <v>1239</v>
      </c>
      <c r="B467" t="s">
        <v>1217</v>
      </c>
      <c r="C467" t="s">
        <v>60</v>
      </c>
      <c r="D467" s="6">
        <v>0</v>
      </c>
      <c r="E467" t="s">
        <v>1217</v>
      </c>
      <c r="F467" t="s">
        <v>56</v>
      </c>
      <c r="G467" t="s">
        <v>190</v>
      </c>
      <c r="H467" t="s">
        <v>1240</v>
      </c>
      <c r="I467" s="5">
        <v>28240</v>
      </c>
      <c r="L467" s="5">
        <v>28240</v>
      </c>
      <c r="M467" s="5">
        <v>3025.71</v>
      </c>
      <c r="N467" s="5">
        <v>25214.29</v>
      </c>
    </row>
    <row r="468" spans="1:14" hidden="1">
      <c r="A468" t="s">
        <v>1241</v>
      </c>
      <c r="B468" t="s">
        <v>1217</v>
      </c>
      <c r="C468" t="s">
        <v>34</v>
      </c>
      <c r="D468" s="6">
        <v>60</v>
      </c>
      <c r="E468" t="s">
        <v>1223</v>
      </c>
      <c r="F468" t="s">
        <v>25</v>
      </c>
      <c r="G468" t="s">
        <v>1242</v>
      </c>
      <c r="H468" t="s">
        <v>1243</v>
      </c>
      <c r="I468" s="5">
        <v>126034</v>
      </c>
      <c r="L468" s="5">
        <v>126034</v>
      </c>
      <c r="M468" s="5">
        <v>13503.64</v>
      </c>
      <c r="N468" s="5">
        <v>112530.36</v>
      </c>
    </row>
    <row r="469" spans="1:14" hidden="1">
      <c r="A469" t="s">
        <v>1244</v>
      </c>
      <c r="B469" t="s">
        <v>1217</v>
      </c>
      <c r="C469" t="s">
        <v>64</v>
      </c>
      <c r="D469" s="6">
        <v>30</v>
      </c>
      <c r="E469" t="s">
        <v>1231</v>
      </c>
      <c r="F469" t="s">
        <v>56</v>
      </c>
      <c r="G469" t="s">
        <v>1245</v>
      </c>
      <c r="H469" t="s">
        <v>1246</v>
      </c>
      <c r="I469" s="5">
        <v>1442300</v>
      </c>
      <c r="L469" s="5">
        <v>1442300</v>
      </c>
      <c r="M469" s="5">
        <v>154532.14000000001</v>
      </c>
      <c r="N469" s="5">
        <v>1287767.8600000001</v>
      </c>
    </row>
    <row r="470" spans="1:14" hidden="1">
      <c r="A470" t="s">
        <v>1247</v>
      </c>
      <c r="B470" t="s">
        <v>1217</v>
      </c>
      <c r="C470" t="s">
        <v>60</v>
      </c>
      <c r="D470" s="6">
        <v>0</v>
      </c>
      <c r="E470" t="s">
        <v>1217</v>
      </c>
      <c r="F470" t="s">
        <v>30</v>
      </c>
      <c r="G470" t="s">
        <v>1248</v>
      </c>
      <c r="H470" t="s">
        <v>1249</v>
      </c>
      <c r="I470" s="5">
        <v>106715</v>
      </c>
      <c r="L470" s="5">
        <v>106715</v>
      </c>
      <c r="M470" s="5">
        <v>11433.75</v>
      </c>
      <c r="N470" s="5">
        <v>95281.25</v>
      </c>
    </row>
    <row r="471" spans="1:14" hidden="1">
      <c r="A471" t="s">
        <v>1250</v>
      </c>
      <c r="B471" t="s">
        <v>1217</v>
      </c>
      <c r="C471" t="s">
        <v>60</v>
      </c>
      <c r="D471" s="6">
        <v>0</v>
      </c>
      <c r="E471" t="s">
        <v>1217</v>
      </c>
      <c r="F471" t="s">
        <v>56</v>
      </c>
      <c r="G471" t="s">
        <v>196</v>
      </c>
      <c r="H471" t="s">
        <v>1251</v>
      </c>
      <c r="I471" s="5">
        <v>740550</v>
      </c>
      <c r="L471" s="5">
        <v>740550</v>
      </c>
      <c r="M471" s="5">
        <v>79344.639999999999</v>
      </c>
      <c r="N471" s="5">
        <v>661205.36</v>
      </c>
    </row>
    <row r="472" spans="1:14" hidden="1">
      <c r="A472" t="s">
        <v>1252</v>
      </c>
      <c r="B472" t="s">
        <v>1217</v>
      </c>
      <c r="C472" t="s">
        <v>23</v>
      </c>
      <c r="D472" s="6">
        <v>30</v>
      </c>
      <c r="E472" t="s">
        <v>1231</v>
      </c>
      <c r="F472" t="s">
        <v>56</v>
      </c>
      <c r="G472" t="s">
        <v>457</v>
      </c>
      <c r="H472" t="s">
        <v>1253</v>
      </c>
      <c r="I472" s="5">
        <v>9800</v>
      </c>
      <c r="L472" s="5">
        <v>9800</v>
      </c>
      <c r="M472" s="5">
        <v>1050</v>
      </c>
      <c r="N472" s="5">
        <v>8750</v>
      </c>
    </row>
    <row r="473" spans="1:14" hidden="1">
      <c r="A473" t="s">
        <v>1254</v>
      </c>
      <c r="B473" t="s">
        <v>1217</v>
      </c>
      <c r="C473" t="s">
        <v>146</v>
      </c>
      <c r="D473" s="6">
        <v>90</v>
      </c>
      <c r="E473" t="s">
        <v>1235</v>
      </c>
      <c r="F473" t="s">
        <v>759</v>
      </c>
      <c r="G473" t="s">
        <v>1255</v>
      </c>
      <c r="H473" t="s">
        <v>1256</v>
      </c>
      <c r="I473" s="5">
        <v>2280000</v>
      </c>
      <c r="L473" s="5">
        <v>2280000</v>
      </c>
      <c r="M473" s="5">
        <v>244285.71</v>
      </c>
      <c r="N473" s="5">
        <v>2035714.29</v>
      </c>
    </row>
    <row r="474" spans="1:14" hidden="1">
      <c r="A474" t="s">
        <v>1257</v>
      </c>
      <c r="B474" t="s">
        <v>1217</v>
      </c>
      <c r="C474" t="s">
        <v>73</v>
      </c>
      <c r="D474" s="6">
        <v>30</v>
      </c>
      <c r="E474" t="s">
        <v>1231</v>
      </c>
      <c r="F474" t="s">
        <v>105</v>
      </c>
      <c r="G474" t="s">
        <v>1114</v>
      </c>
      <c r="H474" t="s">
        <v>1258</v>
      </c>
      <c r="I474" s="5">
        <v>80640</v>
      </c>
      <c r="L474" s="5">
        <v>80640</v>
      </c>
      <c r="M474" s="5">
        <v>8640</v>
      </c>
      <c r="N474" s="5">
        <v>72000</v>
      </c>
    </row>
    <row r="475" spans="1:14" hidden="1">
      <c r="A475" t="s">
        <v>1259</v>
      </c>
      <c r="B475" t="s">
        <v>1217</v>
      </c>
      <c r="C475" t="s">
        <v>73</v>
      </c>
      <c r="D475" s="6">
        <v>30</v>
      </c>
      <c r="E475" t="s">
        <v>1231</v>
      </c>
      <c r="F475" t="s">
        <v>105</v>
      </c>
      <c r="G475" t="s">
        <v>1114</v>
      </c>
      <c r="H475" t="s">
        <v>1260</v>
      </c>
      <c r="I475" s="5">
        <v>215287</v>
      </c>
      <c r="L475" s="5">
        <v>215287</v>
      </c>
      <c r="M475" s="5">
        <v>23066.46</v>
      </c>
      <c r="N475" s="5">
        <v>192220.54</v>
      </c>
    </row>
    <row r="476" spans="1:14" hidden="1">
      <c r="A476" t="s">
        <v>1261</v>
      </c>
      <c r="B476" t="s">
        <v>1217</v>
      </c>
      <c r="C476" t="s">
        <v>333</v>
      </c>
      <c r="D476" s="6">
        <v>30</v>
      </c>
      <c r="E476" t="s">
        <v>1231</v>
      </c>
      <c r="F476" t="s">
        <v>270</v>
      </c>
      <c r="G476" t="s">
        <v>1262</v>
      </c>
      <c r="H476" t="s">
        <v>1263</v>
      </c>
      <c r="I476" s="5">
        <v>261896</v>
      </c>
      <c r="L476" s="5">
        <v>261896</v>
      </c>
      <c r="M476" s="5">
        <v>28060.29</v>
      </c>
      <c r="N476" s="5">
        <v>233835.71</v>
      </c>
    </row>
    <row r="477" spans="1:14" hidden="1">
      <c r="A477" t="s">
        <v>1264</v>
      </c>
      <c r="B477" t="s">
        <v>1217</v>
      </c>
      <c r="C477" t="s">
        <v>333</v>
      </c>
      <c r="D477" s="6">
        <v>30</v>
      </c>
      <c r="E477" t="s">
        <v>1231</v>
      </c>
      <c r="F477" t="s">
        <v>270</v>
      </c>
      <c r="G477" t="s">
        <v>1262</v>
      </c>
      <c r="H477" t="s">
        <v>1265</v>
      </c>
      <c r="I477" s="5">
        <v>212525</v>
      </c>
      <c r="L477" s="5">
        <v>212525</v>
      </c>
      <c r="M477" s="5">
        <v>22770.54</v>
      </c>
      <c r="N477" s="5">
        <v>189754.46</v>
      </c>
    </row>
    <row r="478" spans="1:14" hidden="1">
      <c r="A478" t="s">
        <v>1266</v>
      </c>
      <c r="B478" t="s">
        <v>1217</v>
      </c>
      <c r="C478" t="s">
        <v>60</v>
      </c>
      <c r="D478" s="6">
        <v>0</v>
      </c>
      <c r="E478" t="s">
        <v>1217</v>
      </c>
      <c r="F478" t="s">
        <v>56</v>
      </c>
      <c r="G478" t="s">
        <v>605</v>
      </c>
      <c r="H478" t="s">
        <v>1267</v>
      </c>
      <c r="I478" s="5">
        <v>1154454.3999999999</v>
      </c>
      <c r="L478" s="5">
        <v>1154454.3999999999</v>
      </c>
      <c r="M478" s="5">
        <v>123691.54</v>
      </c>
      <c r="N478" s="5">
        <v>1030762.86</v>
      </c>
    </row>
    <row r="479" spans="1:14" hidden="1">
      <c r="A479" t="s">
        <v>1268</v>
      </c>
      <c r="B479" t="s">
        <v>1217</v>
      </c>
      <c r="C479" t="s">
        <v>146</v>
      </c>
      <c r="D479" s="6">
        <v>90</v>
      </c>
      <c r="E479" t="s">
        <v>1235</v>
      </c>
      <c r="F479" t="s">
        <v>36</v>
      </c>
      <c r="G479" t="s">
        <v>193</v>
      </c>
      <c r="H479" t="s">
        <v>1269</v>
      </c>
      <c r="I479" s="5">
        <v>436450</v>
      </c>
      <c r="L479" s="5">
        <v>436450</v>
      </c>
      <c r="M479" s="5">
        <v>46762.5</v>
      </c>
      <c r="N479" s="5">
        <v>389687.5</v>
      </c>
    </row>
    <row r="480" spans="1:14" hidden="1">
      <c r="A480" t="s">
        <v>1270</v>
      </c>
      <c r="B480" t="s">
        <v>1217</v>
      </c>
      <c r="C480" t="s">
        <v>146</v>
      </c>
      <c r="D480" s="6">
        <v>90</v>
      </c>
      <c r="E480" t="s">
        <v>1235</v>
      </c>
      <c r="F480" t="s">
        <v>36</v>
      </c>
      <c r="G480" t="s">
        <v>754</v>
      </c>
      <c r="H480" t="s">
        <v>1271</v>
      </c>
      <c r="I480" s="5">
        <v>496650</v>
      </c>
      <c r="L480" s="5">
        <v>496650</v>
      </c>
      <c r="M480" s="5">
        <v>53212.5</v>
      </c>
      <c r="N480" s="5">
        <v>443437.5</v>
      </c>
    </row>
    <row r="481" spans="1:14" hidden="1">
      <c r="A481" t="s">
        <v>1272</v>
      </c>
      <c r="B481" t="s">
        <v>1217</v>
      </c>
      <c r="C481" t="s">
        <v>146</v>
      </c>
      <c r="D481" s="6">
        <v>90</v>
      </c>
      <c r="E481" t="s">
        <v>1235</v>
      </c>
      <c r="F481" t="s">
        <v>36</v>
      </c>
      <c r="G481" t="s">
        <v>193</v>
      </c>
      <c r="H481" t="s">
        <v>1273</v>
      </c>
      <c r="I481" s="5">
        <v>327240</v>
      </c>
      <c r="L481" s="5">
        <v>327240</v>
      </c>
      <c r="M481" s="5">
        <v>35061.43</v>
      </c>
      <c r="N481" s="5">
        <v>292178.57</v>
      </c>
    </row>
    <row r="482" spans="1:14" hidden="1">
      <c r="A482" t="s">
        <v>1274</v>
      </c>
      <c r="B482" t="s">
        <v>1217</v>
      </c>
      <c r="C482" t="s">
        <v>60</v>
      </c>
      <c r="D482" s="6">
        <v>0</v>
      </c>
      <c r="E482" t="s">
        <v>1217</v>
      </c>
      <c r="F482" t="s">
        <v>56</v>
      </c>
      <c r="G482" t="s">
        <v>412</v>
      </c>
      <c r="H482" t="s">
        <v>1275</v>
      </c>
      <c r="I482" s="5">
        <v>11760</v>
      </c>
      <c r="J482" s="4">
        <v>-352.8</v>
      </c>
      <c r="L482" s="5">
        <v>11407.2</v>
      </c>
      <c r="M482" s="5">
        <v>1222.2</v>
      </c>
      <c r="N482" s="5">
        <v>10185</v>
      </c>
    </row>
    <row r="483" spans="1:14" hidden="1">
      <c r="A483" t="s">
        <v>1276</v>
      </c>
      <c r="B483" t="s">
        <v>1217</v>
      </c>
      <c r="C483" t="s">
        <v>146</v>
      </c>
      <c r="D483" s="6">
        <v>90</v>
      </c>
      <c r="E483" t="s">
        <v>1235</v>
      </c>
      <c r="F483" t="s">
        <v>36</v>
      </c>
      <c r="G483" t="s">
        <v>193</v>
      </c>
      <c r="H483" t="s">
        <v>1277</v>
      </c>
      <c r="I483" s="5">
        <v>90300</v>
      </c>
      <c r="L483" s="5">
        <v>90300</v>
      </c>
      <c r="M483" s="5">
        <v>9675</v>
      </c>
      <c r="N483" s="5">
        <v>80625</v>
      </c>
    </row>
    <row r="484" spans="1:14" hidden="1">
      <c r="A484" t="s">
        <v>1278</v>
      </c>
      <c r="B484" t="s">
        <v>1217</v>
      </c>
      <c r="C484" t="s">
        <v>73</v>
      </c>
      <c r="D484" s="6">
        <v>30</v>
      </c>
      <c r="E484" t="s">
        <v>1231</v>
      </c>
      <c r="F484" t="s">
        <v>56</v>
      </c>
      <c r="G484" t="s">
        <v>812</v>
      </c>
      <c r="H484" t="s">
        <v>1279</v>
      </c>
      <c r="I484" s="5">
        <v>147233</v>
      </c>
      <c r="L484" s="5">
        <v>147233</v>
      </c>
      <c r="M484" s="5">
        <v>15774.96</v>
      </c>
      <c r="N484" s="5">
        <v>131458.04</v>
      </c>
    </row>
    <row r="485" spans="1:14" hidden="1">
      <c r="A485" t="s">
        <v>1280</v>
      </c>
      <c r="B485" t="s">
        <v>1217</v>
      </c>
      <c r="C485" t="s">
        <v>60</v>
      </c>
      <c r="D485" s="6">
        <v>0</v>
      </c>
      <c r="E485" t="s">
        <v>1217</v>
      </c>
      <c r="F485" t="s">
        <v>56</v>
      </c>
      <c r="G485" t="s">
        <v>605</v>
      </c>
      <c r="H485" t="s">
        <v>1281</v>
      </c>
      <c r="I485" s="5">
        <v>255000</v>
      </c>
      <c r="L485" s="5">
        <v>255000</v>
      </c>
      <c r="M485" s="5">
        <v>27321.43</v>
      </c>
      <c r="N485" s="5">
        <v>227678.57</v>
      </c>
    </row>
    <row r="486" spans="1:14" hidden="1">
      <c r="A486" t="s">
        <v>1282</v>
      </c>
      <c r="B486" t="s">
        <v>1217</v>
      </c>
      <c r="C486" t="s">
        <v>68</v>
      </c>
      <c r="D486" s="6">
        <v>60</v>
      </c>
      <c r="E486" t="s">
        <v>1223</v>
      </c>
      <c r="F486" t="s">
        <v>69</v>
      </c>
      <c r="G486" t="s">
        <v>70</v>
      </c>
      <c r="H486" t="s">
        <v>1283</v>
      </c>
      <c r="I486" s="5">
        <v>2419200</v>
      </c>
      <c r="L486" s="5">
        <v>2419200</v>
      </c>
      <c r="M486" s="5">
        <v>259200</v>
      </c>
      <c r="N486" s="5">
        <v>2160000</v>
      </c>
    </row>
    <row r="487" spans="1:14" hidden="1">
      <c r="A487" t="s">
        <v>1284</v>
      </c>
      <c r="B487" t="s">
        <v>1217</v>
      </c>
      <c r="C487" t="s">
        <v>29</v>
      </c>
      <c r="D487" s="6">
        <v>0</v>
      </c>
      <c r="E487" t="s">
        <v>1217</v>
      </c>
      <c r="F487" t="s">
        <v>30</v>
      </c>
      <c r="G487" t="s">
        <v>40</v>
      </c>
      <c r="H487" t="s">
        <v>1285</v>
      </c>
      <c r="I487" s="5">
        <v>74600</v>
      </c>
      <c r="L487" s="5">
        <v>74600</v>
      </c>
      <c r="M487" s="5">
        <v>7992.86</v>
      </c>
      <c r="N487" s="5">
        <v>66607.14</v>
      </c>
    </row>
    <row r="488" spans="1:14" hidden="1">
      <c r="A488" t="s">
        <v>1286</v>
      </c>
      <c r="B488" t="s">
        <v>1287</v>
      </c>
      <c r="C488" t="s">
        <v>18</v>
      </c>
      <c r="D488" s="6">
        <v>0</v>
      </c>
      <c r="E488" t="s">
        <v>1287</v>
      </c>
      <c r="F488" t="s">
        <v>46</v>
      </c>
      <c r="G488" t="s">
        <v>1288</v>
      </c>
      <c r="H488" t="s">
        <v>1289</v>
      </c>
      <c r="I488" s="5">
        <v>83772</v>
      </c>
      <c r="J488" s="4">
        <v>-1675.44</v>
      </c>
      <c r="L488" s="5">
        <v>82096.56</v>
      </c>
      <c r="M488" s="5">
        <v>8796.06</v>
      </c>
      <c r="N488" s="5">
        <v>73300.5</v>
      </c>
    </row>
    <row r="489" spans="1:14" hidden="1">
      <c r="A489" t="s">
        <v>1290</v>
      </c>
      <c r="B489" t="s">
        <v>1287</v>
      </c>
      <c r="C489" t="s">
        <v>18</v>
      </c>
      <c r="D489" s="6">
        <v>0</v>
      </c>
      <c r="E489" t="s">
        <v>1287</v>
      </c>
      <c r="F489" t="s">
        <v>46</v>
      </c>
      <c r="G489" t="s">
        <v>1288</v>
      </c>
      <c r="H489" t="s">
        <v>1291</v>
      </c>
      <c r="I489" s="5">
        <v>18000</v>
      </c>
      <c r="J489" s="4">
        <v>-360</v>
      </c>
      <c r="L489" s="5">
        <v>17640</v>
      </c>
      <c r="M489" s="5">
        <v>1890</v>
      </c>
      <c r="N489" s="5">
        <v>15750</v>
      </c>
    </row>
    <row r="490" spans="1:14" hidden="1">
      <c r="A490" t="s">
        <v>1292</v>
      </c>
      <c r="B490" t="s">
        <v>1287</v>
      </c>
      <c r="C490" t="s">
        <v>18</v>
      </c>
      <c r="D490" s="6">
        <v>0</v>
      </c>
      <c r="E490" t="s">
        <v>1287</v>
      </c>
      <c r="F490" t="s">
        <v>46</v>
      </c>
      <c r="G490" t="s">
        <v>1288</v>
      </c>
      <c r="H490" t="s">
        <v>1293</v>
      </c>
      <c r="I490" s="5">
        <v>25670</v>
      </c>
      <c r="J490" s="4">
        <v>-513.4</v>
      </c>
      <c r="L490" s="5">
        <v>25156.6</v>
      </c>
      <c r="M490" s="5">
        <v>2695.35</v>
      </c>
      <c r="N490" s="5">
        <v>22461.25</v>
      </c>
    </row>
    <row r="491" spans="1:14" hidden="1">
      <c r="A491" t="s">
        <v>1294</v>
      </c>
      <c r="B491" t="s">
        <v>1287</v>
      </c>
      <c r="C491" t="s">
        <v>18</v>
      </c>
      <c r="D491" s="6">
        <v>0</v>
      </c>
      <c r="E491" t="s">
        <v>1287</v>
      </c>
      <c r="F491" t="s">
        <v>46</v>
      </c>
      <c r="G491" t="s">
        <v>1288</v>
      </c>
      <c r="H491" t="s">
        <v>1295</v>
      </c>
      <c r="I491" s="5">
        <v>13090</v>
      </c>
      <c r="J491" s="4">
        <v>-261.8</v>
      </c>
      <c r="L491" s="5">
        <v>12828.2</v>
      </c>
      <c r="M491" s="5">
        <v>1374.45</v>
      </c>
      <c r="N491" s="5">
        <v>11453.75</v>
      </c>
    </row>
    <row r="492" spans="1:14" hidden="1">
      <c r="A492" t="s">
        <v>1296</v>
      </c>
      <c r="B492" t="s">
        <v>1287</v>
      </c>
      <c r="C492" t="s">
        <v>73</v>
      </c>
      <c r="D492" s="6">
        <v>30</v>
      </c>
      <c r="E492" t="s">
        <v>1297</v>
      </c>
      <c r="F492" t="s">
        <v>46</v>
      </c>
      <c r="G492" t="s">
        <v>522</v>
      </c>
      <c r="H492" t="s">
        <v>1298</v>
      </c>
      <c r="I492" s="5">
        <v>289280</v>
      </c>
      <c r="L492" s="5">
        <v>289280</v>
      </c>
      <c r="N492" s="5">
        <v>289280</v>
      </c>
    </row>
    <row r="493" spans="1:14" hidden="1">
      <c r="A493" t="s">
        <v>1299</v>
      </c>
      <c r="B493" t="s">
        <v>1287</v>
      </c>
      <c r="C493" t="s">
        <v>60</v>
      </c>
      <c r="D493" s="6">
        <v>0</v>
      </c>
      <c r="E493" t="s">
        <v>1287</v>
      </c>
      <c r="F493" t="s">
        <v>56</v>
      </c>
      <c r="G493" t="s">
        <v>1300</v>
      </c>
      <c r="H493" t="s">
        <v>1301</v>
      </c>
      <c r="I493" s="5">
        <v>50875</v>
      </c>
      <c r="L493" s="5">
        <v>50875</v>
      </c>
      <c r="M493" s="5">
        <v>5450.89</v>
      </c>
      <c r="N493" s="5">
        <v>45424.11</v>
      </c>
    </row>
    <row r="494" spans="1:14" hidden="1">
      <c r="A494" t="s">
        <v>1302</v>
      </c>
      <c r="B494" t="s">
        <v>1287</v>
      </c>
      <c r="C494" t="s">
        <v>60</v>
      </c>
      <c r="D494" s="6">
        <v>0</v>
      </c>
      <c r="E494" t="s">
        <v>1287</v>
      </c>
      <c r="F494" t="s">
        <v>56</v>
      </c>
      <c r="G494" t="s">
        <v>1300</v>
      </c>
      <c r="H494" t="s">
        <v>1303</v>
      </c>
      <c r="I494" s="5">
        <v>3540</v>
      </c>
      <c r="L494" s="5">
        <v>3540</v>
      </c>
      <c r="M494" s="7">
        <v>379.29</v>
      </c>
      <c r="N494" s="5">
        <v>3160.71</v>
      </c>
    </row>
    <row r="495" spans="1:14" hidden="1">
      <c r="A495" t="s">
        <v>1304</v>
      </c>
      <c r="B495" t="s">
        <v>1287</v>
      </c>
      <c r="C495" t="s">
        <v>60</v>
      </c>
      <c r="D495" s="6">
        <v>0</v>
      </c>
      <c r="E495" t="s">
        <v>1287</v>
      </c>
      <c r="F495" t="s">
        <v>56</v>
      </c>
      <c r="G495" t="s">
        <v>211</v>
      </c>
      <c r="H495" t="s">
        <v>1305</v>
      </c>
      <c r="I495" s="5">
        <v>28800</v>
      </c>
      <c r="L495" s="5">
        <v>28800</v>
      </c>
      <c r="M495" s="5">
        <v>3085.71</v>
      </c>
      <c r="N495" s="5">
        <v>25714.29</v>
      </c>
    </row>
    <row r="496" spans="1:14" hidden="1">
      <c r="A496" t="s">
        <v>1306</v>
      </c>
      <c r="B496" t="s">
        <v>1287</v>
      </c>
      <c r="C496" t="s">
        <v>60</v>
      </c>
      <c r="D496" s="6">
        <v>0</v>
      </c>
      <c r="E496" t="s">
        <v>1287</v>
      </c>
      <c r="F496" t="s">
        <v>56</v>
      </c>
      <c r="G496" t="s">
        <v>211</v>
      </c>
      <c r="H496" t="s">
        <v>1307</v>
      </c>
      <c r="I496" s="5">
        <v>28800</v>
      </c>
      <c r="L496" s="5">
        <v>28800</v>
      </c>
      <c r="M496" s="5">
        <v>3085.71</v>
      </c>
      <c r="N496" s="5">
        <v>25714.29</v>
      </c>
    </row>
    <row r="497" spans="1:14" hidden="1">
      <c r="A497" t="s">
        <v>1308</v>
      </c>
      <c r="B497" t="s">
        <v>1287</v>
      </c>
      <c r="C497" t="s">
        <v>60</v>
      </c>
      <c r="D497" s="6">
        <v>0</v>
      </c>
      <c r="E497" t="s">
        <v>1287</v>
      </c>
      <c r="F497" t="s">
        <v>56</v>
      </c>
      <c r="G497" t="s">
        <v>211</v>
      </c>
      <c r="H497" t="s">
        <v>1309</v>
      </c>
      <c r="I497" s="5">
        <v>28800</v>
      </c>
      <c r="L497" s="5">
        <v>28800</v>
      </c>
      <c r="M497" s="5">
        <v>3085.71</v>
      </c>
      <c r="N497" s="5">
        <v>25714.29</v>
      </c>
    </row>
    <row r="498" spans="1:14" hidden="1">
      <c r="A498" t="s">
        <v>1310</v>
      </c>
      <c r="B498" t="s">
        <v>1287</v>
      </c>
      <c r="C498" t="s">
        <v>60</v>
      </c>
      <c r="D498" s="6">
        <v>0</v>
      </c>
      <c r="E498" t="s">
        <v>1287</v>
      </c>
      <c r="F498" t="s">
        <v>56</v>
      </c>
      <c r="G498" t="s">
        <v>293</v>
      </c>
      <c r="H498" t="s">
        <v>1311</v>
      </c>
      <c r="I498" s="5">
        <v>62730</v>
      </c>
      <c r="L498" s="5">
        <v>62730</v>
      </c>
      <c r="M498" s="5">
        <v>6721.07</v>
      </c>
      <c r="N498" s="5">
        <v>56008.93</v>
      </c>
    </row>
    <row r="499" spans="1:14" hidden="1">
      <c r="A499" t="s">
        <v>1312</v>
      </c>
      <c r="B499" t="s">
        <v>1287</v>
      </c>
      <c r="C499" t="s">
        <v>60</v>
      </c>
      <c r="D499" s="6">
        <v>0</v>
      </c>
      <c r="E499" t="s">
        <v>1287</v>
      </c>
      <c r="F499" t="s">
        <v>56</v>
      </c>
      <c r="G499" t="s">
        <v>190</v>
      </c>
      <c r="H499" t="s">
        <v>1313</v>
      </c>
      <c r="I499" s="5">
        <v>248990</v>
      </c>
      <c r="L499" s="5">
        <v>248990</v>
      </c>
      <c r="M499" s="5">
        <v>26677.5</v>
      </c>
      <c r="N499" s="5">
        <v>222312.5</v>
      </c>
    </row>
    <row r="500" spans="1:14" hidden="1">
      <c r="A500" t="s">
        <v>1314</v>
      </c>
      <c r="B500" t="s">
        <v>1287</v>
      </c>
      <c r="C500" t="s">
        <v>162</v>
      </c>
      <c r="D500" s="6">
        <v>90</v>
      </c>
      <c r="E500" t="s">
        <v>1315</v>
      </c>
      <c r="F500" t="s">
        <v>204</v>
      </c>
      <c r="G500" t="s">
        <v>1316</v>
      </c>
      <c r="H500" t="s">
        <v>1317</v>
      </c>
      <c r="I500" s="5">
        <v>45720</v>
      </c>
      <c r="L500" s="5">
        <v>45720</v>
      </c>
      <c r="M500" s="5">
        <v>4898.57</v>
      </c>
      <c r="N500" s="5">
        <v>40821.43</v>
      </c>
    </row>
    <row r="501" spans="1:14" hidden="1">
      <c r="A501" t="s">
        <v>1318</v>
      </c>
      <c r="B501" t="s">
        <v>1287</v>
      </c>
      <c r="C501" t="s">
        <v>60</v>
      </c>
      <c r="D501" s="6">
        <v>0</v>
      </c>
      <c r="E501" t="s">
        <v>1287</v>
      </c>
      <c r="F501" t="s">
        <v>30</v>
      </c>
      <c r="G501" t="s">
        <v>1248</v>
      </c>
      <c r="H501" t="s">
        <v>1319</v>
      </c>
      <c r="I501" s="5">
        <v>4330</v>
      </c>
      <c r="L501" s="5">
        <v>4330</v>
      </c>
      <c r="M501" s="7">
        <v>463.93</v>
      </c>
      <c r="N501" s="5">
        <v>3866.07</v>
      </c>
    </row>
    <row r="502" spans="1:14" hidden="1">
      <c r="A502" t="s">
        <v>1320</v>
      </c>
      <c r="B502" t="s">
        <v>1287</v>
      </c>
      <c r="C502" t="s">
        <v>73</v>
      </c>
      <c r="D502" s="6">
        <v>30</v>
      </c>
      <c r="E502" t="s">
        <v>1297</v>
      </c>
      <c r="F502" t="s">
        <v>46</v>
      </c>
      <c r="G502" t="s">
        <v>1321</v>
      </c>
      <c r="H502" t="s">
        <v>1322</v>
      </c>
      <c r="I502" s="5">
        <v>9335</v>
      </c>
      <c r="L502" s="5">
        <v>9335</v>
      </c>
      <c r="M502" s="5">
        <v>1000.18</v>
      </c>
      <c r="N502" s="5">
        <v>8334.82</v>
      </c>
    </row>
    <row r="503" spans="1:14" hidden="1">
      <c r="A503" t="s">
        <v>1323</v>
      </c>
      <c r="B503" t="s">
        <v>1287</v>
      </c>
      <c r="C503" t="s">
        <v>73</v>
      </c>
      <c r="D503" s="6">
        <v>30</v>
      </c>
      <c r="E503" t="s">
        <v>1297</v>
      </c>
      <c r="F503" t="s">
        <v>46</v>
      </c>
      <c r="G503" t="s">
        <v>1321</v>
      </c>
      <c r="H503" t="s">
        <v>1324</v>
      </c>
      <c r="I503" s="5">
        <v>369142</v>
      </c>
      <c r="L503" s="5">
        <v>369142</v>
      </c>
      <c r="M503" s="5">
        <v>39550.93</v>
      </c>
      <c r="N503" s="5">
        <v>329591.07</v>
      </c>
    </row>
    <row r="504" spans="1:14" hidden="1">
      <c r="A504" t="s">
        <v>1325</v>
      </c>
      <c r="B504" t="s">
        <v>1287</v>
      </c>
      <c r="C504" t="s">
        <v>146</v>
      </c>
      <c r="D504" s="6">
        <v>90</v>
      </c>
      <c r="E504" t="s">
        <v>1315</v>
      </c>
      <c r="F504" t="s">
        <v>46</v>
      </c>
      <c r="G504" t="s">
        <v>1326</v>
      </c>
      <c r="H504" t="s">
        <v>1327</v>
      </c>
      <c r="I504" s="5">
        <v>148436</v>
      </c>
      <c r="L504" s="5">
        <v>148436</v>
      </c>
      <c r="M504" s="5">
        <v>15903.86</v>
      </c>
      <c r="N504" s="5">
        <v>132532.14000000001</v>
      </c>
    </row>
    <row r="505" spans="1:14" hidden="1">
      <c r="A505" t="s">
        <v>1328</v>
      </c>
      <c r="B505" t="s">
        <v>1287</v>
      </c>
      <c r="C505" t="s">
        <v>60</v>
      </c>
      <c r="D505" s="6">
        <v>0</v>
      </c>
      <c r="E505" t="s">
        <v>1287</v>
      </c>
      <c r="F505" t="s">
        <v>56</v>
      </c>
      <c r="G505" t="s">
        <v>457</v>
      </c>
      <c r="H505" t="s">
        <v>1329</v>
      </c>
      <c r="I505" s="5">
        <v>47935</v>
      </c>
      <c r="L505" s="5">
        <v>47935</v>
      </c>
      <c r="M505" s="5">
        <v>5135.8900000000003</v>
      </c>
      <c r="N505" s="5">
        <v>42799.11</v>
      </c>
    </row>
    <row r="506" spans="1:14" hidden="1">
      <c r="A506" t="s">
        <v>1330</v>
      </c>
      <c r="B506" t="s">
        <v>1287</v>
      </c>
      <c r="C506" t="s">
        <v>151</v>
      </c>
      <c r="D506" s="6">
        <v>60</v>
      </c>
      <c r="E506" t="s">
        <v>1331</v>
      </c>
      <c r="F506" t="s">
        <v>30</v>
      </c>
      <c r="G506" t="s">
        <v>614</v>
      </c>
      <c r="H506" t="s">
        <v>1332</v>
      </c>
      <c r="I506" s="5">
        <v>31905</v>
      </c>
      <c r="L506" s="5">
        <v>31905</v>
      </c>
      <c r="M506" s="5">
        <v>3418.39</v>
      </c>
      <c r="N506" s="5">
        <v>28486.61</v>
      </c>
    </row>
    <row r="507" spans="1:14" hidden="1">
      <c r="A507" t="s">
        <v>1333</v>
      </c>
      <c r="B507" t="s">
        <v>1287</v>
      </c>
      <c r="C507" t="s">
        <v>104</v>
      </c>
      <c r="D507" s="6">
        <v>0</v>
      </c>
      <c r="E507" t="s">
        <v>1287</v>
      </c>
      <c r="F507" t="s">
        <v>30</v>
      </c>
      <c r="G507" t="s">
        <v>1334</v>
      </c>
      <c r="H507" t="s">
        <v>1335</v>
      </c>
      <c r="I507" s="5">
        <v>1144800</v>
      </c>
      <c r="J507" s="4">
        <v>-34344</v>
      </c>
      <c r="L507" s="5">
        <v>1110456</v>
      </c>
      <c r="M507" s="5">
        <v>118977.43</v>
      </c>
      <c r="N507" s="5">
        <v>991478.57</v>
      </c>
    </row>
    <row r="508" spans="1:14" hidden="1">
      <c r="A508" t="s">
        <v>1336</v>
      </c>
      <c r="B508" t="s">
        <v>1287</v>
      </c>
      <c r="C508" t="s">
        <v>60</v>
      </c>
      <c r="D508" s="6">
        <v>0</v>
      </c>
      <c r="E508" t="s">
        <v>1287</v>
      </c>
      <c r="F508" t="s">
        <v>56</v>
      </c>
      <c r="G508" t="s">
        <v>605</v>
      </c>
      <c r="H508" t="s">
        <v>1337</v>
      </c>
      <c r="I508" s="5">
        <v>1126635.48</v>
      </c>
      <c r="L508" s="5">
        <v>1126635.48</v>
      </c>
      <c r="M508" s="5">
        <v>120710.94</v>
      </c>
      <c r="N508" s="5">
        <v>1005924.54</v>
      </c>
    </row>
    <row r="509" spans="1:14" hidden="1">
      <c r="A509" t="s">
        <v>1338</v>
      </c>
      <c r="B509" t="s">
        <v>1287</v>
      </c>
      <c r="C509" t="s">
        <v>60</v>
      </c>
      <c r="D509" s="6">
        <v>0</v>
      </c>
      <c r="E509" t="s">
        <v>1287</v>
      </c>
      <c r="F509" t="s">
        <v>56</v>
      </c>
      <c r="G509" t="s">
        <v>605</v>
      </c>
      <c r="H509" t="s">
        <v>1339</v>
      </c>
      <c r="I509" s="5">
        <v>280110</v>
      </c>
      <c r="L509" s="5">
        <v>280110</v>
      </c>
      <c r="M509" s="5">
        <v>30011.79</v>
      </c>
      <c r="N509" s="5">
        <v>250098.21</v>
      </c>
    </row>
    <row r="510" spans="1:14" hidden="1">
      <c r="A510" t="s">
        <v>1340</v>
      </c>
      <c r="B510" t="s">
        <v>1287</v>
      </c>
      <c r="C510" t="s">
        <v>34</v>
      </c>
      <c r="D510" s="6">
        <v>60</v>
      </c>
      <c r="E510" t="s">
        <v>1331</v>
      </c>
      <c r="F510" t="s">
        <v>36</v>
      </c>
      <c r="G510" t="s">
        <v>37</v>
      </c>
      <c r="H510" t="s">
        <v>1341</v>
      </c>
      <c r="I510" s="5">
        <v>467200</v>
      </c>
      <c r="L510" s="5">
        <v>467200</v>
      </c>
      <c r="M510" s="5">
        <v>50057.14</v>
      </c>
      <c r="N510" s="5">
        <v>417142.86</v>
      </c>
    </row>
    <row r="511" spans="1:14" hidden="1">
      <c r="A511" t="s">
        <v>1342</v>
      </c>
      <c r="B511" t="s">
        <v>1287</v>
      </c>
      <c r="C511" t="s">
        <v>73</v>
      </c>
      <c r="D511" s="6">
        <v>30</v>
      </c>
      <c r="E511" t="s">
        <v>1297</v>
      </c>
      <c r="F511" t="s">
        <v>19</v>
      </c>
      <c r="G511" t="s">
        <v>267</v>
      </c>
      <c r="H511" t="s">
        <v>1343</v>
      </c>
      <c r="I511" s="5">
        <v>209080</v>
      </c>
      <c r="L511" s="5">
        <v>209080</v>
      </c>
      <c r="M511" s="5">
        <v>22401.43</v>
      </c>
      <c r="N511" s="5">
        <v>186678.57</v>
      </c>
    </row>
    <row r="512" spans="1:14" hidden="1">
      <c r="A512" t="s">
        <v>1344</v>
      </c>
      <c r="B512" t="s">
        <v>1287</v>
      </c>
      <c r="C512" t="s">
        <v>162</v>
      </c>
      <c r="D512" s="6">
        <v>90</v>
      </c>
      <c r="E512" t="s">
        <v>1315</v>
      </c>
      <c r="F512" t="s">
        <v>36</v>
      </c>
      <c r="G512" t="s">
        <v>193</v>
      </c>
      <c r="H512" t="s">
        <v>1345</v>
      </c>
      <c r="I512" s="5">
        <v>198750</v>
      </c>
      <c r="L512" s="5">
        <v>198750</v>
      </c>
      <c r="M512" s="5">
        <v>21294.639999999999</v>
      </c>
      <c r="N512" s="5">
        <v>177455.35999999999</v>
      </c>
    </row>
    <row r="513" spans="1:14" hidden="1">
      <c r="A513" t="s">
        <v>1346</v>
      </c>
      <c r="B513" t="s">
        <v>1287</v>
      </c>
      <c r="C513" t="s">
        <v>146</v>
      </c>
      <c r="D513" s="6">
        <v>90</v>
      </c>
      <c r="E513" t="s">
        <v>1315</v>
      </c>
      <c r="F513" t="s">
        <v>56</v>
      </c>
      <c r="G513" t="s">
        <v>666</v>
      </c>
      <c r="H513" t="s">
        <v>1347</v>
      </c>
      <c r="I513" s="5">
        <v>361195</v>
      </c>
      <c r="L513" s="5">
        <v>361195</v>
      </c>
      <c r="M513" s="5">
        <v>38699.46</v>
      </c>
      <c r="N513" s="5">
        <v>322495.53999999998</v>
      </c>
    </row>
    <row r="514" spans="1:14" hidden="1">
      <c r="A514" t="s">
        <v>1348</v>
      </c>
      <c r="B514" t="s">
        <v>1287</v>
      </c>
      <c r="C514" t="s">
        <v>162</v>
      </c>
      <c r="D514" s="6">
        <v>90</v>
      </c>
      <c r="E514" t="s">
        <v>1315</v>
      </c>
      <c r="F514" t="s">
        <v>30</v>
      </c>
      <c r="G514" t="s">
        <v>1349</v>
      </c>
      <c r="H514" t="s">
        <v>1350</v>
      </c>
      <c r="I514" s="5">
        <v>172200</v>
      </c>
      <c r="L514" s="5">
        <v>172200</v>
      </c>
      <c r="M514" s="5">
        <v>18450</v>
      </c>
      <c r="N514" s="5">
        <v>153750</v>
      </c>
    </row>
    <row r="515" spans="1:14" hidden="1">
      <c r="A515" t="s">
        <v>1351</v>
      </c>
      <c r="B515" t="s">
        <v>1287</v>
      </c>
      <c r="C515" t="s">
        <v>151</v>
      </c>
      <c r="D515" s="6">
        <v>60</v>
      </c>
      <c r="E515" t="s">
        <v>1331</v>
      </c>
      <c r="F515" t="s">
        <v>69</v>
      </c>
      <c r="G515" t="s">
        <v>253</v>
      </c>
      <c r="H515" t="s">
        <v>1352</v>
      </c>
      <c r="I515" s="5">
        <v>1041610</v>
      </c>
      <c r="L515" s="5">
        <v>1041610</v>
      </c>
      <c r="M515" s="5">
        <v>111601.07</v>
      </c>
      <c r="N515" s="5">
        <v>930008.93</v>
      </c>
    </row>
    <row r="516" spans="1:14" hidden="1">
      <c r="A516" t="s">
        <v>1353</v>
      </c>
      <c r="B516" t="s">
        <v>1287</v>
      </c>
      <c r="C516" t="s">
        <v>60</v>
      </c>
      <c r="D516" s="6">
        <v>0</v>
      </c>
      <c r="E516" t="s">
        <v>1287</v>
      </c>
      <c r="F516" t="s">
        <v>56</v>
      </c>
      <c r="G516" t="s">
        <v>196</v>
      </c>
      <c r="H516" t="s">
        <v>1354</v>
      </c>
      <c r="I516" s="5">
        <v>434653</v>
      </c>
      <c r="L516" s="5">
        <v>434653</v>
      </c>
      <c r="M516" s="5">
        <v>46569.96</v>
      </c>
      <c r="N516" s="5">
        <v>388083.04</v>
      </c>
    </row>
    <row r="517" spans="1:14" hidden="1">
      <c r="A517" t="s">
        <v>1355</v>
      </c>
      <c r="B517" t="s">
        <v>1287</v>
      </c>
      <c r="C517" t="s">
        <v>60</v>
      </c>
      <c r="D517" s="6">
        <v>0</v>
      </c>
      <c r="E517" t="s">
        <v>1287</v>
      </c>
      <c r="F517" t="s">
        <v>56</v>
      </c>
      <c r="G517" t="s">
        <v>196</v>
      </c>
      <c r="H517" t="s">
        <v>1356</v>
      </c>
      <c r="I517" s="5">
        <v>183132</v>
      </c>
      <c r="L517" s="5">
        <v>183132</v>
      </c>
      <c r="M517" s="5">
        <v>19621.29</v>
      </c>
      <c r="N517" s="5">
        <v>163510.71</v>
      </c>
    </row>
    <row r="518" spans="1:14" hidden="1">
      <c r="A518" t="s">
        <v>1357</v>
      </c>
      <c r="B518" t="s">
        <v>1287</v>
      </c>
      <c r="C518" t="s">
        <v>146</v>
      </c>
      <c r="D518" s="6">
        <v>90</v>
      </c>
      <c r="E518" t="s">
        <v>1315</v>
      </c>
      <c r="F518" t="s">
        <v>139</v>
      </c>
      <c r="G518" t="s">
        <v>1038</v>
      </c>
      <c r="H518" t="s">
        <v>1358</v>
      </c>
      <c r="I518" s="5">
        <v>59512</v>
      </c>
      <c r="L518" s="5">
        <v>59512</v>
      </c>
      <c r="M518" s="5">
        <v>6376.29</v>
      </c>
      <c r="N518" s="5">
        <v>53135.71</v>
      </c>
    </row>
    <row r="519" spans="1:14" hidden="1">
      <c r="A519" t="s">
        <v>1359</v>
      </c>
      <c r="B519" t="s">
        <v>1287</v>
      </c>
      <c r="C519" t="s">
        <v>146</v>
      </c>
      <c r="D519" s="6">
        <v>90</v>
      </c>
      <c r="E519" t="s">
        <v>1315</v>
      </c>
      <c r="F519" t="s">
        <v>139</v>
      </c>
      <c r="G519" t="s">
        <v>1038</v>
      </c>
      <c r="H519" t="s">
        <v>1360</v>
      </c>
      <c r="I519" s="5">
        <v>178256</v>
      </c>
      <c r="L519" s="5">
        <v>178256</v>
      </c>
      <c r="M519" s="5">
        <v>19098.86</v>
      </c>
      <c r="N519" s="5">
        <v>159157.14000000001</v>
      </c>
    </row>
    <row r="520" spans="1:14" hidden="1">
      <c r="A520" t="s">
        <v>1361</v>
      </c>
      <c r="B520" t="s">
        <v>1287</v>
      </c>
      <c r="C520" t="s">
        <v>146</v>
      </c>
      <c r="D520" s="6">
        <v>90</v>
      </c>
      <c r="E520" t="s">
        <v>1315</v>
      </c>
      <c r="F520" t="s">
        <v>139</v>
      </c>
      <c r="G520" t="s">
        <v>1038</v>
      </c>
      <c r="H520" t="s">
        <v>1362</v>
      </c>
      <c r="I520" s="5">
        <v>989368</v>
      </c>
      <c r="L520" s="5">
        <v>989368</v>
      </c>
      <c r="M520" s="5">
        <v>106003.71</v>
      </c>
      <c r="N520" s="5">
        <v>883364.29</v>
      </c>
    </row>
    <row r="521" spans="1:14" hidden="1">
      <c r="A521" t="s">
        <v>1363</v>
      </c>
      <c r="B521" t="s">
        <v>1287</v>
      </c>
      <c r="C521" t="s">
        <v>146</v>
      </c>
      <c r="D521" s="6">
        <v>90</v>
      </c>
      <c r="E521" t="s">
        <v>1315</v>
      </c>
      <c r="F521" t="s">
        <v>139</v>
      </c>
      <c r="G521" t="s">
        <v>1038</v>
      </c>
      <c r="H521" t="s">
        <v>1364</v>
      </c>
      <c r="I521" s="5">
        <v>118334</v>
      </c>
      <c r="L521" s="5">
        <v>118334</v>
      </c>
      <c r="M521" s="5">
        <v>12678.64</v>
      </c>
      <c r="N521" s="5">
        <v>105655.36</v>
      </c>
    </row>
    <row r="522" spans="1:14" hidden="1">
      <c r="A522" t="s">
        <v>1365</v>
      </c>
      <c r="B522" t="s">
        <v>1287</v>
      </c>
      <c r="C522" t="s">
        <v>146</v>
      </c>
      <c r="D522" s="6">
        <v>90</v>
      </c>
      <c r="E522" t="s">
        <v>1315</v>
      </c>
      <c r="F522" t="s">
        <v>139</v>
      </c>
      <c r="G522" t="s">
        <v>1038</v>
      </c>
      <c r="H522" t="s">
        <v>1366</v>
      </c>
      <c r="I522" s="5">
        <v>35532</v>
      </c>
      <c r="L522" s="5">
        <v>35532</v>
      </c>
      <c r="M522" s="5">
        <v>3807</v>
      </c>
      <c r="N522" s="5">
        <v>31725</v>
      </c>
    </row>
    <row r="523" spans="1:14" hidden="1">
      <c r="A523" t="s">
        <v>1367</v>
      </c>
      <c r="B523" t="s">
        <v>1287</v>
      </c>
      <c r="C523" t="s">
        <v>146</v>
      </c>
      <c r="D523" s="6">
        <v>90</v>
      </c>
      <c r="E523" t="s">
        <v>1315</v>
      </c>
      <c r="F523" t="s">
        <v>139</v>
      </c>
      <c r="G523" t="s">
        <v>1038</v>
      </c>
      <c r="H523" t="s">
        <v>1368</v>
      </c>
      <c r="I523" s="5">
        <v>175028</v>
      </c>
      <c r="L523" s="5">
        <v>175028</v>
      </c>
      <c r="M523" s="5">
        <v>18753</v>
      </c>
      <c r="N523" s="5">
        <v>156275</v>
      </c>
    </row>
    <row r="524" spans="1:14" hidden="1">
      <c r="A524" t="s">
        <v>1369</v>
      </c>
      <c r="B524" t="s">
        <v>1287</v>
      </c>
      <c r="C524" t="s">
        <v>162</v>
      </c>
      <c r="D524" s="6">
        <v>90</v>
      </c>
      <c r="E524" t="s">
        <v>1315</v>
      </c>
      <c r="F524" t="s">
        <v>423</v>
      </c>
      <c r="G524" t="s">
        <v>424</v>
      </c>
      <c r="H524" t="s">
        <v>1370</v>
      </c>
      <c r="I524" s="5">
        <v>16800</v>
      </c>
      <c r="L524" s="5">
        <v>16800</v>
      </c>
      <c r="M524" s="5">
        <v>1800</v>
      </c>
      <c r="N524" s="5">
        <v>15000</v>
      </c>
    </row>
    <row r="525" spans="1:14" hidden="1">
      <c r="A525" t="s">
        <v>1371</v>
      </c>
      <c r="B525" t="s">
        <v>1372</v>
      </c>
      <c r="C525" t="s">
        <v>34</v>
      </c>
      <c r="D525" s="6">
        <v>60</v>
      </c>
      <c r="E525" t="s">
        <v>1373</v>
      </c>
      <c r="F525" t="s">
        <v>46</v>
      </c>
      <c r="G525" t="s">
        <v>1226</v>
      </c>
      <c r="H525" t="s">
        <v>1374</v>
      </c>
      <c r="I525" s="5">
        <v>9261</v>
      </c>
      <c r="L525" s="5">
        <v>9261</v>
      </c>
      <c r="M525" s="7">
        <v>992.25</v>
      </c>
      <c r="N525" s="5">
        <v>8268.75</v>
      </c>
    </row>
    <row r="526" spans="1:14" hidden="1">
      <c r="A526" t="s">
        <v>1375</v>
      </c>
      <c r="B526" t="s">
        <v>1372</v>
      </c>
      <c r="C526" t="s">
        <v>162</v>
      </c>
      <c r="D526" s="6">
        <v>90</v>
      </c>
      <c r="E526" t="s">
        <v>1376</v>
      </c>
      <c r="F526" t="s">
        <v>204</v>
      </c>
      <c r="G526" t="s">
        <v>1377</v>
      </c>
      <c r="H526" t="s">
        <v>1378</v>
      </c>
      <c r="I526" s="5">
        <v>116200</v>
      </c>
      <c r="L526" s="5">
        <v>116200</v>
      </c>
      <c r="M526" s="5">
        <v>12450</v>
      </c>
      <c r="N526" s="5">
        <v>103750</v>
      </c>
    </row>
    <row r="527" spans="1:14" hidden="1">
      <c r="A527" t="s">
        <v>1379</v>
      </c>
      <c r="B527" t="s">
        <v>1372</v>
      </c>
      <c r="C527" t="s">
        <v>681</v>
      </c>
      <c r="D527" s="6">
        <v>0</v>
      </c>
      <c r="E527" t="s">
        <v>1372</v>
      </c>
      <c r="F527" t="s">
        <v>625</v>
      </c>
      <c r="G527" t="s">
        <v>793</v>
      </c>
      <c r="H527" t="s">
        <v>1380</v>
      </c>
      <c r="I527" s="5">
        <v>1428</v>
      </c>
      <c r="L527" s="5">
        <v>1428</v>
      </c>
      <c r="M527" s="7">
        <v>153</v>
      </c>
      <c r="N527" s="5">
        <v>1275</v>
      </c>
    </row>
    <row r="528" spans="1:14" hidden="1">
      <c r="A528" t="s">
        <v>1381</v>
      </c>
      <c r="B528" t="s">
        <v>1372</v>
      </c>
      <c r="C528" t="s">
        <v>34</v>
      </c>
      <c r="D528" s="6">
        <v>60</v>
      </c>
      <c r="E528" t="s">
        <v>1373</v>
      </c>
      <c r="F528" t="s">
        <v>36</v>
      </c>
      <c r="G528" t="s">
        <v>37</v>
      </c>
      <c r="H528" t="s">
        <v>1382</v>
      </c>
      <c r="I528" s="5">
        <v>18989</v>
      </c>
      <c r="L528" s="5">
        <v>18989</v>
      </c>
      <c r="M528" s="5">
        <v>2034.54</v>
      </c>
      <c r="N528" s="5">
        <v>16954.46</v>
      </c>
    </row>
    <row r="529" spans="1:14" hidden="1">
      <c r="A529" t="s">
        <v>1383</v>
      </c>
      <c r="B529" t="s">
        <v>1372</v>
      </c>
      <c r="C529" t="s">
        <v>60</v>
      </c>
      <c r="D529" s="6">
        <v>0</v>
      </c>
      <c r="E529" t="s">
        <v>1372</v>
      </c>
      <c r="F529" t="s">
        <v>270</v>
      </c>
      <c r="G529" t="s">
        <v>1384</v>
      </c>
      <c r="H529" t="s">
        <v>1385</v>
      </c>
      <c r="I529" s="5">
        <v>241920</v>
      </c>
      <c r="L529" s="5">
        <v>241920</v>
      </c>
      <c r="M529" s="5">
        <v>25920</v>
      </c>
      <c r="N529" s="5">
        <v>216000</v>
      </c>
    </row>
    <row r="530" spans="1:14" hidden="1">
      <c r="A530" t="s">
        <v>1386</v>
      </c>
      <c r="B530" t="s">
        <v>1372</v>
      </c>
      <c r="C530" t="s">
        <v>681</v>
      </c>
      <c r="D530" s="6">
        <v>0</v>
      </c>
      <c r="E530" t="s">
        <v>1372</v>
      </c>
      <c r="F530" t="s">
        <v>46</v>
      </c>
      <c r="G530" t="s">
        <v>682</v>
      </c>
      <c r="H530" t="s">
        <v>1387</v>
      </c>
      <c r="I530" s="5">
        <v>27968</v>
      </c>
      <c r="L530" s="5">
        <v>27968</v>
      </c>
      <c r="M530" s="5">
        <v>2996.57</v>
      </c>
      <c r="N530" s="5">
        <v>24971.43</v>
      </c>
    </row>
    <row r="531" spans="1:14" hidden="1">
      <c r="A531" t="s">
        <v>1388</v>
      </c>
      <c r="B531" t="s">
        <v>1372</v>
      </c>
      <c r="C531" t="s">
        <v>333</v>
      </c>
      <c r="D531" s="6">
        <v>30</v>
      </c>
      <c r="E531" t="s">
        <v>1389</v>
      </c>
      <c r="F531" t="s">
        <v>270</v>
      </c>
      <c r="G531" t="s">
        <v>1262</v>
      </c>
      <c r="H531" t="s">
        <v>1263</v>
      </c>
      <c r="I531" s="5">
        <v>261896</v>
      </c>
      <c r="L531" s="5">
        <v>261896</v>
      </c>
      <c r="M531" s="5">
        <v>28060.29</v>
      </c>
      <c r="N531" s="5">
        <v>233835.71</v>
      </c>
    </row>
    <row r="532" spans="1:14" hidden="1">
      <c r="A532" t="s">
        <v>1390</v>
      </c>
      <c r="B532" t="s">
        <v>1372</v>
      </c>
      <c r="C532" t="s">
        <v>333</v>
      </c>
      <c r="D532" s="6">
        <v>30</v>
      </c>
      <c r="E532" t="s">
        <v>1389</v>
      </c>
      <c r="F532" t="s">
        <v>270</v>
      </c>
      <c r="G532" t="s">
        <v>1262</v>
      </c>
      <c r="H532" t="s">
        <v>1265</v>
      </c>
      <c r="I532" s="5">
        <v>212525</v>
      </c>
      <c r="L532" s="5">
        <v>212525</v>
      </c>
      <c r="M532" s="5">
        <v>22770.54</v>
      </c>
      <c r="N532" s="5">
        <v>189754.46</v>
      </c>
    </row>
    <row r="533" spans="1:14" hidden="1">
      <c r="A533" t="s">
        <v>1391</v>
      </c>
      <c r="B533" t="s">
        <v>1372</v>
      </c>
      <c r="C533" t="s">
        <v>18</v>
      </c>
      <c r="D533" s="6">
        <v>0</v>
      </c>
      <c r="E533" t="s">
        <v>1372</v>
      </c>
      <c r="F533" t="s">
        <v>56</v>
      </c>
      <c r="G533" t="s">
        <v>61</v>
      </c>
      <c r="H533" t="s">
        <v>1392</v>
      </c>
      <c r="I533" s="5">
        <v>256495</v>
      </c>
      <c r="J533" s="4">
        <v>-5129.8999999999996</v>
      </c>
      <c r="L533" s="5">
        <v>251365.1</v>
      </c>
      <c r="M533" s="5">
        <v>26931.98</v>
      </c>
      <c r="N533" s="5">
        <v>224433.12</v>
      </c>
    </row>
    <row r="534" spans="1:14" hidden="1">
      <c r="A534" t="s">
        <v>1393</v>
      </c>
      <c r="B534" t="s">
        <v>1372</v>
      </c>
      <c r="C534" t="s">
        <v>104</v>
      </c>
      <c r="D534" s="6">
        <v>0</v>
      </c>
      <c r="E534" t="s">
        <v>1372</v>
      </c>
      <c r="F534" t="s">
        <v>69</v>
      </c>
      <c r="G534" t="s">
        <v>277</v>
      </c>
      <c r="H534" t="s">
        <v>1394</v>
      </c>
      <c r="I534" s="5">
        <v>2179150</v>
      </c>
      <c r="L534" s="5">
        <v>2179150</v>
      </c>
      <c r="M534" s="5">
        <v>233480.36</v>
      </c>
      <c r="N534" s="5">
        <v>1945669.64</v>
      </c>
    </row>
    <row r="535" spans="1:14" hidden="1">
      <c r="A535" t="s">
        <v>1395</v>
      </c>
      <c r="B535" t="s">
        <v>1372</v>
      </c>
      <c r="C535" t="s">
        <v>54</v>
      </c>
      <c r="D535" s="6">
        <v>90</v>
      </c>
      <c r="E535" t="s">
        <v>1376</v>
      </c>
      <c r="F535" t="s">
        <v>69</v>
      </c>
      <c r="G535" t="s">
        <v>1396</v>
      </c>
      <c r="H535" t="s">
        <v>1397</v>
      </c>
      <c r="I535" s="5">
        <v>412500</v>
      </c>
      <c r="L535" s="5">
        <v>412500</v>
      </c>
      <c r="M535" s="5">
        <v>44196.43</v>
      </c>
      <c r="N535" s="5">
        <v>368303.57</v>
      </c>
    </row>
    <row r="536" spans="1:14" hidden="1">
      <c r="A536" t="s">
        <v>1398</v>
      </c>
      <c r="B536" t="s">
        <v>1372</v>
      </c>
      <c r="C536" t="s">
        <v>60</v>
      </c>
      <c r="D536" s="6">
        <v>0</v>
      </c>
      <c r="E536" t="s">
        <v>1372</v>
      </c>
      <c r="F536" t="s">
        <v>56</v>
      </c>
      <c r="G536" t="s">
        <v>196</v>
      </c>
      <c r="H536" t="s">
        <v>1399</v>
      </c>
      <c r="I536" s="5">
        <v>492232</v>
      </c>
      <c r="L536" s="5">
        <v>492232</v>
      </c>
      <c r="M536" s="5">
        <v>52739.14</v>
      </c>
      <c r="N536" s="5">
        <v>439492.86</v>
      </c>
    </row>
    <row r="537" spans="1:14" hidden="1">
      <c r="A537" t="s">
        <v>1400</v>
      </c>
      <c r="B537" t="s">
        <v>1372</v>
      </c>
      <c r="C537" t="s">
        <v>146</v>
      </c>
      <c r="D537" s="6">
        <v>90</v>
      </c>
      <c r="E537" t="s">
        <v>1376</v>
      </c>
      <c r="F537" t="s">
        <v>139</v>
      </c>
      <c r="G537" t="s">
        <v>1038</v>
      </c>
      <c r="H537" t="s">
        <v>1401</v>
      </c>
      <c r="I537" s="5">
        <v>208288</v>
      </c>
      <c r="L537" s="5">
        <v>208288</v>
      </c>
      <c r="M537" s="5">
        <v>22316.57</v>
      </c>
      <c r="N537" s="5">
        <v>185971.43</v>
      </c>
    </row>
    <row r="538" spans="1:14" hidden="1">
      <c r="A538" t="s">
        <v>1402</v>
      </c>
      <c r="B538" t="s">
        <v>1372</v>
      </c>
      <c r="C538" t="s">
        <v>146</v>
      </c>
      <c r="D538" s="6">
        <v>90</v>
      </c>
      <c r="E538" t="s">
        <v>1376</v>
      </c>
      <c r="F538" t="s">
        <v>139</v>
      </c>
      <c r="G538" t="s">
        <v>1038</v>
      </c>
      <c r="H538" t="s">
        <v>1403</v>
      </c>
      <c r="I538" s="5">
        <v>94464</v>
      </c>
      <c r="L538" s="5">
        <v>94464</v>
      </c>
      <c r="M538" s="5">
        <v>10121.14</v>
      </c>
      <c r="N538" s="5">
        <v>84342.86</v>
      </c>
    </row>
    <row r="539" spans="1:14" hidden="1">
      <c r="A539" t="s">
        <v>1404</v>
      </c>
      <c r="B539" t="s">
        <v>1372</v>
      </c>
      <c r="C539" t="s">
        <v>162</v>
      </c>
      <c r="D539" s="6">
        <v>90</v>
      </c>
      <c r="E539" t="s">
        <v>1376</v>
      </c>
      <c r="F539" t="s">
        <v>139</v>
      </c>
      <c r="G539" t="s">
        <v>1405</v>
      </c>
      <c r="H539" t="s">
        <v>1406</v>
      </c>
      <c r="I539" s="5">
        <v>80378</v>
      </c>
      <c r="L539" s="5">
        <v>80378</v>
      </c>
      <c r="M539" s="5">
        <v>8611.93</v>
      </c>
      <c r="N539" s="5">
        <v>71766.070000000007</v>
      </c>
    </row>
    <row r="540" spans="1:14" hidden="1">
      <c r="A540" t="s">
        <v>1407</v>
      </c>
      <c r="B540" t="s">
        <v>1372</v>
      </c>
      <c r="C540" t="s">
        <v>162</v>
      </c>
      <c r="D540" s="6">
        <v>90</v>
      </c>
      <c r="E540" t="s">
        <v>1376</v>
      </c>
      <c r="F540" t="s">
        <v>139</v>
      </c>
      <c r="G540" t="s">
        <v>1405</v>
      </c>
      <c r="H540" t="s">
        <v>1408</v>
      </c>
      <c r="I540" s="5">
        <v>28800</v>
      </c>
      <c r="L540" s="5">
        <v>28800</v>
      </c>
      <c r="M540" s="5">
        <v>3085.71</v>
      </c>
      <c r="N540" s="5">
        <v>25714.29</v>
      </c>
    </row>
    <row r="541" spans="1:14" hidden="1">
      <c r="A541" t="s">
        <v>1409</v>
      </c>
      <c r="B541" t="s">
        <v>1372</v>
      </c>
      <c r="C541" t="s">
        <v>151</v>
      </c>
      <c r="D541" s="6">
        <v>60</v>
      </c>
      <c r="E541" t="s">
        <v>1373</v>
      </c>
      <c r="F541" t="s">
        <v>139</v>
      </c>
      <c r="G541" t="s">
        <v>264</v>
      </c>
      <c r="H541" t="s">
        <v>1410</v>
      </c>
      <c r="I541" s="5">
        <v>11762</v>
      </c>
      <c r="L541" s="5">
        <v>11762</v>
      </c>
      <c r="M541" s="5">
        <v>1260.21</v>
      </c>
      <c r="N541" s="5">
        <v>10501.79</v>
      </c>
    </row>
    <row r="542" spans="1:14" hidden="1">
      <c r="A542" t="s">
        <v>1411</v>
      </c>
      <c r="B542" t="s">
        <v>1372</v>
      </c>
      <c r="C542" t="s">
        <v>104</v>
      </c>
      <c r="D542" s="6">
        <v>0</v>
      </c>
      <c r="E542" t="s">
        <v>1372</v>
      </c>
      <c r="F542" t="s">
        <v>69</v>
      </c>
      <c r="G542" t="s">
        <v>277</v>
      </c>
      <c r="H542" t="s">
        <v>1412</v>
      </c>
      <c r="I542" s="5">
        <v>1815950</v>
      </c>
      <c r="L542" s="5">
        <v>1815950</v>
      </c>
      <c r="M542" s="5">
        <v>194566.07</v>
      </c>
      <c r="N542" s="5">
        <v>1621383.93</v>
      </c>
    </row>
    <row r="543" spans="1:14" hidden="1">
      <c r="A543" t="s">
        <v>1413</v>
      </c>
      <c r="B543" t="s">
        <v>1372</v>
      </c>
      <c r="C543" t="s">
        <v>64</v>
      </c>
      <c r="D543" s="6">
        <v>30</v>
      </c>
      <c r="E543" t="s">
        <v>1389</v>
      </c>
      <c r="F543" t="s">
        <v>25</v>
      </c>
      <c r="G543" t="s">
        <v>26</v>
      </c>
      <c r="H543" t="s">
        <v>1414</v>
      </c>
      <c r="I543" s="5">
        <v>352731.5</v>
      </c>
      <c r="L543" s="5">
        <v>352731.5</v>
      </c>
      <c r="M543" s="5">
        <v>37792.660000000003</v>
      </c>
      <c r="N543" s="5">
        <v>314938.84000000003</v>
      </c>
    </row>
    <row r="544" spans="1:14" hidden="1">
      <c r="A544" t="s">
        <v>1415</v>
      </c>
      <c r="B544" t="s">
        <v>1372</v>
      </c>
      <c r="C544" t="s">
        <v>64</v>
      </c>
      <c r="D544" s="6">
        <v>30</v>
      </c>
      <c r="E544" t="s">
        <v>1389</v>
      </c>
      <c r="F544" t="s">
        <v>25</v>
      </c>
      <c r="G544" t="s">
        <v>26</v>
      </c>
      <c r="H544" t="s">
        <v>1416</v>
      </c>
      <c r="I544" s="5">
        <v>278419</v>
      </c>
      <c r="L544" s="5">
        <v>278419</v>
      </c>
      <c r="M544" s="5">
        <v>29830.61</v>
      </c>
      <c r="N544" s="5">
        <v>248588.39</v>
      </c>
    </row>
    <row r="545" spans="1:14" hidden="1">
      <c r="A545" t="s">
        <v>1417</v>
      </c>
      <c r="B545" t="s">
        <v>1372</v>
      </c>
      <c r="C545" t="s">
        <v>64</v>
      </c>
      <c r="D545" s="6">
        <v>30</v>
      </c>
      <c r="E545" t="s">
        <v>1389</v>
      </c>
      <c r="F545" t="s">
        <v>25</v>
      </c>
      <c r="G545" t="s">
        <v>26</v>
      </c>
      <c r="H545" t="s">
        <v>1418</v>
      </c>
      <c r="I545" s="5">
        <v>872800</v>
      </c>
      <c r="L545" s="5">
        <v>872800</v>
      </c>
      <c r="M545" s="5">
        <v>93514.29</v>
      </c>
      <c r="N545" s="5">
        <v>779285.71</v>
      </c>
    </row>
    <row r="546" spans="1:14" hidden="1">
      <c r="A546" t="s">
        <v>1419</v>
      </c>
      <c r="B546" t="s">
        <v>1372</v>
      </c>
      <c r="C546" t="s">
        <v>64</v>
      </c>
      <c r="D546" s="6">
        <v>30</v>
      </c>
      <c r="E546" t="s">
        <v>1389</v>
      </c>
      <c r="F546" t="s">
        <v>25</v>
      </c>
      <c r="G546" t="s">
        <v>26</v>
      </c>
      <c r="H546" t="s">
        <v>1420</v>
      </c>
      <c r="I546" s="5">
        <v>264274</v>
      </c>
      <c r="K546" s="5">
        <v>35300</v>
      </c>
      <c r="L546" s="5">
        <v>299574</v>
      </c>
      <c r="M546" s="5">
        <v>32097.21</v>
      </c>
      <c r="N546" s="5">
        <v>267476.78999999998</v>
      </c>
    </row>
    <row r="547" spans="1:14" hidden="1">
      <c r="A547" t="s">
        <v>1421</v>
      </c>
      <c r="B547" t="s">
        <v>1372</v>
      </c>
      <c r="C547" t="s">
        <v>68</v>
      </c>
      <c r="D547" s="6">
        <v>60</v>
      </c>
      <c r="E547" t="s">
        <v>1373</v>
      </c>
      <c r="F547" t="s">
        <v>577</v>
      </c>
      <c r="G547" t="s">
        <v>1422</v>
      </c>
      <c r="H547" t="s">
        <v>1423</v>
      </c>
      <c r="I547" s="5">
        <v>652054</v>
      </c>
      <c r="L547" s="5">
        <v>652054</v>
      </c>
      <c r="M547" s="5">
        <v>69862.929999999993</v>
      </c>
      <c r="N547" s="5">
        <v>582191.06999999995</v>
      </c>
    </row>
    <row r="548" spans="1:14" hidden="1">
      <c r="A548" t="s">
        <v>1424</v>
      </c>
      <c r="B548" t="s">
        <v>1372</v>
      </c>
      <c r="C548" t="s">
        <v>68</v>
      </c>
      <c r="D548" s="6">
        <v>60</v>
      </c>
      <c r="E548" t="s">
        <v>1373</v>
      </c>
      <c r="F548" t="s">
        <v>577</v>
      </c>
      <c r="G548" t="s">
        <v>1422</v>
      </c>
      <c r="H548" t="s">
        <v>1425</v>
      </c>
      <c r="I548" s="5">
        <v>446568</v>
      </c>
      <c r="L548" s="5">
        <v>446568</v>
      </c>
      <c r="M548" s="5">
        <v>47846.57</v>
      </c>
      <c r="N548" s="5">
        <v>398721.43</v>
      </c>
    </row>
    <row r="549" spans="1:14" hidden="1">
      <c r="A549" t="s">
        <v>1426</v>
      </c>
      <c r="B549" t="s">
        <v>1372</v>
      </c>
      <c r="C549" t="s">
        <v>237</v>
      </c>
      <c r="D549" s="6">
        <v>60</v>
      </c>
      <c r="E549" t="s">
        <v>1373</v>
      </c>
      <c r="F549" t="s">
        <v>759</v>
      </c>
      <c r="G549" t="s">
        <v>760</v>
      </c>
      <c r="H549" t="s">
        <v>1427</v>
      </c>
      <c r="I549" s="5">
        <v>242400</v>
      </c>
      <c r="L549" s="5">
        <v>242400</v>
      </c>
      <c r="M549" s="5">
        <v>25971.43</v>
      </c>
      <c r="N549" s="5">
        <v>216428.57</v>
      </c>
    </row>
    <row r="550" spans="1:14" hidden="1">
      <c r="A550" t="s">
        <v>1428</v>
      </c>
      <c r="B550" t="s">
        <v>1372</v>
      </c>
      <c r="C550" t="s">
        <v>237</v>
      </c>
      <c r="D550" s="6">
        <v>60</v>
      </c>
      <c r="E550" t="s">
        <v>1373</v>
      </c>
      <c r="F550" t="s">
        <v>759</v>
      </c>
      <c r="G550" t="s">
        <v>760</v>
      </c>
      <c r="H550" t="s">
        <v>1429</v>
      </c>
      <c r="I550" s="5">
        <v>242400</v>
      </c>
      <c r="L550" s="5">
        <v>242400</v>
      </c>
      <c r="M550" s="5">
        <v>25971.43</v>
      </c>
      <c r="N550" s="5">
        <v>216428.57</v>
      </c>
    </row>
    <row r="551" spans="1:14" hidden="1">
      <c r="A551" t="s">
        <v>1430</v>
      </c>
      <c r="B551" t="s">
        <v>1372</v>
      </c>
      <c r="C551" t="s">
        <v>60</v>
      </c>
      <c r="D551" s="6">
        <v>0</v>
      </c>
      <c r="E551" t="s">
        <v>1372</v>
      </c>
      <c r="F551" t="s">
        <v>56</v>
      </c>
      <c r="G551" t="s">
        <v>61</v>
      </c>
      <c r="H551" t="s">
        <v>1431</v>
      </c>
      <c r="I551" s="5">
        <v>27000</v>
      </c>
      <c r="J551" s="4">
        <v>-540</v>
      </c>
      <c r="L551" s="5">
        <v>26460</v>
      </c>
      <c r="M551" s="5">
        <v>2835</v>
      </c>
      <c r="N551" s="5">
        <v>23625</v>
      </c>
    </row>
    <row r="552" spans="1:14" hidden="1">
      <c r="A552" t="s">
        <v>1432</v>
      </c>
      <c r="B552" t="s">
        <v>1372</v>
      </c>
      <c r="C552" t="s">
        <v>29</v>
      </c>
      <c r="D552" s="6">
        <v>0</v>
      </c>
      <c r="E552" t="s">
        <v>1372</v>
      </c>
      <c r="F552" t="s">
        <v>30</v>
      </c>
      <c r="G552" t="s">
        <v>31</v>
      </c>
      <c r="H552" t="s">
        <v>1433</v>
      </c>
      <c r="I552" s="5">
        <v>40960</v>
      </c>
      <c r="L552" s="5">
        <v>40960</v>
      </c>
      <c r="M552" s="5">
        <v>4388.57</v>
      </c>
      <c r="N552" s="5">
        <v>36571.43</v>
      </c>
    </row>
    <row r="553" spans="1:14" hidden="1">
      <c r="A553" t="s">
        <v>1434</v>
      </c>
      <c r="B553" t="s">
        <v>1372</v>
      </c>
      <c r="C553" t="s">
        <v>29</v>
      </c>
      <c r="D553" s="6">
        <v>0</v>
      </c>
      <c r="E553" t="s">
        <v>1372</v>
      </c>
      <c r="F553" t="s">
        <v>30</v>
      </c>
      <c r="G553" t="s">
        <v>31</v>
      </c>
      <c r="H553" t="s">
        <v>1435</v>
      </c>
      <c r="I553" s="5">
        <v>3670</v>
      </c>
      <c r="L553" s="5">
        <v>3670</v>
      </c>
      <c r="M553" s="7">
        <v>393.21</v>
      </c>
      <c r="N553" s="5">
        <v>3276.79</v>
      </c>
    </row>
    <row r="554" spans="1:14" hidden="1">
      <c r="A554" t="s">
        <v>1436</v>
      </c>
      <c r="B554" t="s">
        <v>1372</v>
      </c>
      <c r="C554" t="s">
        <v>29</v>
      </c>
      <c r="D554" s="6">
        <v>0</v>
      </c>
      <c r="E554" t="s">
        <v>1372</v>
      </c>
      <c r="F554" t="s">
        <v>30</v>
      </c>
      <c r="G554" t="s">
        <v>31</v>
      </c>
      <c r="H554" t="s">
        <v>1437</v>
      </c>
      <c r="I554" s="5">
        <v>7250</v>
      </c>
      <c r="L554" s="5">
        <v>7250</v>
      </c>
      <c r="M554" s="7">
        <v>776.79</v>
      </c>
      <c r="N554" s="5">
        <v>6473.21</v>
      </c>
    </row>
    <row r="555" spans="1:14" hidden="1">
      <c r="A555" t="s">
        <v>1438</v>
      </c>
      <c r="B555" t="s">
        <v>1372</v>
      </c>
      <c r="C555" t="s">
        <v>73</v>
      </c>
      <c r="D555" s="6">
        <v>30</v>
      </c>
      <c r="E555" t="s">
        <v>1389</v>
      </c>
      <c r="F555" t="s">
        <v>270</v>
      </c>
      <c r="G555" t="s">
        <v>271</v>
      </c>
      <c r="H555" t="s">
        <v>1439</v>
      </c>
      <c r="I555" s="5">
        <v>33500</v>
      </c>
      <c r="L555" s="5">
        <v>33500</v>
      </c>
      <c r="N555" s="5">
        <v>33500</v>
      </c>
    </row>
    <row r="556" spans="1:14" hidden="1">
      <c r="A556" t="s">
        <v>1440</v>
      </c>
      <c r="B556" t="s">
        <v>1372</v>
      </c>
      <c r="C556" t="s">
        <v>73</v>
      </c>
      <c r="D556" s="6">
        <v>30</v>
      </c>
      <c r="E556" t="s">
        <v>1389</v>
      </c>
      <c r="F556" t="s">
        <v>270</v>
      </c>
      <c r="G556" t="s">
        <v>271</v>
      </c>
      <c r="H556" t="s">
        <v>1441</v>
      </c>
      <c r="I556" s="5">
        <v>20460</v>
      </c>
      <c r="L556" s="5">
        <v>20460</v>
      </c>
      <c r="N556" s="5">
        <v>20460</v>
      </c>
    </row>
    <row r="557" spans="1:14" hidden="1">
      <c r="A557" t="s">
        <v>1442</v>
      </c>
      <c r="B557" t="s">
        <v>1372</v>
      </c>
      <c r="C557" t="s">
        <v>73</v>
      </c>
      <c r="D557" s="6">
        <v>30</v>
      </c>
      <c r="E557" t="s">
        <v>1389</v>
      </c>
      <c r="F557" t="s">
        <v>270</v>
      </c>
      <c r="G557" t="s">
        <v>271</v>
      </c>
      <c r="H557" t="s">
        <v>1443</v>
      </c>
      <c r="I557" s="5">
        <v>1492</v>
      </c>
      <c r="L557" s="5">
        <v>1492</v>
      </c>
      <c r="N557" s="5">
        <v>1492</v>
      </c>
    </row>
    <row r="558" spans="1:14" hidden="1">
      <c r="A558" t="s">
        <v>1444</v>
      </c>
      <c r="B558" t="s">
        <v>1372</v>
      </c>
      <c r="C558" t="s">
        <v>73</v>
      </c>
      <c r="D558" s="6">
        <v>30</v>
      </c>
      <c r="E558" t="s">
        <v>1389</v>
      </c>
      <c r="F558" t="s">
        <v>270</v>
      </c>
      <c r="G558" t="s">
        <v>271</v>
      </c>
      <c r="H558" t="s">
        <v>1445</v>
      </c>
      <c r="I558" s="5">
        <v>67230</v>
      </c>
      <c r="L558" s="5">
        <v>67230</v>
      </c>
      <c r="N558" s="5">
        <v>67230</v>
      </c>
    </row>
    <row r="559" spans="1:14" hidden="1">
      <c r="A559" t="s">
        <v>1446</v>
      </c>
      <c r="B559" t="s">
        <v>1372</v>
      </c>
      <c r="C559" t="s">
        <v>73</v>
      </c>
      <c r="D559" s="6">
        <v>30</v>
      </c>
      <c r="E559" t="s">
        <v>1389</v>
      </c>
      <c r="F559" t="s">
        <v>270</v>
      </c>
      <c r="G559" t="s">
        <v>271</v>
      </c>
      <c r="H559" t="s">
        <v>1447</v>
      </c>
      <c r="I559" s="5">
        <v>14655</v>
      </c>
      <c r="L559" s="5">
        <v>14655</v>
      </c>
      <c r="N559" s="5">
        <v>14655</v>
      </c>
    </row>
    <row r="560" spans="1:14" hidden="1">
      <c r="A560" t="s">
        <v>1448</v>
      </c>
      <c r="B560" t="s">
        <v>1372</v>
      </c>
      <c r="C560" t="s">
        <v>73</v>
      </c>
      <c r="D560" s="6">
        <v>30</v>
      </c>
      <c r="E560" t="s">
        <v>1389</v>
      </c>
      <c r="F560" t="s">
        <v>270</v>
      </c>
      <c r="G560" t="s">
        <v>271</v>
      </c>
      <c r="H560" t="s">
        <v>1449</v>
      </c>
      <c r="I560" s="5">
        <v>2984</v>
      </c>
      <c r="L560" s="5">
        <v>2984</v>
      </c>
      <c r="N560" s="5">
        <v>2984</v>
      </c>
    </row>
    <row r="561" spans="1:14" hidden="1">
      <c r="A561" t="s">
        <v>1450</v>
      </c>
      <c r="B561" t="s">
        <v>1372</v>
      </c>
      <c r="C561" t="s">
        <v>68</v>
      </c>
      <c r="D561" s="6">
        <v>60</v>
      </c>
      <c r="E561" t="s">
        <v>1373</v>
      </c>
      <c r="F561" t="s">
        <v>69</v>
      </c>
      <c r="G561" t="s">
        <v>1025</v>
      </c>
      <c r="H561" t="s">
        <v>1451</v>
      </c>
      <c r="I561" s="5">
        <v>120150</v>
      </c>
      <c r="L561" s="5">
        <v>120150</v>
      </c>
      <c r="M561" s="5">
        <v>12873.21</v>
      </c>
      <c r="N561" s="5">
        <v>107276.79</v>
      </c>
    </row>
    <row r="562" spans="1:14" hidden="1">
      <c r="A562" t="s">
        <v>1452</v>
      </c>
      <c r="B562" t="s">
        <v>1372</v>
      </c>
      <c r="C562" t="s">
        <v>60</v>
      </c>
      <c r="D562" s="6">
        <v>0</v>
      </c>
      <c r="E562" t="s">
        <v>1372</v>
      </c>
      <c r="F562" t="s">
        <v>56</v>
      </c>
      <c r="G562" t="s">
        <v>605</v>
      </c>
      <c r="H562" t="s">
        <v>1453</v>
      </c>
      <c r="I562" s="5">
        <v>90409.05</v>
      </c>
      <c r="L562" s="5">
        <v>90409.05</v>
      </c>
      <c r="M562" s="5">
        <v>9686.68</v>
      </c>
      <c r="N562" s="5">
        <v>80722.37</v>
      </c>
    </row>
    <row r="563" spans="1:14" hidden="1">
      <c r="A563" t="s">
        <v>1454</v>
      </c>
      <c r="B563" t="s">
        <v>1372</v>
      </c>
      <c r="C563" t="s">
        <v>60</v>
      </c>
      <c r="D563" s="6">
        <v>0</v>
      </c>
      <c r="E563" t="s">
        <v>1372</v>
      </c>
      <c r="F563" t="s">
        <v>56</v>
      </c>
      <c r="G563" t="s">
        <v>605</v>
      </c>
      <c r="H563" t="s">
        <v>1455</v>
      </c>
      <c r="I563" s="5">
        <v>307545.40000000002</v>
      </c>
      <c r="L563" s="5">
        <v>307545.40000000002</v>
      </c>
      <c r="M563" s="5">
        <v>32951.29</v>
      </c>
      <c r="N563" s="5">
        <v>274594.11</v>
      </c>
    </row>
    <row r="564" spans="1:14" hidden="1">
      <c r="A564" t="s">
        <v>1456</v>
      </c>
      <c r="B564" t="s">
        <v>1372</v>
      </c>
      <c r="C564" t="s">
        <v>681</v>
      </c>
      <c r="D564" s="6">
        <v>0</v>
      </c>
      <c r="E564" t="s">
        <v>1372</v>
      </c>
      <c r="F564" t="s">
        <v>46</v>
      </c>
      <c r="G564" t="s">
        <v>682</v>
      </c>
      <c r="H564" t="s">
        <v>1457</v>
      </c>
      <c r="I564" s="5">
        <v>4970</v>
      </c>
      <c r="L564" s="5">
        <v>4970</v>
      </c>
      <c r="M564" s="7">
        <v>532.5</v>
      </c>
      <c r="N564" s="5">
        <v>4437.5</v>
      </c>
    </row>
    <row r="565" spans="1:14" hidden="1">
      <c r="A565" t="s">
        <v>1458</v>
      </c>
      <c r="B565" t="s">
        <v>1372</v>
      </c>
      <c r="C565" t="s">
        <v>681</v>
      </c>
      <c r="D565" s="6">
        <v>0</v>
      </c>
      <c r="E565" t="s">
        <v>1372</v>
      </c>
      <c r="F565" t="s">
        <v>46</v>
      </c>
      <c r="G565" t="s">
        <v>682</v>
      </c>
      <c r="H565" t="s">
        <v>1459</v>
      </c>
      <c r="I565" s="5">
        <v>27968</v>
      </c>
      <c r="L565" s="5">
        <v>27968</v>
      </c>
      <c r="M565" s="5">
        <v>2996.57</v>
      </c>
      <c r="N565" s="5">
        <v>24971.43</v>
      </c>
    </row>
    <row r="566" spans="1:14" hidden="1">
      <c r="A566" t="s">
        <v>1460</v>
      </c>
      <c r="B566" t="s">
        <v>1461</v>
      </c>
      <c r="C566" t="s">
        <v>60</v>
      </c>
      <c r="D566" s="6">
        <v>0</v>
      </c>
      <c r="E566" t="s">
        <v>1461</v>
      </c>
      <c r="F566" t="s">
        <v>56</v>
      </c>
      <c r="G566" t="s">
        <v>412</v>
      </c>
      <c r="H566" t="s">
        <v>1462</v>
      </c>
      <c r="I566" s="5">
        <v>35280</v>
      </c>
      <c r="L566" s="5">
        <v>35280</v>
      </c>
      <c r="M566" s="5">
        <v>3780</v>
      </c>
      <c r="N566" s="5">
        <v>31500</v>
      </c>
    </row>
    <row r="567" spans="1:14" hidden="1">
      <c r="A567" t="s">
        <v>1463</v>
      </c>
      <c r="B567" t="s">
        <v>1461</v>
      </c>
      <c r="C567" t="s">
        <v>681</v>
      </c>
      <c r="D567" s="6">
        <v>0</v>
      </c>
      <c r="E567" t="s">
        <v>1461</v>
      </c>
      <c r="F567" t="s">
        <v>30</v>
      </c>
      <c r="G567" t="s">
        <v>1464</v>
      </c>
      <c r="H567" t="s">
        <v>1465</v>
      </c>
      <c r="I567" s="5">
        <v>31056</v>
      </c>
      <c r="L567" s="5">
        <v>31056</v>
      </c>
      <c r="M567" s="5">
        <v>3327.43</v>
      </c>
      <c r="N567" s="5">
        <v>27728.57</v>
      </c>
    </row>
    <row r="568" spans="1:14" hidden="1">
      <c r="A568" t="s">
        <v>1466</v>
      </c>
      <c r="B568" t="s">
        <v>1467</v>
      </c>
      <c r="C568" t="s">
        <v>98</v>
      </c>
      <c r="D568" s="6">
        <v>0</v>
      </c>
      <c r="E568" t="s">
        <v>1467</v>
      </c>
      <c r="F568" t="s">
        <v>69</v>
      </c>
      <c r="G568" t="s">
        <v>99</v>
      </c>
      <c r="H568" t="s">
        <v>1468</v>
      </c>
      <c r="I568" s="5">
        <v>174050</v>
      </c>
      <c r="J568" s="4">
        <v>-5221.5</v>
      </c>
      <c r="L568" s="5">
        <v>168828.5</v>
      </c>
      <c r="M568" s="5">
        <v>18088.77</v>
      </c>
      <c r="N568" s="5">
        <v>150739.73000000001</v>
      </c>
    </row>
    <row r="569" spans="1:14" hidden="1">
      <c r="A569" t="s">
        <v>1469</v>
      </c>
      <c r="B569" t="s">
        <v>1467</v>
      </c>
      <c r="C569" t="s">
        <v>18</v>
      </c>
      <c r="D569" s="6">
        <v>0</v>
      </c>
      <c r="E569" t="s">
        <v>1467</v>
      </c>
      <c r="F569" t="s">
        <v>25</v>
      </c>
      <c r="G569" t="s">
        <v>1470</v>
      </c>
      <c r="H569" t="s">
        <v>1471</v>
      </c>
      <c r="I569" s="5">
        <v>107922</v>
      </c>
      <c r="K569" s="5">
        <v>7500</v>
      </c>
      <c r="L569" s="5">
        <v>115422</v>
      </c>
      <c r="M569" s="5">
        <v>12366.64</v>
      </c>
      <c r="N569" s="5">
        <v>103055.36</v>
      </c>
    </row>
    <row r="570" spans="1:14" s="54" customFormat="1" hidden="1">
      <c r="A570" s="54" t="s">
        <v>1472</v>
      </c>
      <c r="B570" s="54" t="s">
        <v>1467</v>
      </c>
      <c r="C570" s="54" t="s">
        <v>29</v>
      </c>
      <c r="D570" s="55">
        <v>0</v>
      </c>
      <c r="E570" s="54" t="s">
        <v>1467</v>
      </c>
      <c r="F570" s="54" t="s">
        <v>50</v>
      </c>
      <c r="G570" s="54" t="s">
        <v>51</v>
      </c>
      <c r="H570" s="54" t="s">
        <v>1473</v>
      </c>
      <c r="I570" s="56">
        <v>30168.18</v>
      </c>
      <c r="L570" s="56">
        <v>30168.18</v>
      </c>
      <c r="M570" s="56">
        <v>3232.31</v>
      </c>
      <c r="N570" s="56">
        <v>26935.87</v>
      </c>
    </row>
    <row r="571" spans="1:14" hidden="1">
      <c r="A571" t="s">
        <v>1474</v>
      </c>
      <c r="B571" t="s">
        <v>1467</v>
      </c>
      <c r="C571" t="s">
        <v>29</v>
      </c>
      <c r="D571" s="6">
        <v>0</v>
      </c>
      <c r="E571" t="s">
        <v>1467</v>
      </c>
      <c r="F571" t="s">
        <v>30</v>
      </c>
      <c r="G571" t="s">
        <v>218</v>
      </c>
      <c r="H571" t="s">
        <v>1475</v>
      </c>
      <c r="I571" s="5">
        <v>166560</v>
      </c>
      <c r="J571" s="4">
        <v>-4996.8</v>
      </c>
      <c r="L571" s="5">
        <v>161563.20000000001</v>
      </c>
      <c r="M571" s="5">
        <v>17310.34</v>
      </c>
      <c r="N571" s="5">
        <v>144252.85999999999</v>
      </c>
    </row>
    <row r="572" spans="1:14" hidden="1">
      <c r="A572" t="s">
        <v>1476</v>
      </c>
      <c r="B572" t="s">
        <v>1467</v>
      </c>
      <c r="C572" t="s">
        <v>29</v>
      </c>
      <c r="D572" s="6">
        <v>0</v>
      </c>
      <c r="E572" t="s">
        <v>1467</v>
      </c>
      <c r="F572" t="s">
        <v>30</v>
      </c>
      <c r="G572" t="s">
        <v>218</v>
      </c>
      <c r="H572" t="s">
        <v>1477</v>
      </c>
      <c r="I572" s="5">
        <v>41756</v>
      </c>
      <c r="J572" s="4">
        <v>-1252.68</v>
      </c>
      <c r="L572" s="5">
        <v>40503.32</v>
      </c>
      <c r="M572" s="5">
        <v>4339.6400000000003</v>
      </c>
      <c r="N572" s="5">
        <v>36163.68</v>
      </c>
    </row>
    <row r="573" spans="1:14" hidden="1">
      <c r="A573" t="s">
        <v>1478</v>
      </c>
      <c r="B573" t="s">
        <v>1467</v>
      </c>
      <c r="C573" t="s">
        <v>162</v>
      </c>
      <c r="D573" s="6">
        <v>90</v>
      </c>
      <c r="E573" t="s">
        <v>1479</v>
      </c>
      <c r="F573" t="s">
        <v>312</v>
      </c>
      <c r="G573" t="s">
        <v>313</v>
      </c>
      <c r="H573" t="s">
        <v>1480</v>
      </c>
      <c r="I573" s="5">
        <v>112896</v>
      </c>
      <c r="L573" s="5">
        <v>112896</v>
      </c>
      <c r="M573" s="5">
        <v>12096</v>
      </c>
      <c r="N573" s="5">
        <v>100800</v>
      </c>
    </row>
    <row r="574" spans="1:14" hidden="1">
      <c r="A574" t="s">
        <v>1481</v>
      </c>
      <c r="B574" t="s">
        <v>1467</v>
      </c>
      <c r="C574" t="s">
        <v>60</v>
      </c>
      <c r="D574" s="6">
        <v>0</v>
      </c>
      <c r="E574" t="s">
        <v>1467</v>
      </c>
      <c r="F574" t="s">
        <v>56</v>
      </c>
      <c r="G574" t="s">
        <v>996</v>
      </c>
      <c r="H574" t="s">
        <v>1482</v>
      </c>
      <c r="I574" s="5">
        <v>175280</v>
      </c>
      <c r="L574" s="5">
        <v>175280</v>
      </c>
      <c r="M574" s="5">
        <v>18780</v>
      </c>
      <c r="N574" s="5">
        <v>156500</v>
      </c>
    </row>
    <row r="575" spans="1:14" hidden="1">
      <c r="A575" t="s">
        <v>1483</v>
      </c>
      <c r="B575" t="s">
        <v>1467</v>
      </c>
      <c r="C575" t="s">
        <v>167</v>
      </c>
      <c r="D575" s="6">
        <v>90</v>
      </c>
      <c r="E575" t="s">
        <v>1479</v>
      </c>
      <c r="F575" t="s">
        <v>56</v>
      </c>
      <c r="G575" t="s">
        <v>168</v>
      </c>
      <c r="H575" t="s">
        <v>1484</v>
      </c>
      <c r="I575" s="5">
        <v>69380</v>
      </c>
      <c r="L575" s="5">
        <v>69380</v>
      </c>
      <c r="M575" s="5">
        <v>7433.57</v>
      </c>
      <c r="N575" s="5">
        <v>61946.43</v>
      </c>
    </row>
    <row r="576" spans="1:14" hidden="1">
      <c r="A576" t="s">
        <v>1485</v>
      </c>
      <c r="B576" t="s">
        <v>1467</v>
      </c>
      <c r="C576" t="s">
        <v>29</v>
      </c>
      <c r="D576" s="6">
        <v>0</v>
      </c>
      <c r="E576" t="s">
        <v>1467</v>
      </c>
      <c r="F576" t="s">
        <v>30</v>
      </c>
      <c r="G576" t="s">
        <v>31</v>
      </c>
      <c r="H576" t="s">
        <v>1486</v>
      </c>
      <c r="I576" s="5">
        <v>93896</v>
      </c>
      <c r="L576" s="5">
        <v>93896</v>
      </c>
      <c r="M576" s="5">
        <v>10060.290000000001</v>
      </c>
      <c r="N576" s="5">
        <v>83835.710000000006</v>
      </c>
    </row>
    <row r="577" spans="1:14" hidden="1">
      <c r="A577" t="s">
        <v>1487</v>
      </c>
      <c r="B577" t="s">
        <v>1467</v>
      </c>
      <c r="C577" t="s">
        <v>29</v>
      </c>
      <c r="D577" s="6">
        <v>0</v>
      </c>
      <c r="E577" t="s">
        <v>1467</v>
      </c>
      <c r="F577" t="s">
        <v>30</v>
      </c>
      <c r="G577" t="s">
        <v>31</v>
      </c>
      <c r="H577" t="s">
        <v>1488</v>
      </c>
      <c r="I577" s="5">
        <v>3492</v>
      </c>
      <c r="L577" s="5">
        <v>3492</v>
      </c>
      <c r="M577" s="7">
        <v>374.14</v>
      </c>
      <c r="N577" s="5">
        <v>3117.86</v>
      </c>
    </row>
    <row r="578" spans="1:14" hidden="1">
      <c r="A578" t="s">
        <v>1489</v>
      </c>
      <c r="B578" t="s">
        <v>1467</v>
      </c>
      <c r="C578" t="s">
        <v>29</v>
      </c>
      <c r="D578" s="6">
        <v>0</v>
      </c>
      <c r="E578" t="s">
        <v>1467</v>
      </c>
      <c r="F578" t="s">
        <v>30</v>
      </c>
      <c r="G578" t="s">
        <v>31</v>
      </c>
      <c r="H578" t="s">
        <v>1490</v>
      </c>
      <c r="I578" s="5">
        <v>124548</v>
      </c>
      <c r="L578" s="5">
        <v>124548</v>
      </c>
      <c r="M578" s="5">
        <v>13344.43</v>
      </c>
      <c r="N578" s="5">
        <v>111203.57</v>
      </c>
    </row>
    <row r="579" spans="1:14" hidden="1">
      <c r="A579" t="s">
        <v>1491</v>
      </c>
      <c r="B579" t="s">
        <v>1467</v>
      </c>
      <c r="C579" t="s">
        <v>73</v>
      </c>
      <c r="D579" s="6">
        <v>30</v>
      </c>
      <c r="E579" t="s">
        <v>1492</v>
      </c>
      <c r="F579" t="s">
        <v>56</v>
      </c>
      <c r="G579" t="s">
        <v>812</v>
      </c>
      <c r="H579" t="s">
        <v>1493</v>
      </c>
      <c r="I579" s="5">
        <v>217400</v>
      </c>
      <c r="L579" s="5">
        <v>217400</v>
      </c>
      <c r="M579" s="5">
        <v>23292.86</v>
      </c>
      <c r="N579" s="5">
        <v>194107.14</v>
      </c>
    </row>
    <row r="580" spans="1:14" hidden="1">
      <c r="A580" t="s">
        <v>1494</v>
      </c>
      <c r="B580" t="s">
        <v>1467</v>
      </c>
      <c r="C580" t="s">
        <v>237</v>
      </c>
      <c r="D580" s="6">
        <v>60</v>
      </c>
      <c r="E580" t="s">
        <v>1495</v>
      </c>
      <c r="F580" t="s">
        <v>139</v>
      </c>
      <c r="G580" t="s">
        <v>821</v>
      </c>
      <c r="H580" t="s">
        <v>1496</v>
      </c>
      <c r="I580" s="5">
        <v>35008</v>
      </c>
      <c r="L580" s="5">
        <v>35008</v>
      </c>
      <c r="M580" s="5">
        <v>3750.86</v>
      </c>
      <c r="N580" s="5">
        <v>31257.14</v>
      </c>
    </row>
    <row r="581" spans="1:14" hidden="1">
      <c r="A581" t="s">
        <v>1497</v>
      </c>
      <c r="B581" t="s">
        <v>1467</v>
      </c>
      <c r="C581" t="s">
        <v>237</v>
      </c>
      <c r="D581" s="6">
        <v>60</v>
      </c>
      <c r="E581" t="s">
        <v>1495</v>
      </c>
      <c r="F581" t="s">
        <v>139</v>
      </c>
      <c r="G581" t="s">
        <v>821</v>
      </c>
      <c r="H581" t="s">
        <v>1498</v>
      </c>
      <c r="I581" s="5">
        <v>17400</v>
      </c>
      <c r="L581" s="5">
        <v>17400</v>
      </c>
      <c r="M581" s="5">
        <v>1864.29</v>
      </c>
      <c r="N581" s="5">
        <v>15535.71</v>
      </c>
    </row>
    <row r="582" spans="1:14" hidden="1">
      <c r="A582" t="s">
        <v>1499</v>
      </c>
      <c r="B582" t="s">
        <v>1467</v>
      </c>
      <c r="C582" t="s">
        <v>237</v>
      </c>
      <c r="D582" s="6">
        <v>60</v>
      </c>
      <c r="E582" t="s">
        <v>1495</v>
      </c>
      <c r="F582" t="s">
        <v>139</v>
      </c>
      <c r="G582" t="s">
        <v>821</v>
      </c>
      <c r="H582" t="s">
        <v>1500</v>
      </c>
      <c r="I582" s="5">
        <v>26320</v>
      </c>
      <c r="L582" s="5">
        <v>26320</v>
      </c>
      <c r="M582" s="5">
        <v>2820</v>
      </c>
      <c r="N582" s="5">
        <v>23500</v>
      </c>
    </row>
    <row r="583" spans="1:14" hidden="1">
      <c r="A583" t="s">
        <v>1501</v>
      </c>
      <c r="B583" t="s">
        <v>1467</v>
      </c>
      <c r="C583" t="s">
        <v>237</v>
      </c>
      <c r="D583" s="6">
        <v>60</v>
      </c>
      <c r="E583" t="s">
        <v>1495</v>
      </c>
      <c r="F583" t="s">
        <v>139</v>
      </c>
      <c r="G583" t="s">
        <v>821</v>
      </c>
      <c r="H583" t="s">
        <v>1502</v>
      </c>
      <c r="I583" s="5">
        <v>12105</v>
      </c>
      <c r="L583" s="5">
        <v>12105</v>
      </c>
      <c r="M583" s="5">
        <v>1296.96</v>
      </c>
      <c r="N583" s="5">
        <v>10808.04</v>
      </c>
    </row>
    <row r="584" spans="1:14" hidden="1">
      <c r="A584" t="s">
        <v>1503</v>
      </c>
      <c r="B584" t="s">
        <v>1467</v>
      </c>
      <c r="C584" t="s">
        <v>237</v>
      </c>
      <c r="D584" s="6">
        <v>60</v>
      </c>
      <c r="E584" t="s">
        <v>1495</v>
      </c>
      <c r="F584" t="s">
        <v>139</v>
      </c>
      <c r="G584" t="s">
        <v>821</v>
      </c>
      <c r="H584" t="s">
        <v>1504</v>
      </c>
      <c r="I584" s="5">
        <v>6725</v>
      </c>
      <c r="L584" s="5">
        <v>6725</v>
      </c>
      <c r="M584" s="7">
        <v>720.54</v>
      </c>
      <c r="N584" s="5">
        <v>6004.46</v>
      </c>
    </row>
    <row r="585" spans="1:14" hidden="1">
      <c r="A585" t="s">
        <v>1505</v>
      </c>
      <c r="B585" t="s">
        <v>1467</v>
      </c>
      <c r="C585" t="s">
        <v>237</v>
      </c>
      <c r="D585" s="6">
        <v>60</v>
      </c>
      <c r="E585" t="s">
        <v>1495</v>
      </c>
      <c r="F585" t="s">
        <v>139</v>
      </c>
      <c r="G585" t="s">
        <v>821</v>
      </c>
      <c r="H585" t="s">
        <v>1506</v>
      </c>
      <c r="I585" s="5">
        <v>150337</v>
      </c>
      <c r="L585" s="5">
        <v>150337</v>
      </c>
      <c r="M585" s="5">
        <v>16107.54</v>
      </c>
      <c r="N585" s="5">
        <v>134229.46</v>
      </c>
    </row>
    <row r="586" spans="1:14" hidden="1">
      <c r="A586" t="s">
        <v>1507</v>
      </c>
      <c r="B586" t="s">
        <v>1467</v>
      </c>
      <c r="C586" t="s">
        <v>29</v>
      </c>
      <c r="D586" s="6">
        <v>0</v>
      </c>
      <c r="E586" t="s">
        <v>1467</v>
      </c>
      <c r="F586" t="s">
        <v>30</v>
      </c>
      <c r="G586" t="s">
        <v>31</v>
      </c>
      <c r="H586" t="s">
        <v>1508</v>
      </c>
      <c r="I586" s="5">
        <v>24000</v>
      </c>
      <c r="L586" s="5">
        <v>24000</v>
      </c>
      <c r="M586" s="5">
        <v>2571.4299999999998</v>
      </c>
      <c r="N586" s="5">
        <v>21428.57</v>
      </c>
    </row>
    <row r="587" spans="1:14" hidden="1">
      <c r="A587" t="s">
        <v>1509</v>
      </c>
      <c r="B587" t="s">
        <v>1467</v>
      </c>
      <c r="C587" t="s">
        <v>29</v>
      </c>
      <c r="D587" s="6">
        <v>0</v>
      </c>
      <c r="E587" t="s">
        <v>1467</v>
      </c>
      <c r="F587" t="s">
        <v>30</v>
      </c>
      <c r="G587" t="s">
        <v>31</v>
      </c>
      <c r="H587" t="s">
        <v>1510</v>
      </c>
      <c r="I587" s="5">
        <v>77690</v>
      </c>
      <c r="L587" s="5">
        <v>77690</v>
      </c>
      <c r="M587" s="5">
        <v>8323.93</v>
      </c>
      <c r="N587" s="5">
        <v>69366.070000000007</v>
      </c>
    </row>
    <row r="588" spans="1:14" hidden="1">
      <c r="A588" t="s">
        <v>1511</v>
      </c>
      <c r="B588" t="s">
        <v>1467</v>
      </c>
      <c r="C588" t="s">
        <v>29</v>
      </c>
      <c r="D588" s="6">
        <v>0</v>
      </c>
      <c r="E588" t="s">
        <v>1467</v>
      </c>
      <c r="F588" t="s">
        <v>30</v>
      </c>
      <c r="G588" t="s">
        <v>31</v>
      </c>
      <c r="H588" t="s">
        <v>1512</v>
      </c>
      <c r="I588" s="5">
        <v>2080</v>
      </c>
      <c r="L588" s="5">
        <v>2080</v>
      </c>
      <c r="M588" s="7">
        <v>222.86</v>
      </c>
      <c r="N588" s="5">
        <v>1857.14</v>
      </c>
    </row>
    <row r="589" spans="1:14" hidden="1">
      <c r="A589" t="s">
        <v>1513</v>
      </c>
      <c r="B589" t="s">
        <v>1467</v>
      </c>
      <c r="C589" t="s">
        <v>29</v>
      </c>
      <c r="D589" s="6">
        <v>0</v>
      </c>
      <c r="E589" t="s">
        <v>1467</v>
      </c>
      <c r="F589" t="s">
        <v>30</v>
      </c>
      <c r="G589" t="s">
        <v>31</v>
      </c>
      <c r="H589" t="s">
        <v>1514</v>
      </c>
      <c r="I589" s="5">
        <v>2400</v>
      </c>
      <c r="L589" s="5">
        <v>2400</v>
      </c>
      <c r="M589" s="7">
        <v>257.14</v>
      </c>
      <c r="N589" s="5">
        <v>2142.86</v>
      </c>
    </row>
    <row r="590" spans="1:14" hidden="1">
      <c r="A590" t="s">
        <v>1515</v>
      </c>
      <c r="B590" t="s">
        <v>1467</v>
      </c>
      <c r="C590" t="s">
        <v>60</v>
      </c>
      <c r="D590" s="6">
        <v>0</v>
      </c>
      <c r="E590" t="s">
        <v>1467</v>
      </c>
      <c r="F590" t="s">
        <v>56</v>
      </c>
      <c r="G590" t="s">
        <v>61</v>
      </c>
      <c r="H590" t="s">
        <v>1516</v>
      </c>
      <c r="I590" s="5">
        <v>25770</v>
      </c>
      <c r="J590" s="4">
        <v>-515.4</v>
      </c>
      <c r="L590" s="5">
        <v>25254.6</v>
      </c>
      <c r="M590" s="5">
        <v>2705.85</v>
      </c>
      <c r="N590" s="5">
        <v>22548.75</v>
      </c>
    </row>
    <row r="591" spans="1:14" hidden="1">
      <c r="A591" t="s">
        <v>1517</v>
      </c>
      <c r="B591" t="s">
        <v>1467</v>
      </c>
      <c r="C591" t="s">
        <v>151</v>
      </c>
      <c r="D591" s="6">
        <v>60</v>
      </c>
      <c r="E591" t="s">
        <v>1495</v>
      </c>
      <c r="F591" t="s">
        <v>69</v>
      </c>
      <c r="G591" t="s">
        <v>1518</v>
      </c>
      <c r="H591" t="s">
        <v>1519</v>
      </c>
      <c r="I591" s="5">
        <v>159600</v>
      </c>
      <c r="L591" s="5">
        <v>159600</v>
      </c>
      <c r="M591" s="5">
        <v>17100</v>
      </c>
      <c r="N591" s="5">
        <v>142500</v>
      </c>
    </row>
    <row r="592" spans="1:14" hidden="1">
      <c r="A592" t="s">
        <v>1520</v>
      </c>
      <c r="B592" t="s">
        <v>1467</v>
      </c>
      <c r="C592" t="s">
        <v>60</v>
      </c>
      <c r="D592" s="6">
        <v>0</v>
      </c>
      <c r="E592" t="s">
        <v>1467</v>
      </c>
      <c r="F592" t="s">
        <v>56</v>
      </c>
      <c r="G592" t="s">
        <v>605</v>
      </c>
      <c r="H592" t="s">
        <v>1521</v>
      </c>
      <c r="I592" s="5">
        <v>305999.76</v>
      </c>
      <c r="L592" s="5">
        <v>305999.76</v>
      </c>
      <c r="M592" s="5">
        <v>32785.69</v>
      </c>
      <c r="N592" s="5">
        <v>273214.07</v>
      </c>
    </row>
    <row r="593" spans="1:14" hidden="1">
      <c r="A593" t="s">
        <v>1522</v>
      </c>
      <c r="B593" t="s">
        <v>1467</v>
      </c>
      <c r="C593" t="s">
        <v>162</v>
      </c>
      <c r="D593" s="6">
        <v>90</v>
      </c>
      <c r="E593" t="s">
        <v>1479</v>
      </c>
      <c r="F593" t="s">
        <v>759</v>
      </c>
      <c r="G593" t="s">
        <v>763</v>
      </c>
      <c r="H593" t="s">
        <v>1523</v>
      </c>
      <c r="I593" s="5">
        <v>736428</v>
      </c>
      <c r="L593" s="5">
        <v>736428</v>
      </c>
      <c r="M593" s="5">
        <v>78903</v>
      </c>
      <c r="N593" s="5">
        <v>657525</v>
      </c>
    </row>
    <row r="594" spans="1:14" hidden="1">
      <c r="A594" t="s">
        <v>1524</v>
      </c>
      <c r="B594" t="s">
        <v>1467</v>
      </c>
      <c r="C594" t="s">
        <v>162</v>
      </c>
      <c r="D594" s="6">
        <v>90</v>
      </c>
      <c r="E594" t="s">
        <v>1479</v>
      </c>
      <c r="F594" t="s">
        <v>204</v>
      </c>
      <c r="G594" t="s">
        <v>399</v>
      </c>
      <c r="H594" t="s">
        <v>1525</v>
      </c>
      <c r="I594" s="5">
        <v>27447</v>
      </c>
      <c r="L594" s="5">
        <v>27447</v>
      </c>
      <c r="M594" s="5">
        <v>2940.75</v>
      </c>
      <c r="N594" s="5">
        <v>24506.25</v>
      </c>
    </row>
    <row r="595" spans="1:14" hidden="1">
      <c r="A595" t="s">
        <v>1526</v>
      </c>
      <c r="B595" t="s">
        <v>1467</v>
      </c>
      <c r="C595" t="s">
        <v>162</v>
      </c>
      <c r="D595" s="6">
        <v>90</v>
      </c>
      <c r="E595" t="s">
        <v>1479</v>
      </c>
      <c r="F595" t="s">
        <v>204</v>
      </c>
      <c r="G595" t="s">
        <v>399</v>
      </c>
      <c r="H595" t="s">
        <v>1527</v>
      </c>
      <c r="I595" s="5">
        <v>54544</v>
      </c>
      <c r="L595" s="5">
        <v>54544</v>
      </c>
      <c r="M595" s="5">
        <v>5844</v>
      </c>
      <c r="N595" s="5">
        <v>48700</v>
      </c>
    </row>
    <row r="596" spans="1:14" hidden="1">
      <c r="A596" t="s">
        <v>1528</v>
      </c>
      <c r="B596" t="s">
        <v>1467</v>
      </c>
      <c r="C596" t="s">
        <v>162</v>
      </c>
      <c r="D596" s="6">
        <v>90</v>
      </c>
      <c r="E596" t="s">
        <v>1479</v>
      </c>
      <c r="F596" t="s">
        <v>204</v>
      </c>
      <c r="G596" t="s">
        <v>399</v>
      </c>
      <c r="H596" t="s">
        <v>1529</v>
      </c>
      <c r="I596" s="5">
        <v>26775</v>
      </c>
      <c r="L596" s="5">
        <v>26775</v>
      </c>
      <c r="M596" s="5">
        <v>2868.75</v>
      </c>
      <c r="N596" s="5">
        <v>23906.25</v>
      </c>
    </row>
    <row r="597" spans="1:14" hidden="1">
      <c r="A597" t="s">
        <v>1530</v>
      </c>
      <c r="B597" t="s">
        <v>1467</v>
      </c>
      <c r="C597" t="s">
        <v>60</v>
      </c>
      <c r="D597" s="6">
        <v>0</v>
      </c>
      <c r="E597" t="s">
        <v>1467</v>
      </c>
      <c r="F597" t="s">
        <v>56</v>
      </c>
      <c r="G597" t="s">
        <v>61</v>
      </c>
      <c r="H597" t="s">
        <v>1531</v>
      </c>
      <c r="I597" s="5">
        <v>25770</v>
      </c>
      <c r="J597" s="4">
        <v>-515.4</v>
      </c>
      <c r="L597" s="5">
        <v>25254.6</v>
      </c>
      <c r="M597" s="5">
        <v>2705.85</v>
      </c>
      <c r="N597" s="5">
        <v>22548.75</v>
      </c>
    </row>
    <row r="598" spans="1:14" hidden="1">
      <c r="A598" t="s">
        <v>1532</v>
      </c>
      <c r="B598" t="s">
        <v>1467</v>
      </c>
      <c r="C598" t="s">
        <v>151</v>
      </c>
      <c r="D598" s="6">
        <v>60</v>
      </c>
      <c r="E598" t="s">
        <v>1495</v>
      </c>
      <c r="F598" t="s">
        <v>19</v>
      </c>
      <c r="G598" t="s">
        <v>678</v>
      </c>
      <c r="H598" t="s">
        <v>1533</v>
      </c>
      <c r="I598" s="5">
        <v>26000</v>
      </c>
      <c r="L598" s="5">
        <v>26000</v>
      </c>
      <c r="M598" s="5">
        <v>2785.71</v>
      </c>
      <c r="N598" s="5">
        <v>23214.29</v>
      </c>
    </row>
    <row r="599" spans="1:14" hidden="1">
      <c r="A599" t="s">
        <v>1534</v>
      </c>
      <c r="B599" t="s">
        <v>1467</v>
      </c>
      <c r="C599" t="s">
        <v>29</v>
      </c>
      <c r="D599" s="6">
        <v>0</v>
      </c>
      <c r="E599" t="s">
        <v>1467</v>
      </c>
      <c r="F599" t="s">
        <v>30</v>
      </c>
      <c r="G599" t="s">
        <v>155</v>
      </c>
      <c r="H599" t="s">
        <v>1535</v>
      </c>
      <c r="I599" s="5">
        <v>67200</v>
      </c>
      <c r="L599" s="5">
        <v>67200</v>
      </c>
      <c r="M599" s="5">
        <v>7200</v>
      </c>
      <c r="N599" s="5">
        <v>60000</v>
      </c>
    </row>
    <row r="600" spans="1:14" hidden="1">
      <c r="A600" t="s">
        <v>1536</v>
      </c>
      <c r="B600" t="s">
        <v>1467</v>
      </c>
      <c r="C600" t="s">
        <v>29</v>
      </c>
      <c r="D600" s="6">
        <v>0</v>
      </c>
      <c r="E600" t="s">
        <v>1467</v>
      </c>
      <c r="F600" t="s">
        <v>30</v>
      </c>
      <c r="G600" t="s">
        <v>31</v>
      </c>
      <c r="H600" t="s">
        <v>1537</v>
      </c>
      <c r="I600" s="5">
        <v>112032</v>
      </c>
      <c r="L600" s="5">
        <v>112032</v>
      </c>
      <c r="M600" s="5">
        <v>12003.43</v>
      </c>
      <c r="N600" s="5">
        <v>100028.57</v>
      </c>
    </row>
    <row r="601" spans="1:14" hidden="1">
      <c r="A601" t="s">
        <v>1538</v>
      </c>
      <c r="B601" t="s">
        <v>1467</v>
      </c>
      <c r="C601" t="s">
        <v>29</v>
      </c>
      <c r="D601" s="6">
        <v>0</v>
      </c>
      <c r="E601" t="s">
        <v>1467</v>
      </c>
      <c r="F601" t="s">
        <v>30</v>
      </c>
      <c r="G601" t="s">
        <v>155</v>
      </c>
      <c r="H601" t="s">
        <v>1539</v>
      </c>
      <c r="I601" s="5">
        <v>13775</v>
      </c>
      <c r="L601" s="5">
        <v>13775</v>
      </c>
      <c r="M601" s="5">
        <v>1475.89</v>
      </c>
      <c r="N601" s="5">
        <v>12299.11</v>
      </c>
    </row>
    <row r="602" spans="1:14" hidden="1">
      <c r="A602" t="s">
        <v>1540</v>
      </c>
      <c r="B602" t="s">
        <v>1467</v>
      </c>
      <c r="C602" t="s">
        <v>29</v>
      </c>
      <c r="D602" s="6">
        <v>0</v>
      </c>
      <c r="E602" t="s">
        <v>1467</v>
      </c>
      <c r="F602" t="s">
        <v>30</v>
      </c>
      <c r="G602" t="s">
        <v>31</v>
      </c>
      <c r="H602" t="s">
        <v>1541</v>
      </c>
      <c r="I602" s="5">
        <v>47600</v>
      </c>
      <c r="L602" s="5">
        <v>47600</v>
      </c>
      <c r="M602" s="5">
        <v>5100</v>
      </c>
      <c r="N602" s="5">
        <v>42500</v>
      </c>
    </row>
    <row r="603" spans="1:14" hidden="1">
      <c r="A603" t="s">
        <v>1542</v>
      </c>
      <c r="B603" t="s">
        <v>1467</v>
      </c>
      <c r="C603" t="s">
        <v>29</v>
      </c>
      <c r="D603" s="6">
        <v>0</v>
      </c>
      <c r="E603" t="s">
        <v>1467</v>
      </c>
      <c r="F603" t="s">
        <v>30</v>
      </c>
      <c r="G603" t="s">
        <v>155</v>
      </c>
      <c r="H603" t="s">
        <v>1543</v>
      </c>
      <c r="I603" s="5">
        <v>22175</v>
      </c>
      <c r="L603" s="5">
        <v>22175</v>
      </c>
      <c r="M603" s="5">
        <v>2375.89</v>
      </c>
      <c r="N603" s="5">
        <v>19799.11</v>
      </c>
    </row>
    <row r="604" spans="1:14" hidden="1">
      <c r="A604" t="s">
        <v>1544</v>
      </c>
      <c r="B604" t="s">
        <v>1467</v>
      </c>
      <c r="C604" t="s">
        <v>29</v>
      </c>
      <c r="D604" s="6">
        <v>0</v>
      </c>
      <c r="E604" t="s">
        <v>1467</v>
      </c>
      <c r="F604" t="s">
        <v>30</v>
      </c>
      <c r="G604" t="s">
        <v>31</v>
      </c>
      <c r="H604" t="s">
        <v>1545</v>
      </c>
      <c r="I604" s="5">
        <v>12600</v>
      </c>
      <c r="L604" s="5">
        <v>12600</v>
      </c>
      <c r="M604" s="5">
        <v>1350</v>
      </c>
      <c r="N604" s="5">
        <v>11250</v>
      </c>
    </row>
    <row r="605" spans="1:14" hidden="1">
      <c r="A605" t="s">
        <v>1546</v>
      </c>
      <c r="B605" t="s">
        <v>1467</v>
      </c>
      <c r="C605" t="s">
        <v>29</v>
      </c>
      <c r="D605" s="6">
        <v>0</v>
      </c>
      <c r="E605" t="s">
        <v>1467</v>
      </c>
      <c r="F605" t="s">
        <v>30</v>
      </c>
      <c r="G605" t="s">
        <v>31</v>
      </c>
      <c r="H605" t="s">
        <v>1547</v>
      </c>
      <c r="I605" s="5">
        <v>2600</v>
      </c>
      <c r="L605" s="5">
        <v>2600</v>
      </c>
      <c r="M605" s="7">
        <v>278.57</v>
      </c>
      <c r="N605" s="5">
        <v>2321.4299999999998</v>
      </c>
    </row>
    <row r="606" spans="1:14" hidden="1">
      <c r="A606" t="s">
        <v>1548</v>
      </c>
      <c r="B606" t="s">
        <v>1467</v>
      </c>
      <c r="C606" t="s">
        <v>29</v>
      </c>
      <c r="D606" s="6">
        <v>0</v>
      </c>
      <c r="E606" t="s">
        <v>1467</v>
      </c>
      <c r="F606" t="s">
        <v>30</v>
      </c>
      <c r="G606" t="s">
        <v>31</v>
      </c>
      <c r="H606" t="s">
        <v>1549</v>
      </c>
      <c r="I606" s="5">
        <v>32250</v>
      </c>
      <c r="L606" s="5">
        <v>32250</v>
      </c>
      <c r="M606" s="5">
        <v>3455.36</v>
      </c>
      <c r="N606" s="5">
        <v>28794.639999999999</v>
      </c>
    </row>
    <row r="607" spans="1:14" hidden="1">
      <c r="A607" t="s">
        <v>1550</v>
      </c>
      <c r="B607" t="s">
        <v>1467</v>
      </c>
      <c r="C607" t="s">
        <v>68</v>
      </c>
      <c r="D607" s="6">
        <v>60</v>
      </c>
      <c r="E607" t="s">
        <v>1495</v>
      </c>
      <c r="F607" t="s">
        <v>69</v>
      </c>
      <c r="G607" t="s">
        <v>70</v>
      </c>
      <c r="H607" t="s">
        <v>1551</v>
      </c>
      <c r="I607" s="5">
        <v>2419200</v>
      </c>
      <c r="L607" s="5">
        <v>2419200</v>
      </c>
      <c r="M607" s="5">
        <v>259200</v>
      </c>
      <c r="N607" s="5">
        <v>2160000</v>
      </c>
    </row>
    <row r="608" spans="1:14" hidden="1">
      <c r="A608" t="s">
        <v>1552</v>
      </c>
      <c r="B608" t="s">
        <v>1553</v>
      </c>
      <c r="C608" t="s">
        <v>167</v>
      </c>
      <c r="D608" s="6">
        <v>90</v>
      </c>
      <c r="E608" t="s">
        <v>1554</v>
      </c>
      <c r="F608" t="s">
        <v>56</v>
      </c>
      <c r="G608" t="s">
        <v>168</v>
      </c>
      <c r="H608" t="s">
        <v>1555</v>
      </c>
      <c r="I608" s="5">
        <v>776544</v>
      </c>
      <c r="L608" s="5">
        <v>776544</v>
      </c>
      <c r="M608" s="5">
        <v>83201.14</v>
      </c>
      <c r="N608" s="5">
        <v>693342.86</v>
      </c>
    </row>
    <row r="609" spans="1:14" hidden="1">
      <c r="A609" t="s">
        <v>1556</v>
      </c>
      <c r="B609" t="s">
        <v>1553</v>
      </c>
      <c r="C609" t="s">
        <v>151</v>
      </c>
      <c r="D609" s="6">
        <v>60</v>
      </c>
      <c r="E609" t="s">
        <v>1557</v>
      </c>
      <c r="F609" t="s">
        <v>69</v>
      </c>
      <c r="G609" t="s">
        <v>1518</v>
      </c>
      <c r="H609" t="s">
        <v>1558</v>
      </c>
      <c r="I609" s="5">
        <v>231000</v>
      </c>
      <c r="L609" s="5">
        <v>231000</v>
      </c>
      <c r="M609" s="5">
        <v>24750</v>
      </c>
      <c r="N609" s="5">
        <v>206250</v>
      </c>
    </row>
    <row r="610" spans="1:14" hidden="1">
      <c r="A610" t="s">
        <v>1559</v>
      </c>
      <c r="B610" t="s">
        <v>1553</v>
      </c>
      <c r="C610" t="s">
        <v>146</v>
      </c>
      <c r="D610" s="6">
        <v>90</v>
      </c>
      <c r="E610" t="s">
        <v>1554</v>
      </c>
      <c r="F610" t="s">
        <v>139</v>
      </c>
      <c r="G610" t="s">
        <v>1560</v>
      </c>
      <c r="H610" t="s">
        <v>1561</v>
      </c>
      <c r="I610" s="5">
        <v>272703</v>
      </c>
      <c r="L610" s="5">
        <v>272703</v>
      </c>
      <c r="M610" s="5">
        <v>29218.18</v>
      </c>
      <c r="N610" s="5">
        <v>243484.82</v>
      </c>
    </row>
    <row r="611" spans="1:14" hidden="1">
      <c r="A611" t="s">
        <v>1562</v>
      </c>
      <c r="B611" t="s">
        <v>1553</v>
      </c>
      <c r="C611" t="s">
        <v>1563</v>
      </c>
      <c r="D611" s="6">
        <v>45</v>
      </c>
      <c r="E611" t="s">
        <v>692</v>
      </c>
      <c r="F611" t="s">
        <v>139</v>
      </c>
      <c r="G611" t="s">
        <v>1564</v>
      </c>
      <c r="H611" t="s">
        <v>1565</v>
      </c>
      <c r="I611" s="5">
        <v>164075</v>
      </c>
      <c r="L611" s="5">
        <v>164075</v>
      </c>
      <c r="M611" s="5">
        <v>17579.46</v>
      </c>
      <c r="N611" s="5">
        <v>146495.54</v>
      </c>
    </row>
    <row r="612" spans="1:14" hidden="1">
      <c r="A612" t="s">
        <v>1566</v>
      </c>
      <c r="B612" t="s">
        <v>1553</v>
      </c>
      <c r="C612" t="s">
        <v>151</v>
      </c>
      <c r="D612" s="6">
        <v>60</v>
      </c>
      <c r="E612" t="s">
        <v>1557</v>
      </c>
      <c r="F612" t="s">
        <v>36</v>
      </c>
      <c r="G612" t="s">
        <v>187</v>
      </c>
      <c r="H612" t="s">
        <v>1567</v>
      </c>
      <c r="I612" s="5">
        <v>24544</v>
      </c>
      <c r="L612" s="5">
        <v>24544</v>
      </c>
      <c r="M612" s="5">
        <v>2629.71</v>
      </c>
      <c r="N612" s="5">
        <v>21914.29</v>
      </c>
    </row>
    <row r="613" spans="1:14" hidden="1">
      <c r="A613" t="s">
        <v>1568</v>
      </c>
      <c r="B613" t="s">
        <v>1553</v>
      </c>
      <c r="C613" t="s">
        <v>369</v>
      </c>
      <c r="D613" s="6">
        <v>30</v>
      </c>
      <c r="E613" t="s">
        <v>1569</v>
      </c>
      <c r="F613" t="s">
        <v>139</v>
      </c>
      <c r="G613" t="s">
        <v>371</v>
      </c>
      <c r="H613" t="s">
        <v>1570</v>
      </c>
      <c r="I613" s="5">
        <v>96530</v>
      </c>
      <c r="L613" s="5">
        <v>96530</v>
      </c>
      <c r="M613" s="5">
        <v>10342.5</v>
      </c>
      <c r="N613" s="5">
        <v>86187.5</v>
      </c>
    </row>
    <row r="614" spans="1:14" hidden="1">
      <c r="A614" t="s">
        <v>1571</v>
      </c>
      <c r="B614" t="s">
        <v>1553</v>
      </c>
      <c r="C614" t="s">
        <v>369</v>
      </c>
      <c r="D614" s="6">
        <v>30</v>
      </c>
      <c r="E614" t="s">
        <v>1569</v>
      </c>
      <c r="F614" t="s">
        <v>139</v>
      </c>
      <c r="G614" t="s">
        <v>371</v>
      </c>
      <c r="H614" t="s">
        <v>1572</v>
      </c>
      <c r="I614" s="5">
        <v>138347</v>
      </c>
      <c r="L614" s="5">
        <v>138347</v>
      </c>
      <c r="M614" s="5">
        <v>14822.89</v>
      </c>
      <c r="N614" s="5">
        <v>123524.11</v>
      </c>
    </row>
    <row r="615" spans="1:14" hidden="1">
      <c r="A615" t="s">
        <v>1573</v>
      </c>
      <c r="B615" t="s">
        <v>1553</v>
      </c>
      <c r="C615" t="s">
        <v>18</v>
      </c>
      <c r="D615" s="6">
        <v>0</v>
      </c>
      <c r="E615" t="s">
        <v>1553</v>
      </c>
      <c r="F615" t="s">
        <v>270</v>
      </c>
      <c r="G615" t="s">
        <v>70</v>
      </c>
      <c r="H615" t="s">
        <v>1574</v>
      </c>
      <c r="I615" s="5">
        <v>24540</v>
      </c>
      <c r="L615" s="5">
        <v>24540</v>
      </c>
      <c r="M615" s="5">
        <v>2629.29</v>
      </c>
      <c r="N615" s="5">
        <v>21910.71</v>
      </c>
    </row>
    <row r="616" spans="1:14" hidden="1">
      <c r="A616" t="s">
        <v>1575</v>
      </c>
      <c r="B616" t="s">
        <v>1553</v>
      </c>
      <c r="C616" t="s">
        <v>658</v>
      </c>
      <c r="D616" s="6">
        <v>60</v>
      </c>
      <c r="E616" t="s">
        <v>1557</v>
      </c>
      <c r="F616" t="s">
        <v>46</v>
      </c>
      <c r="G616" t="s">
        <v>787</v>
      </c>
      <c r="H616" t="s">
        <v>1576</v>
      </c>
      <c r="I616" s="5">
        <v>45666</v>
      </c>
      <c r="L616" s="5">
        <v>45666</v>
      </c>
      <c r="M616" s="5">
        <v>4892.79</v>
      </c>
      <c r="N616" s="5">
        <v>40773.21</v>
      </c>
    </row>
    <row r="617" spans="1:14" hidden="1">
      <c r="A617" t="s">
        <v>1577</v>
      </c>
      <c r="B617" t="s">
        <v>1553</v>
      </c>
      <c r="C617" t="s">
        <v>73</v>
      </c>
      <c r="D617" s="6">
        <v>30</v>
      </c>
      <c r="E617" t="s">
        <v>1569</v>
      </c>
      <c r="F617" t="s">
        <v>56</v>
      </c>
      <c r="G617" t="s">
        <v>812</v>
      </c>
      <c r="H617" t="s">
        <v>1578</v>
      </c>
      <c r="I617" s="5">
        <v>33964</v>
      </c>
      <c r="L617" s="5">
        <v>33964</v>
      </c>
      <c r="M617" s="5">
        <v>3639</v>
      </c>
      <c r="N617" s="5">
        <v>30325</v>
      </c>
    </row>
    <row r="618" spans="1:14" hidden="1">
      <c r="A618" t="s">
        <v>1579</v>
      </c>
      <c r="B618" t="s">
        <v>1553</v>
      </c>
      <c r="C618" t="s">
        <v>146</v>
      </c>
      <c r="D618" s="6">
        <v>90</v>
      </c>
      <c r="E618" t="s">
        <v>1554</v>
      </c>
      <c r="F618" t="s">
        <v>759</v>
      </c>
      <c r="G618" t="s">
        <v>1580</v>
      </c>
      <c r="H618" t="s">
        <v>1581</v>
      </c>
      <c r="I618" s="5">
        <v>2105000</v>
      </c>
      <c r="L618" s="5">
        <v>2105000</v>
      </c>
      <c r="M618" s="5">
        <v>225535.71</v>
      </c>
      <c r="N618" s="5">
        <v>1879464.29</v>
      </c>
    </row>
    <row r="619" spans="1:14" hidden="1">
      <c r="A619" t="s">
        <v>1582</v>
      </c>
      <c r="B619" t="s">
        <v>1553</v>
      </c>
      <c r="C619" t="s">
        <v>146</v>
      </c>
      <c r="D619" s="6">
        <v>90</v>
      </c>
      <c r="E619" t="s">
        <v>1554</v>
      </c>
      <c r="F619" t="s">
        <v>759</v>
      </c>
      <c r="G619" t="s">
        <v>1580</v>
      </c>
      <c r="H619" t="s">
        <v>1583</v>
      </c>
      <c r="I619" s="5">
        <v>1496900</v>
      </c>
      <c r="L619" s="5">
        <v>1496900</v>
      </c>
      <c r="M619" s="5">
        <v>160382.14000000001</v>
      </c>
      <c r="N619" s="5">
        <v>1336517.8600000001</v>
      </c>
    </row>
    <row r="620" spans="1:14" hidden="1">
      <c r="A620" t="s">
        <v>1584</v>
      </c>
      <c r="B620" t="s">
        <v>1553</v>
      </c>
      <c r="C620" t="s">
        <v>23</v>
      </c>
      <c r="D620" s="6">
        <v>30</v>
      </c>
      <c r="E620" t="s">
        <v>1569</v>
      </c>
      <c r="F620" t="s">
        <v>180</v>
      </c>
      <c r="G620" t="s">
        <v>224</v>
      </c>
      <c r="H620" t="s">
        <v>1585</v>
      </c>
      <c r="I620" s="5">
        <v>57200</v>
      </c>
      <c r="L620" s="5">
        <v>57200</v>
      </c>
      <c r="M620" s="5">
        <v>6128.57</v>
      </c>
      <c r="N620" s="5">
        <v>51071.43</v>
      </c>
    </row>
    <row r="621" spans="1:14" hidden="1">
      <c r="A621" t="s">
        <v>1586</v>
      </c>
      <c r="B621" t="s">
        <v>1553</v>
      </c>
      <c r="C621" t="s">
        <v>64</v>
      </c>
      <c r="D621" s="6">
        <v>30</v>
      </c>
      <c r="E621" t="s">
        <v>1569</v>
      </c>
      <c r="F621" t="s">
        <v>25</v>
      </c>
      <c r="G621" t="s">
        <v>26</v>
      </c>
      <c r="H621" t="s">
        <v>1420</v>
      </c>
      <c r="I621" s="5">
        <v>264274</v>
      </c>
      <c r="K621" s="5">
        <v>35300</v>
      </c>
      <c r="L621" s="5">
        <v>299574</v>
      </c>
      <c r="M621" s="5">
        <v>32097.21</v>
      </c>
      <c r="N621" s="5">
        <v>267476.78999999998</v>
      </c>
    </row>
    <row r="622" spans="1:14" hidden="1">
      <c r="A622" t="s">
        <v>1587</v>
      </c>
      <c r="B622" t="s">
        <v>1553</v>
      </c>
      <c r="C622" t="s">
        <v>23</v>
      </c>
      <c r="D622" s="6">
        <v>30</v>
      </c>
      <c r="E622" t="s">
        <v>1569</v>
      </c>
      <c r="F622" t="s">
        <v>180</v>
      </c>
      <c r="G622" t="s">
        <v>224</v>
      </c>
      <c r="H622" t="s">
        <v>1588</v>
      </c>
      <c r="I622" s="5">
        <v>45800</v>
      </c>
      <c r="L622" s="5">
        <v>45800</v>
      </c>
      <c r="M622" s="5">
        <v>4907.1400000000003</v>
      </c>
      <c r="N622" s="5">
        <v>40892.86</v>
      </c>
    </row>
    <row r="623" spans="1:14" hidden="1">
      <c r="A623" t="s">
        <v>1589</v>
      </c>
      <c r="B623" t="s">
        <v>1553</v>
      </c>
      <c r="C623" t="s">
        <v>34</v>
      </c>
      <c r="D623" s="6">
        <v>60</v>
      </c>
      <c r="E623" t="s">
        <v>1557</v>
      </c>
      <c r="F623" t="s">
        <v>19</v>
      </c>
      <c r="G623" t="s">
        <v>287</v>
      </c>
      <c r="H623" t="s">
        <v>1590</v>
      </c>
      <c r="I623" s="5">
        <v>110500</v>
      </c>
      <c r="L623" s="5">
        <v>110500</v>
      </c>
      <c r="M623" s="5">
        <v>11839.29</v>
      </c>
      <c r="N623" s="5">
        <v>98660.71</v>
      </c>
    </row>
    <row r="624" spans="1:14" hidden="1">
      <c r="A624" t="s">
        <v>1591</v>
      </c>
      <c r="B624" t="s">
        <v>1553</v>
      </c>
      <c r="C624" t="s">
        <v>60</v>
      </c>
      <c r="D624" s="6">
        <v>0</v>
      </c>
      <c r="E624" t="s">
        <v>1553</v>
      </c>
      <c r="F624" t="s">
        <v>30</v>
      </c>
      <c r="G624" t="s">
        <v>406</v>
      </c>
      <c r="H624" t="s">
        <v>1592</v>
      </c>
      <c r="I624" s="5">
        <v>728000</v>
      </c>
      <c r="J624" s="4">
        <v>-21840</v>
      </c>
      <c r="L624" s="5">
        <v>706160</v>
      </c>
      <c r="M624" s="5">
        <v>75660</v>
      </c>
      <c r="N624" s="5">
        <v>630500</v>
      </c>
    </row>
    <row r="625" spans="1:14" hidden="1">
      <c r="A625" t="s">
        <v>1593</v>
      </c>
      <c r="B625" t="s">
        <v>1553</v>
      </c>
      <c r="C625" t="s">
        <v>29</v>
      </c>
      <c r="D625" s="6">
        <v>0</v>
      </c>
      <c r="E625" t="s">
        <v>1553</v>
      </c>
      <c r="F625" t="s">
        <v>30</v>
      </c>
      <c r="G625" t="s">
        <v>218</v>
      </c>
      <c r="H625" t="s">
        <v>1594</v>
      </c>
      <c r="I625" s="5">
        <v>517172</v>
      </c>
      <c r="J625" s="4">
        <v>-15515.16</v>
      </c>
      <c r="L625" s="5">
        <v>501656.84</v>
      </c>
      <c r="M625" s="5">
        <v>53748.95</v>
      </c>
      <c r="N625" s="5">
        <v>447907.89</v>
      </c>
    </row>
    <row r="626" spans="1:14" hidden="1">
      <c r="A626" t="s">
        <v>1595</v>
      </c>
      <c r="B626" t="s">
        <v>1553</v>
      </c>
      <c r="C626" t="s">
        <v>29</v>
      </c>
      <c r="D626" s="6">
        <v>0</v>
      </c>
      <c r="E626" t="s">
        <v>1553</v>
      </c>
      <c r="F626" t="s">
        <v>30</v>
      </c>
      <c r="G626" t="s">
        <v>218</v>
      </c>
      <c r="H626" t="s">
        <v>1596</v>
      </c>
      <c r="I626" s="5">
        <v>152454</v>
      </c>
      <c r="J626" s="4">
        <v>-4573.62</v>
      </c>
      <c r="L626" s="5">
        <v>147880.38</v>
      </c>
      <c r="M626" s="5">
        <v>15844.33</v>
      </c>
      <c r="N626" s="5">
        <v>132036.04999999999</v>
      </c>
    </row>
    <row r="627" spans="1:14" hidden="1">
      <c r="A627" t="s">
        <v>1597</v>
      </c>
      <c r="B627" t="s">
        <v>1553</v>
      </c>
      <c r="C627" t="s">
        <v>73</v>
      </c>
      <c r="D627" s="6">
        <v>30</v>
      </c>
      <c r="E627" t="s">
        <v>1569</v>
      </c>
      <c r="F627" t="s">
        <v>56</v>
      </c>
      <c r="G627" t="s">
        <v>812</v>
      </c>
      <c r="H627" t="s">
        <v>1598</v>
      </c>
      <c r="I627" s="5">
        <v>246330</v>
      </c>
      <c r="L627" s="5">
        <v>246330</v>
      </c>
      <c r="M627" s="5">
        <v>26392.5</v>
      </c>
      <c r="N627" s="5">
        <v>219937.5</v>
      </c>
    </row>
    <row r="628" spans="1:14" hidden="1">
      <c r="A628" t="s">
        <v>1599</v>
      </c>
      <c r="B628" t="s">
        <v>1553</v>
      </c>
      <c r="C628" t="s">
        <v>60</v>
      </c>
      <c r="D628" s="6">
        <v>0</v>
      </c>
      <c r="E628" t="s">
        <v>1553</v>
      </c>
      <c r="F628" t="s">
        <v>56</v>
      </c>
      <c r="G628" t="s">
        <v>196</v>
      </c>
      <c r="H628" t="s">
        <v>1600</v>
      </c>
      <c r="I628" s="5">
        <v>20090</v>
      </c>
      <c r="L628" s="5">
        <v>20090</v>
      </c>
      <c r="M628" s="5">
        <v>2152.5</v>
      </c>
      <c r="N628" s="5">
        <v>17937.5</v>
      </c>
    </row>
    <row r="629" spans="1:14" hidden="1">
      <c r="A629" t="s">
        <v>1601</v>
      </c>
      <c r="B629" t="s">
        <v>1553</v>
      </c>
      <c r="C629" t="s">
        <v>60</v>
      </c>
      <c r="D629" s="6">
        <v>0</v>
      </c>
      <c r="E629" t="s">
        <v>1553</v>
      </c>
      <c r="F629" t="s">
        <v>56</v>
      </c>
      <c r="G629" t="s">
        <v>196</v>
      </c>
      <c r="H629" t="s">
        <v>1602</v>
      </c>
      <c r="I629" s="5">
        <v>60268</v>
      </c>
      <c r="L629" s="5">
        <v>60268</v>
      </c>
      <c r="M629" s="5">
        <v>6457.29</v>
      </c>
      <c r="N629" s="5">
        <v>53810.71</v>
      </c>
    </row>
    <row r="630" spans="1:14" hidden="1">
      <c r="A630" t="s">
        <v>1603</v>
      </c>
      <c r="B630" t="s">
        <v>1553</v>
      </c>
      <c r="C630" t="s">
        <v>54</v>
      </c>
      <c r="D630" s="6">
        <v>90</v>
      </c>
      <c r="E630" t="s">
        <v>1554</v>
      </c>
      <c r="F630" t="s">
        <v>19</v>
      </c>
      <c r="G630" t="s">
        <v>937</v>
      </c>
      <c r="H630" t="s">
        <v>1604</v>
      </c>
      <c r="I630" s="5">
        <v>537500</v>
      </c>
      <c r="L630" s="5">
        <v>537500</v>
      </c>
      <c r="M630" s="5">
        <v>57589.29</v>
      </c>
      <c r="N630" s="5">
        <v>479910.71</v>
      </c>
    </row>
    <row r="631" spans="1:14" hidden="1">
      <c r="A631" t="s">
        <v>1605</v>
      </c>
      <c r="B631" t="s">
        <v>1553</v>
      </c>
      <c r="C631" t="s">
        <v>18</v>
      </c>
      <c r="D631" s="6">
        <v>0</v>
      </c>
      <c r="E631" t="s">
        <v>1553</v>
      </c>
      <c r="F631" t="s">
        <v>30</v>
      </c>
      <c r="G631" t="s">
        <v>581</v>
      </c>
      <c r="H631" t="s">
        <v>1606</v>
      </c>
      <c r="I631" s="5">
        <v>353460</v>
      </c>
      <c r="L631" s="5">
        <v>353460</v>
      </c>
      <c r="M631" s="5">
        <v>37870.71</v>
      </c>
      <c r="N631" s="5">
        <v>315589.28999999998</v>
      </c>
    </row>
    <row r="632" spans="1:14" hidden="1">
      <c r="A632" t="s">
        <v>1607</v>
      </c>
      <c r="B632" t="s">
        <v>1553</v>
      </c>
      <c r="C632" t="s">
        <v>18</v>
      </c>
      <c r="D632" s="6">
        <v>0</v>
      </c>
      <c r="E632" t="s">
        <v>1553</v>
      </c>
      <c r="F632" t="s">
        <v>30</v>
      </c>
      <c r="G632" t="s">
        <v>581</v>
      </c>
      <c r="H632" t="s">
        <v>1608</v>
      </c>
      <c r="I632" s="5">
        <v>1011060</v>
      </c>
      <c r="L632" s="5">
        <v>1011060</v>
      </c>
      <c r="M632" s="5">
        <v>108327.86</v>
      </c>
      <c r="N632" s="5">
        <v>902732.14</v>
      </c>
    </row>
    <row r="633" spans="1:14" hidden="1">
      <c r="A633" t="s">
        <v>1609</v>
      </c>
      <c r="B633" t="s">
        <v>1553</v>
      </c>
      <c r="C633" t="s">
        <v>18</v>
      </c>
      <c r="D633" s="6">
        <v>0</v>
      </c>
      <c r="E633" t="s">
        <v>1553</v>
      </c>
      <c r="F633" t="s">
        <v>30</v>
      </c>
      <c r="G633" t="s">
        <v>581</v>
      </c>
      <c r="H633" t="s">
        <v>1610</v>
      </c>
      <c r="I633" s="5">
        <v>16440</v>
      </c>
      <c r="L633" s="5">
        <v>16440</v>
      </c>
      <c r="M633" s="5">
        <v>1761.43</v>
      </c>
      <c r="N633" s="5">
        <v>14678.57</v>
      </c>
    </row>
    <row r="634" spans="1:14" hidden="1">
      <c r="A634" t="s">
        <v>1611</v>
      </c>
      <c r="B634" t="s">
        <v>1553</v>
      </c>
      <c r="C634" t="s">
        <v>369</v>
      </c>
      <c r="D634" s="6">
        <v>30</v>
      </c>
      <c r="E634" t="s">
        <v>1569</v>
      </c>
      <c r="F634" t="s">
        <v>139</v>
      </c>
      <c r="G634" t="s">
        <v>371</v>
      </c>
      <c r="H634" t="s">
        <v>1612</v>
      </c>
      <c r="I634" s="5">
        <v>20540</v>
      </c>
      <c r="L634" s="5">
        <v>20540</v>
      </c>
      <c r="M634" s="5">
        <v>2200.71</v>
      </c>
      <c r="N634" s="5">
        <v>18339.29</v>
      </c>
    </row>
    <row r="635" spans="1:14" hidden="1">
      <c r="A635" t="s">
        <v>1613</v>
      </c>
      <c r="B635" t="s">
        <v>1553</v>
      </c>
      <c r="C635" t="s">
        <v>1011</v>
      </c>
      <c r="D635" s="6">
        <v>60</v>
      </c>
      <c r="E635" t="s">
        <v>1557</v>
      </c>
      <c r="F635" t="s">
        <v>204</v>
      </c>
      <c r="G635" t="s">
        <v>1614</v>
      </c>
      <c r="H635" t="s">
        <v>1615</v>
      </c>
      <c r="I635" s="5">
        <v>163920</v>
      </c>
      <c r="L635" s="5">
        <v>163920</v>
      </c>
      <c r="M635" s="5">
        <v>17562.86</v>
      </c>
      <c r="N635" s="5">
        <v>146357.14000000001</v>
      </c>
    </row>
    <row r="636" spans="1:14" hidden="1">
      <c r="A636" t="s">
        <v>1616</v>
      </c>
      <c r="B636" t="s">
        <v>1553</v>
      </c>
      <c r="C636" t="s">
        <v>1011</v>
      </c>
      <c r="D636" s="6">
        <v>60</v>
      </c>
      <c r="E636" t="s">
        <v>1557</v>
      </c>
      <c r="F636" t="s">
        <v>204</v>
      </c>
      <c r="G636" t="s">
        <v>1614</v>
      </c>
      <c r="H636" t="s">
        <v>1617</v>
      </c>
      <c r="I636" s="5">
        <v>280978</v>
      </c>
      <c r="L636" s="5">
        <v>280978</v>
      </c>
      <c r="M636" s="5">
        <v>30104.79</v>
      </c>
      <c r="N636" s="5">
        <v>250873.21</v>
      </c>
    </row>
    <row r="637" spans="1:14" hidden="1">
      <c r="A637" t="s">
        <v>1618</v>
      </c>
      <c r="B637" t="s">
        <v>1553</v>
      </c>
      <c r="C637" t="s">
        <v>151</v>
      </c>
      <c r="D637" s="6">
        <v>60</v>
      </c>
      <c r="E637" t="s">
        <v>1557</v>
      </c>
      <c r="F637" t="s">
        <v>56</v>
      </c>
      <c r="G637" t="s">
        <v>152</v>
      </c>
      <c r="H637" t="s">
        <v>1619</v>
      </c>
      <c r="I637" s="5">
        <v>21504</v>
      </c>
      <c r="L637" s="5">
        <v>21504</v>
      </c>
      <c r="M637" s="5">
        <v>2304</v>
      </c>
      <c r="N637" s="5">
        <v>19200</v>
      </c>
    </row>
    <row r="638" spans="1:14" hidden="1">
      <c r="A638" t="s">
        <v>1620</v>
      </c>
      <c r="B638" t="s">
        <v>1553</v>
      </c>
      <c r="C638" t="s">
        <v>68</v>
      </c>
      <c r="D638" s="6">
        <v>60</v>
      </c>
      <c r="E638" t="s">
        <v>1557</v>
      </c>
      <c r="F638" t="s">
        <v>69</v>
      </c>
      <c r="G638" t="s">
        <v>70</v>
      </c>
      <c r="H638" t="s">
        <v>1621</v>
      </c>
      <c r="I638" s="5">
        <v>2419200</v>
      </c>
      <c r="L638" s="5">
        <v>2419200</v>
      </c>
      <c r="M638" s="5">
        <v>259200</v>
      </c>
      <c r="N638" s="5">
        <v>2160000</v>
      </c>
    </row>
    <row r="639" spans="1:14" s="8" customFormat="1" hidden="1">
      <c r="D639" s="6"/>
      <c r="I639" s="5"/>
      <c r="K639" s="28">
        <f>SUM(K5:K638)</f>
        <v>193550</v>
      </c>
      <c r="L639" s="28">
        <f>SUM(L5:L638)</f>
        <v>154902289.21000001</v>
      </c>
      <c r="M639" s="5"/>
      <c r="N639" s="5"/>
    </row>
    <row r="640" spans="1:14" s="8" customFormat="1" hidden="1">
      <c r="D640" s="6"/>
      <c r="I640" s="5"/>
      <c r="L640" s="5"/>
      <c r="M640" s="5"/>
      <c r="N640" s="5"/>
    </row>
    <row r="641" spans="1:14" hidden="1">
      <c r="A641" t="s">
        <v>1622</v>
      </c>
      <c r="B641" t="s">
        <v>93</v>
      </c>
      <c r="C641" t="s">
        <v>146</v>
      </c>
      <c r="D641" s="6">
        <v>90</v>
      </c>
      <c r="E641" t="s">
        <v>147</v>
      </c>
      <c r="F641" t="s">
        <v>139</v>
      </c>
      <c r="G641" t="s">
        <v>589</v>
      </c>
      <c r="H641" t="s">
        <v>1623</v>
      </c>
      <c r="I641" s="4">
        <v>-1.25</v>
      </c>
      <c r="L641" s="4">
        <v>-1.25</v>
      </c>
      <c r="N641" s="4">
        <v>-1.25</v>
      </c>
    </row>
    <row r="642" spans="1:14" hidden="1">
      <c r="A642" t="s">
        <v>1624</v>
      </c>
      <c r="B642" t="s">
        <v>448</v>
      </c>
      <c r="C642" t="s">
        <v>146</v>
      </c>
      <c r="D642" s="6">
        <v>90</v>
      </c>
      <c r="E642" t="s">
        <v>479</v>
      </c>
      <c r="F642" t="s">
        <v>139</v>
      </c>
      <c r="G642" t="s">
        <v>589</v>
      </c>
      <c r="H642" t="s">
        <v>1625</v>
      </c>
      <c r="I642" s="4">
        <v>-0.14000000000000001</v>
      </c>
      <c r="L642" s="4">
        <v>-0.14000000000000001</v>
      </c>
      <c r="N642" s="4">
        <v>-0.14000000000000001</v>
      </c>
    </row>
    <row r="643" spans="1:14" hidden="1">
      <c r="A643" t="s">
        <v>1626</v>
      </c>
      <c r="B643" t="s">
        <v>505</v>
      </c>
      <c r="C643" t="s">
        <v>243</v>
      </c>
      <c r="D643" s="6">
        <v>30</v>
      </c>
      <c r="E643" t="s">
        <v>518</v>
      </c>
      <c r="F643" t="s">
        <v>139</v>
      </c>
      <c r="G643" t="s">
        <v>1405</v>
      </c>
      <c r="H643" t="s">
        <v>1627</v>
      </c>
      <c r="I643" s="4">
        <v>-0.99</v>
      </c>
      <c r="L643" s="4">
        <v>-0.99</v>
      </c>
      <c r="N643" s="4">
        <v>-0.99</v>
      </c>
    </row>
    <row r="644" spans="1:14" hidden="1">
      <c r="A644" t="s">
        <v>1628</v>
      </c>
      <c r="B644" t="s">
        <v>505</v>
      </c>
      <c r="C644" t="s">
        <v>73</v>
      </c>
      <c r="D644" s="6">
        <v>30</v>
      </c>
      <c r="E644" t="s">
        <v>518</v>
      </c>
      <c r="F644" t="s">
        <v>19</v>
      </c>
      <c r="G644" t="s">
        <v>267</v>
      </c>
      <c r="H644" t="s">
        <v>1629</v>
      </c>
      <c r="I644" s="4">
        <v>-134200</v>
      </c>
      <c r="L644" s="4">
        <v>-134200</v>
      </c>
      <c r="M644" s="4">
        <v>-14378.57</v>
      </c>
      <c r="N644" s="4">
        <v>-119821.43</v>
      </c>
    </row>
    <row r="645" spans="1:14" hidden="1">
      <c r="A645" t="s">
        <v>1630</v>
      </c>
      <c r="B645" t="s">
        <v>505</v>
      </c>
      <c r="C645" t="s">
        <v>104</v>
      </c>
      <c r="D645" s="6">
        <v>0</v>
      </c>
      <c r="E645" t="s">
        <v>505</v>
      </c>
      <c r="F645" t="s">
        <v>30</v>
      </c>
      <c r="G645" t="s">
        <v>490</v>
      </c>
      <c r="H645" t="s">
        <v>1631</v>
      </c>
      <c r="I645" s="4">
        <v>-0.54</v>
      </c>
      <c r="L645" s="4">
        <v>-0.54</v>
      </c>
      <c r="N645" s="4">
        <v>-0.54</v>
      </c>
    </row>
    <row r="646" spans="1:14" hidden="1">
      <c r="A646" t="s">
        <v>1632</v>
      </c>
      <c r="B646" t="s">
        <v>596</v>
      </c>
      <c r="C646" t="s">
        <v>151</v>
      </c>
      <c r="D646" s="6">
        <v>60</v>
      </c>
      <c r="E646" t="s">
        <v>613</v>
      </c>
      <c r="F646" t="s">
        <v>105</v>
      </c>
      <c r="G646" t="s">
        <v>1633</v>
      </c>
      <c r="H646" t="s">
        <v>1634</v>
      </c>
      <c r="I646" s="4">
        <v>-2</v>
      </c>
      <c r="L646" s="4">
        <v>-2</v>
      </c>
      <c r="N646" s="4">
        <v>-2</v>
      </c>
    </row>
    <row r="647" spans="1:14">
      <c r="A647" t="s">
        <v>1635</v>
      </c>
      <c r="B647" t="s">
        <v>596</v>
      </c>
      <c r="C647" t="s">
        <v>79</v>
      </c>
      <c r="D647" s="6">
        <v>30</v>
      </c>
      <c r="E647" t="s">
        <v>619</v>
      </c>
      <c r="F647" t="s">
        <v>69</v>
      </c>
      <c r="G647" t="s">
        <v>1636</v>
      </c>
      <c r="H647" t="s">
        <v>1637</v>
      </c>
      <c r="I647" s="4">
        <v>-637070</v>
      </c>
      <c r="L647" s="4">
        <v>-637070</v>
      </c>
      <c r="M647" s="4">
        <v>-68257.5</v>
      </c>
      <c r="N647" s="4">
        <v>-568812.5</v>
      </c>
    </row>
    <row r="648" spans="1:14">
      <c r="A648" t="s">
        <v>1638</v>
      </c>
      <c r="B648" t="s">
        <v>596</v>
      </c>
      <c r="C648" t="s">
        <v>79</v>
      </c>
      <c r="D648" s="6">
        <v>30</v>
      </c>
      <c r="E648" t="s">
        <v>619</v>
      </c>
      <c r="F648" t="s">
        <v>69</v>
      </c>
      <c r="G648" t="s">
        <v>1636</v>
      </c>
      <c r="H648" t="s">
        <v>1639</v>
      </c>
      <c r="I648" s="4">
        <v>-115297</v>
      </c>
      <c r="L648" s="4">
        <v>-115297</v>
      </c>
      <c r="M648" s="4">
        <v>-12353.25</v>
      </c>
      <c r="N648" s="4">
        <v>-102943.75</v>
      </c>
    </row>
    <row r="649" spans="1:14">
      <c r="A649" t="s">
        <v>1640</v>
      </c>
      <c r="B649" t="s">
        <v>596</v>
      </c>
      <c r="C649" t="s">
        <v>79</v>
      </c>
      <c r="D649" s="6">
        <v>30</v>
      </c>
      <c r="E649" t="s">
        <v>619</v>
      </c>
      <c r="F649" t="s">
        <v>69</v>
      </c>
      <c r="G649" t="s">
        <v>1636</v>
      </c>
      <c r="H649" t="s">
        <v>1641</v>
      </c>
      <c r="I649" s="4">
        <v>-663000</v>
      </c>
      <c r="L649" s="4">
        <v>-663000</v>
      </c>
      <c r="M649" s="4">
        <v>-71035.710000000006</v>
      </c>
      <c r="N649" s="4">
        <v>-591964.29</v>
      </c>
    </row>
    <row r="650" spans="1:14">
      <c r="A650" t="s">
        <v>1642</v>
      </c>
      <c r="B650" t="s">
        <v>596</v>
      </c>
      <c r="C650" t="s">
        <v>79</v>
      </c>
      <c r="D650" s="6">
        <v>30</v>
      </c>
      <c r="E650" t="s">
        <v>619</v>
      </c>
      <c r="F650" t="s">
        <v>69</v>
      </c>
      <c r="G650" t="s">
        <v>1636</v>
      </c>
      <c r="H650" t="s">
        <v>1643</v>
      </c>
      <c r="I650" s="4">
        <v>-343200</v>
      </c>
      <c r="L650" s="4">
        <v>-343200</v>
      </c>
      <c r="M650" s="4">
        <v>-36771.43</v>
      </c>
      <c r="N650" s="4">
        <v>-306428.57</v>
      </c>
    </row>
    <row r="651" spans="1:14">
      <c r="A651" t="s">
        <v>1644</v>
      </c>
      <c r="B651" t="s">
        <v>596</v>
      </c>
      <c r="C651" t="s">
        <v>79</v>
      </c>
      <c r="D651" s="6">
        <v>30</v>
      </c>
      <c r="E651" t="s">
        <v>619</v>
      </c>
      <c r="F651" t="s">
        <v>69</v>
      </c>
      <c r="G651" t="s">
        <v>1636</v>
      </c>
      <c r="H651" t="s">
        <v>1645</v>
      </c>
      <c r="I651" s="4">
        <v>-53150</v>
      </c>
      <c r="L651" s="4">
        <v>-53150</v>
      </c>
      <c r="M651" s="4">
        <v>-5694.64</v>
      </c>
      <c r="N651" s="4">
        <v>-47455.360000000001</v>
      </c>
    </row>
    <row r="652" spans="1:14">
      <c r="A652" t="s">
        <v>1646</v>
      </c>
      <c r="B652" t="s">
        <v>596</v>
      </c>
      <c r="C652" t="s">
        <v>79</v>
      </c>
      <c r="D652" s="6">
        <v>30</v>
      </c>
      <c r="E652" t="s">
        <v>619</v>
      </c>
      <c r="F652" t="s">
        <v>69</v>
      </c>
      <c r="G652" t="s">
        <v>1636</v>
      </c>
      <c r="H652" t="s">
        <v>1647</v>
      </c>
      <c r="I652" s="4">
        <v>-66750</v>
      </c>
      <c r="L652" s="4">
        <v>-66750</v>
      </c>
      <c r="M652" s="4">
        <v>-7151.79</v>
      </c>
      <c r="N652" s="4">
        <v>-59598.21</v>
      </c>
    </row>
    <row r="653" spans="1:14">
      <c r="A653" t="s">
        <v>1648</v>
      </c>
      <c r="B653" t="s">
        <v>596</v>
      </c>
      <c r="C653" t="s">
        <v>79</v>
      </c>
      <c r="D653" s="6">
        <v>30</v>
      </c>
      <c r="E653" t="s">
        <v>619</v>
      </c>
      <c r="F653" t="s">
        <v>69</v>
      </c>
      <c r="G653" t="s">
        <v>1636</v>
      </c>
      <c r="H653" t="s">
        <v>1649</v>
      </c>
      <c r="I653" s="4">
        <v>-122650</v>
      </c>
      <c r="L653" s="4">
        <v>-122650</v>
      </c>
      <c r="M653" s="4">
        <v>-13141.07</v>
      </c>
      <c r="N653" s="4">
        <v>-109508.93</v>
      </c>
    </row>
    <row r="654" spans="1:14" hidden="1">
      <c r="A654" t="s">
        <v>1650</v>
      </c>
      <c r="B654" t="s">
        <v>1651</v>
      </c>
      <c r="C654" t="s">
        <v>60</v>
      </c>
      <c r="D654" s="6">
        <v>0</v>
      </c>
      <c r="E654" t="s">
        <v>1651</v>
      </c>
      <c r="F654" t="s">
        <v>56</v>
      </c>
      <c r="G654" t="s">
        <v>1127</v>
      </c>
      <c r="H654" t="s">
        <v>1652</v>
      </c>
      <c r="I654" s="4">
        <v>-0.4</v>
      </c>
      <c r="L654" s="4">
        <v>-0.4</v>
      </c>
      <c r="N654" s="4">
        <v>-0.4</v>
      </c>
    </row>
    <row r="655" spans="1:14" hidden="1">
      <c r="A655" t="s">
        <v>1653</v>
      </c>
      <c r="B655" t="s">
        <v>689</v>
      </c>
      <c r="C655" t="s">
        <v>60</v>
      </c>
      <c r="D655" s="6">
        <v>0</v>
      </c>
      <c r="E655" t="s">
        <v>689</v>
      </c>
      <c r="F655" t="s">
        <v>56</v>
      </c>
      <c r="G655" t="s">
        <v>790</v>
      </c>
      <c r="H655" t="s">
        <v>1654</v>
      </c>
      <c r="I655" s="4">
        <v>-0.2</v>
      </c>
      <c r="L655" s="4">
        <v>-0.2</v>
      </c>
      <c r="N655" s="4">
        <v>-0.2</v>
      </c>
    </row>
    <row r="656" spans="1:14" hidden="1">
      <c r="A656" t="s">
        <v>1655</v>
      </c>
      <c r="B656" t="s">
        <v>1117</v>
      </c>
      <c r="C656" t="s">
        <v>34</v>
      </c>
      <c r="D656" s="6">
        <v>60</v>
      </c>
      <c r="E656" t="s">
        <v>1139</v>
      </c>
      <c r="F656" t="s">
        <v>329</v>
      </c>
      <c r="G656" t="s">
        <v>330</v>
      </c>
      <c r="H656" t="s">
        <v>1656</v>
      </c>
      <c r="I656" s="4">
        <v>-0.36</v>
      </c>
      <c r="L656" s="4">
        <v>-0.36</v>
      </c>
      <c r="N656" s="4">
        <v>-0.36</v>
      </c>
    </row>
    <row r="657" spans="1:14" hidden="1">
      <c r="A657" t="s">
        <v>1657</v>
      </c>
      <c r="B657" t="s">
        <v>1217</v>
      </c>
      <c r="C657" t="s">
        <v>146</v>
      </c>
      <c r="D657" s="6">
        <v>90</v>
      </c>
      <c r="E657" t="s">
        <v>1235</v>
      </c>
      <c r="F657" t="s">
        <v>50</v>
      </c>
      <c r="G657" t="s">
        <v>1658</v>
      </c>
      <c r="H657" t="s">
        <v>1659</v>
      </c>
      <c r="I657" s="4">
        <v>-0.43</v>
      </c>
      <c r="L657" s="4">
        <v>-0.43</v>
      </c>
      <c r="N657" s="4">
        <v>-0.43</v>
      </c>
    </row>
    <row r="658" spans="1:14" hidden="1">
      <c r="A658" t="s">
        <v>1660</v>
      </c>
      <c r="B658" t="s">
        <v>1553</v>
      </c>
      <c r="C658" t="s">
        <v>18</v>
      </c>
      <c r="D658" s="6">
        <v>0</v>
      </c>
      <c r="E658" t="s">
        <v>1553</v>
      </c>
      <c r="F658" t="s">
        <v>46</v>
      </c>
      <c r="G658" t="s">
        <v>1122</v>
      </c>
      <c r="H658" t="s">
        <v>1661</v>
      </c>
      <c r="I658" s="4">
        <v>-0.04</v>
      </c>
      <c r="L658" s="4">
        <v>-0.04</v>
      </c>
      <c r="N658" s="4">
        <v>-0.04</v>
      </c>
    </row>
    <row r="659" spans="1:14" hidden="1">
      <c r="A659" t="s">
        <v>1662</v>
      </c>
      <c r="B659" t="s">
        <v>1553</v>
      </c>
      <c r="C659" t="s">
        <v>104</v>
      </c>
      <c r="D659" s="6">
        <v>0</v>
      </c>
      <c r="E659" t="s">
        <v>1553</v>
      </c>
      <c r="F659" t="s">
        <v>30</v>
      </c>
      <c r="G659" t="s">
        <v>490</v>
      </c>
      <c r="H659" t="s">
        <v>1663</v>
      </c>
      <c r="I659" s="4">
        <v>-0.54</v>
      </c>
      <c r="L659" s="4">
        <v>-0.54</v>
      </c>
      <c r="N659" s="4">
        <v>-0.54</v>
      </c>
    </row>
    <row r="660" spans="1:14" hidden="1">
      <c r="A660" t="s">
        <v>1664</v>
      </c>
      <c r="B660" t="s">
        <v>1553</v>
      </c>
      <c r="C660" t="s">
        <v>23</v>
      </c>
      <c r="D660" s="6">
        <v>30</v>
      </c>
      <c r="E660" t="s">
        <v>1569</v>
      </c>
      <c r="F660" t="s">
        <v>180</v>
      </c>
      <c r="G660" t="s">
        <v>1665</v>
      </c>
      <c r="H660" t="s">
        <v>1666</v>
      </c>
      <c r="I660" s="4">
        <v>-0.69</v>
      </c>
      <c r="L660" s="4">
        <v>-0.69</v>
      </c>
      <c r="N660" s="4">
        <v>-0.69</v>
      </c>
    </row>
    <row r="661" spans="1:14" hidden="1">
      <c r="A661" t="s">
        <v>1667</v>
      </c>
      <c r="B661" t="s">
        <v>1553</v>
      </c>
      <c r="C661" t="s">
        <v>60</v>
      </c>
      <c r="D661" s="6">
        <v>0</v>
      </c>
      <c r="E661" t="s">
        <v>1553</v>
      </c>
      <c r="F661" t="s">
        <v>56</v>
      </c>
      <c r="G661" t="s">
        <v>1668</v>
      </c>
      <c r="H661" t="s">
        <v>1669</v>
      </c>
      <c r="I661" s="4">
        <v>-0.02</v>
      </c>
      <c r="L661" s="4">
        <v>-0.02</v>
      </c>
      <c r="N661" s="4">
        <v>-0.02</v>
      </c>
    </row>
    <row r="662" spans="1:14" hidden="1">
      <c r="A662" t="s">
        <v>1670</v>
      </c>
      <c r="B662" t="s">
        <v>1553</v>
      </c>
      <c r="C662" t="s">
        <v>104</v>
      </c>
      <c r="D662" s="6">
        <v>0</v>
      </c>
      <c r="E662" t="s">
        <v>1553</v>
      </c>
      <c r="F662" t="s">
        <v>30</v>
      </c>
      <c r="G662" t="s">
        <v>40</v>
      </c>
      <c r="H662" t="s">
        <v>1671</v>
      </c>
      <c r="I662" s="4">
        <v>-1</v>
      </c>
      <c r="L662" s="4">
        <v>-1</v>
      </c>
      <c r="N662" s="4">
        <v>-1</v>
      </c>
    </row>
    <row r="663" spans="1:14" hidden="1">
      <c r="A663" t="s">
        <v>1672</v>
      </c>
      <c r="B663" t="s">
        <v>1553</v>
      </c>
      <c r="C663" t="s">
        <v>60</v>
      </c>
      <c r="D663" s="6">
        <v>0</v>
      </c>
      <c r="E663" t="s">
        <v>1553</v>
      </c>
      <c r="F663" t="s">
        <v>139</v>
      </c>
      <c r="G663" t="s">
        <v>1097</v>
      </c>
      <c r="H663" t="s">
        <v>1673</v>
      </c>
      <c r="I663" s="4">
        <v>-0.5</v>
      </c>
      <c r="L663" s="4">
        <v>-0.5</v>
      </c>
      <c r="N663" s="4">
        <v>-0.5</v>
      </c>
    </row>
    <row r="664" spans="1:14" hidden="1">
      <c r="A664" t="s">
        <v>1674</v>
      </c>
      <c r="B664" t="s">
        <v>93</v>
      </c>
      <c r="C664" t="s">
        <v>237</v>
      </c>
      <c r="D664" s="6">
        <v>60</v>
      </c>
      <c r="E664" t="s">
        <v>136</v>
      </c>
      <c r="F664" t="s">
        <v>69</v>
      </c>
      <c r="G664" t="s">
        <v>303</v>
      </c>
      <c r="H664" t="s">
        <v>1675</v>
      </c>
      <c r="I664" s="4">
        <v>-108810.63</v>
      </c>
      <c r="L664" s="4">
        <v>-108810.63</v>
      </c>
      <c r="M664" s="4">
        <v>-97152.35</v>
      </c>
      <c r="N664" s="4">
        <v>-11658.28</v>
      </c>
    </row>
    <row r="665" spans="1:14" hidden="1">
      <c r="A665" t="s">
        <v>1676</v>
      </c>
      <c r="B665" t="s">
        <v>368</v>
      </c>
      <c r="C665" t="s">
        <v>60</v>
      </c>
      <c r="D665" s="6">
        <v>0</v>
      </c>
      <c r="E665" t="s">
        <v>368</v>
      </c>
      <c r="F665" t="s">
        <v>56</v>
      </c>
      <c r="G665" t="s">
        <v>412</v>
      </c>
      <c r="H665" t="s">
        <v>1677</v>
      </c>
      <c r="I665" s="4">
        <v>-153648</v>
      </c>
      <c r="L665" s="4">
        <v>-153648</v>
      </c>
      <c r="M665" s="4">
        <v>-16462.29</v>
      </c>
      <c r="N665" s="4">
        <v>-137185.71</v>
      </c>
    </row>
    <row r="666" spans="1:14" hidden="1">
      <c r="A666" t="s">
        <v>1678</v>
      </c>
      <c r="B666" t="s">
        <v>596</v>
      </c>
      <c r="C666" t="s">
        <v>162</v>
      </c>
      <c r="D666" s="6">
        <v>90</v>
      </c>
      <c r="E666" t="s">
        <v>597</v>
      </c>
      <c r="F666" t="s">
        <v>19</v>
      </c>
      <c r="G666" t="s">
        <v>543</v>
      </c>
      <c r="H666" t="s">
        <v>1679</v>
      </c>
      <c r="I666" s="4">
        <v>-93820</v>
      </c>
      <c r="L666" s="4">
        <v>-93820</v>
      </c>
      <c r="M666" s="4">
        <v>-10052.14</v>
      </c>
      <c r="N666" s="4">
        <v>-83767.86</v>
      </c>
    </row>
    <row r="667" spans="1:14" hidden="1">
      <c r="A667" t="s">
        <v>1680</v>
      </c>
      <c r="B667" t="s">
        <v>596</v>
      </c>
      <c r="C667" t="s">
        <v>29</v>
      </c>
      <c r="D667" s="6">
        <v>0</v>
      </c>
      <c r="E667" t="s">
        <v>596</v>
      </c>
      <c r="F667" t="s">
        <v>30</v>
      </c>
      <c r="G667" t="s">
        <v>40</v>
      </c>
      <c r="H667" t="s">
        <v>1681</v>
      </c>
      <c r="I667" s="4">
        <v>-1008800</v>
      </c>
      <c r="L667" s="4">
        <v>-1008800</v>
      </c>
      <c r="M667" s="4">
        <v>-108085.71</v>
      </c>
      <c r="N667" s="4">
        <v>-900714.29</v>
      </c>
    </row>
    <row r="668" spans="1:14" hidden="1">
      <c r="A668" t="s">
        <v>1682</v>
      </c>
      <c r="B668" t="s">
        <v>596</v>
      </c>
      <c r="C668" t="s">
        <v>29</v>
      </c>
      <c r="D668" s="6">
        <v>0</v>
      </c>
      <c r="E668" t="s">
        <v>596</v>
      </c>
      <c r="F668" t="s">
        <v>30</v>
      </c>
      <c r="G668" t="s">
        <v>40</v>
      </c>
      <c r="H668" t="s">
        <v>1683</v>
      </c>
      <c r="I668" s="4">
        <v>-70000</v>
      </c>
      <c r="L668" s="4">
        <v>-70000</v>
      </c>
      <c r="M668" s="4">
        <v>-7500</v>
      </c>
      <c r="N668" s="4">
        <v>-62500</v>
      </c>
    </row>
    <row r="669" spans="1:14" hidden="1">
      <c r="A669" t="s">
        <v>1684</v>
      </c>
      <c r="B669" t="s">
        <v>637</v>
      </c>
      <c r="C669" t="s">
        <v>162</v>
      </c>
      <c r="D669" s="6">
        <v>90</v>
      </c>
      <c r="E669" t="s">
        <v>655</v>
      </c>
      <c r="F669" t="s">
        <v>19</v>
      </c>
      <c r="G669" t="s">
        <v>672</v>
      </c>
      <c r="H669" t="s">
        <v>1685</v>
      </c>
      <c r="I669" s="4">
        <v>-11760</v>
      </c>
      <c r="L669" s="4">
        <v>-11760</v>
      </c>
      <c r="M669" s="4">
        <v>-1260</v>
      </c>
      <c r="N669" s="4">
        <v>-10500</v>
      </c>
    </row>
    <row r="670" spans="1:14" hidden="1">
      <c r="A670" t="s">
        <v>1686</v>
      </c>
      <c r="B670" t="s">
        <v>637</v>
      </c>
      <c r="C670" t="s">
        <v>146</v>
      </c>
      <c r="D670" s="6">
        <v>90</v>
      </c>
      <c r="E670" t="s">
        <v>655</v>
      </c>
      <c r="F670" t="s">
        <v>69</v>
      </c>
      <c r="G670" t="s">
        <v>1687</v>
      </c>
      <c r="H670" t="s">
        <v>1688</v>
      </c>
      <c r="I670" s="4">
        <v>-44226</v>
      </c>
      <c r="L670" s="4">
        <v>-44226</v>
      </c>
      <c r="M670" s="4">
        <v>-4738.5</v>
      </c>
      <c r="N670" s="4">
        <v>-39487.5</v>
      </c>
    </row>
    <row r="671" spans="1:14" hidden="1">
      <c r="A671" t="s">
        <v>1689</v>
      </c>
      <c r="B671" t="s">
        <v>1651</v>
      </c>
      <c r="C671" t="s">
        <v>237</v>
      </c>
      <c r="D671" s="6">
        <v>60</v>
      </c>
      <c r="E671" t="s">
        <v>1690</v>
      </c>
      <c r="F671" t="s">
        <v>69</v>
      </c>
      <c r="G671" t="s">
        <v>303</v>
      </c>
      <c r="H671" t="s">
        <v>1691</v>
      </c>
      <c r="I671" s="4">
        <v>-45284.47</v>
      </c>
      <c r="L671" s="4">
        <v>-45284.47</v>
      </c>
      <c r="M671" s="4">
        <v>-4851.91</v>
      </c>
      <c r="N671" s="4">
        <v>-40432.559999999998</v>
      </c>
    </row>
    <row r="672" spans="1:14" hidden="1">
      <c r="A672" t="s">
        <v>1692</v>
      </c>
      <c r="B672" t="s">
        <v>1651</v>
      </c>
      <c r="C672" t="s">
        <v>237</v>
      </c>
      <c r="D672" s="6">
        <v>60</v>
      </c>
      <c r="E672" t="s">
        <v>1690</v>
      </c>
      <c r="F672" t="s">
        <v>69</v>
      </c>
      <c r="G672" t="s">
        <v>303</v>
      </c>
      <c r="H672" t="s">
        <v>1693</v>
      </c>
      <c r="I672" s="4">
        <v>-28851.599999999999</v>
      </c>
      <c r="L672" s="4">
        <v>-28851.599999999999</v>
      </c>
      <c r="M672" s="4">
        <v>-3091.24</v>
      </c>
      <c r="N672" s="4">
        <v>-25760.36</v>
      </c>
    </row>
    <row r="673" spans="1:14" hidden="1">
      <c r="A673" t="s">
        <v>1694</v>
      </c>
      <c r="B673" t="s">
        <v>689</v>
      </c>
      <c r="C673" t="s">
        <v>151</v>
      </c>
      <c r="D673" s="6">
        <v>60</v>
      </c>
      <c r="E673" t="s">
        <v>692</v>
      </c>
      <c r="F673" t="s">
        <v>727</v>
      </c>
      <c r="G673" t="s">
        <v>728</v>
      </c>
      <c r="H673" t="s">
        <v>1695</v>
      </c>
      <c r="I673" s="4">
        <v>-313000</v>
      </c>
      <c r="L673" s="4">
        <v>-313000</v>
      </c>
      <c r="M673" s="4">
        <v>-33535.71</v>
      </c>
      <c r="N673" s="4">
        <v>-279464.28999999998</v>
      </c>
    </row>
    <row r="674" spans="1:14" hidden="1">
      <c r="A674" t="s">
        <v>1696</v>
      </c>
      <c r="B674" t="s">
        <v>769</v>
      </c>
      <c r="C674" t="s">
        <v>68</v>
      </c>
      <c r="D674" s="6">
        <v>60</v>
      </c>
      <c r="E674" t="s">
        <v>770</v>
      </c>
      <c r="F674" t="s">
        <v>69</v>
      </c>
      <c r="G674" t="s">
        <v>574</v>
      </c>
      <c r="H674" t="s">
        <v>1697</v>
      </c>
      <c r="I674" s="4">
        <v>-70510</v>
      </c>
      <c r="L674" s="4">
        <v>-70510</v>
      </c>
      <c r="M674" s="4">
        <v>-7554.64</v>
      </c>
      <c r="N674" s="4">
        <v>-62955.360000000001</v>
      </c>
    </row>
    <row r="675" spans="1:14" hidden="1">
      <c r="A675" t="s">
        <v>1698</v>
      </c>
      <c r="B675" t="s">
        <v>769</v>
      </c>
      <c r="C675" t="s">
        <v>151</v>
      </c>
      <c r="D675" s="6">
        <v>60</v>
      </c>
      <c r="E675" t="s">
        <v>770</v>
      </c>
      <c r="F675" t="s">
        <v>69</v>
      </c>
      <c r="G675" t="s">
        <v>574</v>
      </c>
      <c r="H675" t="s">
        <v>1699</v>
      </c>
      <c r="I675" s="4">
        <v>-70510</v>
      </c>
      <c r="L675" s="4">
        <v>-70510</v>
      </c>
      <c r="M675" s="4">
        <v>-7554.64</v>
      </c>
      <c r="N675" s="4">
        <v>-62955.360000000001</v>
      </c>
    </row>
    <row r="676" spans="1:14" hidden="1">
      <c r="A676" t="s">
        <v>1700</v>
      </c>
      <c r="B676" t="s">
        <v>866</v>
      </c>
      <c r="C676" t="s">
        <v>369</v>
      </c>
      <c r="D676" s="6">
        <v>30</v>
      </c>
      <c r="E676" t="s">
        <v>880</v>
      </c>
      <c r="F676" t="s">
        <v>139</v>
      </c>
      <c r="G676" t="s">
        <v>371</v>
      </c>
      <c r="H676" t="s">
        <v>1701</v>
      </c>
      <c r="I676" s="4">
        <v>-128240</v>
      </c>
      <c r="L676" s="4">
        <v>-128240</v>
      </c>
      <c r="M676" s="4">
        <v>-13740</v>
      </c>
      <c r="N676" s="4">
        <v>-114500</v>
      </c>
    </row>
    <row r="677" spans="1:14" hidden="1">
      <c r="A677" t="s">
        <v>1702</v>
      </c>
      <c r="B677" t="s">
        <v>866</v>
      </c>
      <c r="C677" t="s">
        <v>237</v>
      </c>
      <c r="D677" s="6">
        <v>60</v>
      </c>
      <c r="E677" t="s">
        <v>873</v>
      </c>
      <c r="F677" t="s">
        <v>759</v>
      </c>
      <c r="G677" t="s">
        <v>1703</v>
      </c>
      <c r="H677" t="s">
        <v>1704</v>
      </c>
      <c r="I677" s="4">
        <v>-10914.5</v>
      </c>
      <c r="L677" s="4">
        <v>-10914.5</v>
      </c>
      <c r="M677" s="4">
        <v>-1169.4100000000001</v>
      </c>
      <c r="N677" s="4">
        <v>-9745.09</v>
      </c>
    </row>
    <row r="678" spans="1:14" hidden="1">
      <c r="A678" t="s">
        <v>1705</v>
      </c>
      <c r="B678" t="s">
        <v>915</v>
      </c>
      <c r="C678" t="s">
        <v>73</v>
      </c>
      <c r="D678" s="6">
        <v>30</v>
      </c>
      <c r="E678" t="s">
        <v>916</v>
      </c>
      <c r="F678" t="s">
        <v>56</v>
      </c>
      <c r="G678" t="s">
        <v>812</v>
      </c>
      <c r="H678" t="s">
        <v>1706</v>
      </c>
      <c r="I678" s="4">
        <v>-127702</v>
      </c>
      <c r="L678" s="4">
        <v>-127702</v>
      </c>
      <c r="M678" s="4">
        <v>-13682.36</v>
      </c>
      <c r="N678" s="4">
        <v>-114019.64</v>
      </c>
    </row>
    <row r="679" spans="1:14" hidden="1">
      <c r="A679" t="s">
        <v>1707</v>
      </c>
      <c r="B679" t="s">
        <v>1048</v>
      </c>
      <c r="C679" t="s">
        <v>1074</v>
      </c>
      <c r="D679" s="6">
        <v>0</v>
      </c>
      <c r="E679" t="s">
        <v>1048</v>
      </c>
      <c r="F679" t="s">
        <v>56</v>
      </c>
      <c r="G679" t="s">
        <v>1075</v>
      </c>
      <c r="H679" t="s">
        <v>1708</v>
      </c>
      <c r="I679" s="4">
        <v>-901423.6</v>
      </c>
      <c r="L679" s="4">
        <v>-901423.6</v>
      </c>
      <c r="M679" s="4">
        <v>-96581.1</v>
      </c>
      <c r="N679" s="4">
        <v>-804842.5</v>
      </c>
    </row>
    <row r="680" spans="1:14" hidden="1">
      <c r="A680" t="s">
        <v>1709</v>
      </c>
      <c r="B680" t="s">
        <v>1048</v>
      </c>
      <c r="C680" t="s">
        <v>333</v>
      </c>
      <c r="D680" s="6">
        <v>30</v>
      </c>
      <c r="E680" t="s">
        <v>1056</v>
      </c>
      <c r="F680" t="s">
        <v>270</v>
      </c>
      <c r="G680" t="s">
        <v>340</v>
      </c>
      <c r="H680" t="s">
        <v>1710</v>
      </c>
      <c r="I680" s="4">
        <v>-196112</v>
      </c>
      <c r="L680" s="4">
        <v>-196112</v>
      </c>
      <c r="M680" s="4">
        <v>-21012</v>
      </c>
      <c r="N680" s="4">
        <v>-175100</v>
      </c>
    </row>
    <row r="681" spans="1:14" hidden="1">
      <c r="A681" t="s">
        <v>1711</v>
      </c>
      <c r="B681" t="s">
        <v>1048</v>
      </c>
      <c r="C681" t="s">
        <v>333</v>
      </c>
      <c r="D681" s="6">
        <v>30</v>
      </c>
      <c r="E681" t="s">
        <v>1056</v>
      </c>
      <c r="F681" t="s">
        <v>270</v>
      </c>
      <c r="G681" t="s">
        <v>340</v>
      </c>
      <c r="H681" t="s">
        <v>1712</v>
      </c>
      <c r="I681" s="4">
        <v>-309050</v>
      </c>
      <c r="L681" s="4">
        <v>-309050</v>
      </c>
      <c r="M681" s="4">
        <v>-33112.5</v>
      </c>
      <c r="N681" s="4">
        <v>-275937.5</v>
      </c>
    </row>
    <row r="682" spans="1:14" hidden="1">
      <c r="A682" t="s">
        <v>1713</v>
      </c>
      <c r="B682" t="s">
        <v>1048</v>
      </c>
      <c r="C682" t="s">
        <v>237</v>
      </c>
      <c r="D682" s="6">
        <v>60</v>
      </c>
      <c r="E682" t="s">
        <v>1067</v>
      </c>
      <c r="F682" t="s">
        <v>270</v>
      </c>
      <c r="G682" t="s">
        <v>337</v>
      </c>
      <c r="H682" t="s">
        <v>1714</v>
      </c>
      <c r="I682" s="4">
        <v>-143215</v>
      </c>
      <c r="L682" s="4">
        <v>-143215</v>
      </c>
      <c r="M682" s="4">
        <v>-15344.46</v>
      </c>
      <c r="N682" s="4">
        <v>-127870.54</v>
      </c>
    </row>
    <row r="683" spans="1:14" hidden="1">
      <c r="A683" t="s">
        <v>1715</v>
      </c>
      <c r="B683" t="s">
        <v>1287</v>
      </c>
      <c r="C683" t="s">
        <v>151</v>
      </c>
      <c r="D683" s="6">
        <v>60</v>
      </c>
      <c r="E683" t="s">
        <v>1331</v>
      </c>
      <c r="F683" t="s">
        <v>139</v>
      </c>
      <c r="G683" t="s">
        <v>264</v>
      </c>
      <c r="H683" t="s">
        <v>1716</v>
      </c>
      <c r="I683" s="4">
        <v>-736</v>
      </c>
      <c r="L683" s="4">
        <v>-736</v>
      </c>
      <c r="M683" s="4">
        <v>-78.86</v>
      </c>
      <c r="N683" s="4">
        <v>-657.14</v>
      </c>
    </row>
    <row r="684" spans="1:14" hidden="1">
      <c r="A684" t="s">
        <v>1717</v>
      </c>
      <c r="B684" t="s">
        <v>1372</v>
      </c>
      <c r="C684" t="s">
        <v>333</v>
      </c>
      <c r="D684" s="6">
        <v>30</v>
      </c>
      <c r="E684" t="s">
        <v>1389</v>
      </c>
      <c r="F684" t="s">
        <v>270</v>
      </c>
      <c r="G684" t="s">
        <v>1262</v>
      </c>
      <c r="H684" t="s">
        <v>1718</v>
      </c>
      <c r="I684" s="4">
        <v>-261896</v>
      </c>
      <c r="L684" s="4">
        <v>-261896</v>
      </c>
      <c r="M684" s="4">
        <v>-28060.29</v>
      </c>
      <c r="N684" s="4">
        <v>-233835.71</v>
      </c>
    </row>
    <row r="685" spans="1:14" hidden="1">
      <c r="A685" t="s">
        <v>1719</v>
      </c>
      <c r="B685" t="s">
        <v>1372</v>
      </c>
      <c r="C685" t="s">
        <v>333</v>
      </c>
      <c r="D685" s="6">
        <v>30</v>
      </c>
      <c r="E685" t="s">
        <v>1389</v>
      </c>
      <c r="F685" t="s">
        <v>270</v>
      </c>
      <c r="G685" t="s">
        <v>1262</v>
      </c>
      <c r="H685" t="s">
        <v>1720</v>
      </c>
      <c r="I685" s="4">
        <v>-212525</v>
      </c>
      <c r="L685" s="4">
        <v>-212525</v>
      </c>
      <c r="M685" s="4">
        <v>-22770.54</v>
      </c>
      <c r="N685" s="4">
        <v>-189754.46</v>
      </c>
    </row>
    <row r="686" spans="1:14" hidden="1">
      <c r="A686" t="s">
        <v>1721</v>
      </c>
      <c r="B686" t="s">
        <v>1372</v>
      </c>
      <c r="C686" t="s">
        <v>34</v>
      </c>
      <c r="D686" s="6">
        <v>60</v>
      </c>
      <c r="E686" t="s">
        <v>1373</v>
      </c>
      <c r="F686" t="s">
        <v>46</v>
      </c>
      <c r="G686" t="s">
        <v>1226</v>
      </c>
      <c r="H686" t="s">
        <v>1722</v>
      </c>
      <c r="I686" s="4">
        <v>-9261</v>
      </c>
      <c r="L686" s="4">
        <v>-9261</v>
      </c>
      <c r="M686" s="4">
        <v>-992.25</v>
      </c>
      <c r="N686" s="4">
        <v>-8268.75</v>
      </c>
    </row>
    <row r="687" spans="1:14" hidden="1">
      <c r="A687" t="s">
        <v>1723</v>
      </c>
      <c r="B687" t="s">
        <v>1467</v>
      </c>
      <c r="C687" t="s">
        <v>333</v>
      </c>
      <c r="D687" s="6">
        <v>30</v>
      </c>
      <c r="E687" t="s">
        <v>1492</v>
      </c>
      <c r="F687" t="s">
        <v>270</v>
      </c>
      <c r="G687" t="s">
        <v>1262</v>
      </c>
      <c r="H687" t="s">
        <v>1724</v>
      </c>
      <c r="I687" s="4">
        <v>-261896</v>
      </c>
      <c r="L687" s="4">
        <v>-261896</v>
      </c>
      <c r="M687" s="4">
        <v>-28060.29</v>
      </c>
      <c r="N687" s="4">
        <v>-233835.71</v>
      </c>
    </row>
    <row r="688" spans="1:14" hidden="1">
      <c r="A688" t="s">
        <v>1725</v>
      </c>
      <c r="B688" t="s">
        <v>1467</v>
      </c>
      <c r="C688" t="s">
        <v>333</v>
      </c>
      <c r="D688" s="6">
        <v>30</v>
      </c>
      <c r="E688" t="s">
        <v>1492</v>
      </c>
      <c r="F688" t="s">
        <v>270</v>
      </c>
      <c r="G688" t="s">
        <v>1262</v>
      </c>
      <c r="H688" t="s">
        <v>1726</v>
      </c>
      <c r="I688" s="4">
        <v>-212525</v>
      </c>
      <c r="L688" s="4">
        <v>-212525</v>
      </c>
      <c r="M688" s="4">
        <v>-22770.54</v>
      </c>
      <c r="N688" s="4">
        <v>-189754.46</v>
      </c>
    </row>
    <row r="689" spans="1:14" hidden="1">
      <c r="A689" t="s">
        <v>1727</v>
      </c>
      <c r="B689" t="s">
        <v>1553</v>
      </c>
      <c r="C689" t="s">
        <v>64</v>
      </c>
      <c r="D689" s="6">
        <v>30</v>
      </c>
      <c r="E689" t="s">
        <v>1569</v>
      </c>
      <c r="F689" t="s">
        <v>25</v>
      </c>
      <c r="G689" t="s">
        <v>26</v>
      </c>
      <c r="H689" t="s">
        <v>1728</v>
      </c>
      <c r="I689" s="4">
        <v>-299574</v>
      </c>
      <c r="L689" s="4">
        <v>-299574</v>
      </c>
      <c r="M689" s="4">
        <v>-32097.21</v>
      </c>
      <c r="N689" s="4">
        <v>-267476.78999999998</v>
      </c>
    </row>
    <row r="690" spans="1:14" hidden="1">
      <c r="A690" t="s">
        <v>1729</v>
      </c>
      <c r="B690" t="s">
        <v>1553</v>
      </c>
      <c r="C690" t="s">
        <v>18</v>
      </c>
      <c r="D690" s="6">
        <v>0</v>
      </c>
      <c r="E690" t="s">
        <v>1553</v>
      </c>
      <c r="F690" t="s">
        <v>56</v>
      </c>
      <c r="G690" t="s">
        <v>61</v>
      </c>
      <c r="H690" t="s">
        <v>1730</v>
      </c>
      <c r="I690" s="4">
        <v>-251365.1</v>
      </c>
      <c r="L690" s="4">
        <v>-251365.1</v>
      </c>
      <c r="M690" s="4">
        <v>-26931.98</v>
      </c>
      <c r="N690" s="4">
        <v>-224433.12</v>
      </c>
    </row>
    <row r="691" spans="1:14" hidden="1">
      <c r="A691" t="s">
        <v>1731</v>
      </c>
      <c r="B691" t="s">
        <v>1553</v>
      </c>
      <c r="C691" t="s">
        <v>681</v>
      </c>
      <c r="D691" s="6">
        <v>0</v>
      </c>
      <c r="E691" t="s">
        <v>1553</v>
      </c>
      <c r="F691" t="s">
        <v>46</v>
      </c>
      <c r="G691" t="s">
        <v>682</v>
      </c>
      <c r="H691" t="s">
        <v>1732</v>
      </c>
      <c r="I691" s="4">
        <v>-27968</v>
      </c>
      <c r="L691" s="4">
        <v>-27968</v>
      </c>
      <c r="M691" s="4">
        <v>-2996.57</v>
      </c>
      <c r="N691" s="4">
        <v>-24971.43</v>
      </c>
    </row>
    <row r="692" spans="1:14" hidden="1">
      <c r="A692" t="s">
        <v>1733</v>
      </c>
      <c r="B692" t="s">
        <v>1553</v>
      </c>
      <c r="C692" t="s">
        <v>23</v>
      </c>
      <c r="D692" s="6">
        <v>30</v>
      </c>
      <c r="E692" t="s">
        <v>1569</v>
      </c>
      <c r="F692" t="s">
        <v>139</v>
      </c>
      <c r="G692" t="s">
        <v>1734</v>
      </c>
      <c r="H692" t="s">
        <v>1735</v>
      </c>
      <c r="I692" s="4">
        <v>-68600</v>
      </c>
      <c r="L692" s="4">
        <v>-68600</v>
      </c>
      <c r="M692" s="4">
        <v>-7350</v>
      </c>
      <c r="N692" s="4">
        <v>-61250</v>
      </c>
    </row>
    <row r="693" spans="1:14" hidden="1">
      <c r="A693" t="s">
        <v>1736</v>
      </c>
      <c r="B693" t="s">
        <v>1553</v>
      </c>
      <c r="C693" t="s">
        <v>237</v>
      </c>
      <c r="D693" s="6">
        <v>60</v>
      </c>
      <c r="E693" t="s">
        <v>1557</v>
      </c>
      <c r="F693" t="s">
        <v>69</v>
      </c>
      <c r="G693" t="s">
        <v>303</v>
      </c>
      <c r="H693" t="s">
        <v>1737</v>
      </c>
      <c r="I693" s="4">
        <v>-10453.35</v>
      </c>
      <c r="L693" s="4">
        <v>-10453.35</v>
      </c>
      <c r="M693" s="4">
        <v>-1120</v>
      </c>
      <c r="N693" s="4">
        <v>-9333.35</v>
      </c>
    </row>
    <row r="694" spans="1:14" hidden="1">
      <c r="A694" t="s">
        <v>1738</v>
      </c>
      <c r="B694" t="s">
        <v>505</v>
      </c>
      <c r="C694" t="s">
        <v>60</v>
      </c>
      <c r="D694" s="6">
        <v>0</v>
      </c>
      <c r="E694" t="s">
        <v>505</v>
      </c>
      <c r="F694" t="s">
        <v>56</v>
      </c>
      <c r="G694" t="s">
        <v>196</v>
      </c>
      <c r="H694" t="s">
        <v>1739</v>
      </c>
      <c r="I694" s="5">
        <v>1250</v>
      </c>
      <c r="L694" s="5">
        <v>1250</v>
      </c>
      <c r="N694" s="5">
        <v>1250</v>
      </c>
    </row>
    <row r="695" spans="1:14" hidden="1">
      <c r="A695" t="s">
        <v>1740</v>
      </c>
      <c r="B695" t="s">
        <v>505</v>
      </c>
      <c r="C695" t="s">
        <v>60</v>
      </c>
      <c r="D695" s="6">
        <v>0</v>
      </c>
      <c r="E695" t="s">
        <v>505</v>
      </c>
      <c r="F695" t="s">
        <v>56</v>
      </c>
      <c r="G695" t="s">
        <v>190</v>
      </c>
      <c r="H695" t="s">
        <v>1741</v>
      </c>
      <c r="I695" s="7">
        <v>500</v>
      </c>
      <c r="L695" s="7">
        <v>500</v>
      </c>
      <c r="N695" s="7">
        <v>500</v>
      </c>
    </row>
    <row r="696" spans="1:14" hidden="1">
      <c r="A696" t="s">
        <v>1742</v>
      </c>
      <c r="B696" t="s">
        <v>505</v>
      </c>
      <c r="C696" t="s">
        <v>60</v>
      </c>
      <c r="D696" s="6">
        <v>0</v>
      </c>
      <c r="E696" t="s">
        <v>505</v>
      </c>
      <c r="F696" t="s">
        <v>56</v>
      </c>
      <c r="G696" t="s">
        <v>190</v>
      </c>
      <c r="H696" t="s">
        <v>1743</v>
      </c>
      <c r="I696" s="5">
        <v>2250</v>
      </c>
      <c r="L696" s="5">
        <v>2250</v>
      </c>
      <c r="N696" s="5">
        <v>2250</v>
      </c>
    </row>
    <row r="697" spans="1:14" hidden="1">
      <c r="A697" t="s">
        <v>1744</v>
      </c>
      <c r="B697" t="s">
        <v>637</v>
      </c>
      <c r="C697" t="s">
        <v>60</v>
      </c>
      <c r="D697" s="6">
        <v>0</v>
      </c>
      <c r="E697" t="s">
        <v>637</v>
      </c>
      <c r="F697" t="s">
        <v>56</v>
      </c>
      <c r="G697" t="s">
        <v>412</v>
      </c>
      <c r="H697" t="s">
        <v>1745</v>
      </c>
      <c r="I697" s="5">
        <v>2800</v>
      </c>
      <c r="L697" s="5">
        <v>2800</v>
      </c>
      <c r="N697" s="5">
        <v>2800</v>
      </c>
    </row>
    <row r="698" spans="1:14" hidden="1">
      <c r="A698" t="s">
        <v>1746</v>
      </c>
      <c r="B698" t="s">
        <v>1651</v>
      </c>
      <c r="C698" t="s">
        <v>18</v>
      </c>
      <c r="D698" s="6">
        <v>0</v>
      </c>
      <c r="E698" t="s">
        <v>1651</v>
      </c>
      <c r="F698" t="s">
        <v>56</v>
      </c>
      <c r="G698" t="s">
        <v>1127</v>
      </c>
      <c r="H698" t="s">
        <v>1747</v>
      </c>
      <c r="I698" s="5">
        <v>1500</v>
      </c>
      <c r="L698" s="5">
        <v>1500</v>
      </c>
      <c r="N698" s="5">
        <v>1500</v>
      </c>
    </row>
    <row r="699" spans="1:14" hidden="1">
      <c r="A699" t="s">
        <v>1748</v>
      </c>
      <c r="B699" t="s">
        <v>689</v>
      </c>
      <c r="E699" t="s">
        <v>689</v>
      </c>
      <c r="G699" t="s">
        <v>809</v>
      </c>
      <c r="H699" t="s">
        <v>1749</v>
      </c>
      <c r="I699" s="5">
        <v>6000</v>
      </c>
      <c r="L699" s="5">
        <v>6000</v>
      </c>
      <c r="N699" s="5">
        <v>6000</v>
      </c>
    </row>
    <row r="700" spans="1:14" hidden="1">
      <c r="A700" t="s">
        <v>1750</v>
      </c>
      <c r="B700" t="s">
        <v>866</v>
      </c>
      <c r="E700" t="s">
        <v>866</v>
      </c>
      <c r="G700" t="s">
        <v>581</v>
      </c>
      <c r="H700" t="s">
        <v>1751</v>
      </c>
      <c r="I700" s="7">
        <v>924</v>
      </c>
      <c r="L700" s="7">
        <v>924</v>
      </c>
      <c r="N700" s="7">
        <v>924</v>
      </c>
    </row>
    <row r="701" spans="1:14" hidden="1">
      <c r="A701" t="s">
        <v>1752</v>
      </c>
      <c r="B701" t="s">
        <v>971</v>
      </c>
      <c r="C701" t="s">
        <v>18</v>
      </c>
      <c r="D701" s="6">
        <v>0</v>
      </c>
      <c r="E701" t="s">
        <v>971</v>
      </c>
      <c r="F701" t="s">
        <v>270</v>
      </c>
      <c r="G701" t="s">
        <v>979</v>
      </c>
      <c r="H701" t="s">
        <v>1753</v>
      </c>
      <c r="I701" s="5">
        <v>30000</v>
      </c>
      <c r="L701" s="5">
        <v>30000</v>
      </c>
      <c r="N701" s="5">
        <v>30000</v>
      </c>
    </row>
    <row r="702" spans="1:14" hidden="1">
      <c r="A702" t="s">
        <v>1754</v>
      </c>
      <c r="B702" t="s">
        <v>971</v>
      </c>
      <c r="C702" t="s">
        <v>60</v>
      </c>
      <c r="D702" s="6">
        <v>0</v>
      </c>
      <c r="E702" t="s">
        <v>971</v>
      </c>
      <c r="F702" t="s">
        <v>56</v>
      </c>
      <c r="G702" t="s">
        <v>190</v>
      </c>
      <c r="H702" t="s">
        <v>1755</v>
      </c>
      <c r="I702" s="5">
        <v>4000</v>
      </c>
      <c r="L702" s="5">
        <v>4000</v>
      </c>
      <c r="N702" s="5">
        <v>4000</v>
      </c>
    </row>
    <row r="703" spans="1:14" hidden="1">
      <c r="A703" t="s">
        <v>1756</v>
      </c>
      <c r="B703" t="s">
        <v>1048</v>
      </c>
      <c r="C703" t="s">
        <v>167</v>
      </c>
      <c r="D703" s="6">
        <v>90</v>
      </c>
      <c r="E703" t="s">
        <v>1064</v>
      </c>
      <c r="F703" t="s">
        <v>56</v>
      </c>
      <c r="G703" t="s">
        <v>190</v>
      </c>
      <c r="H703" t="s">
        <v>1757</v>
      </c>
      <c r="I703" s="5">
        <v>3000</v>
      </c>
      <c r="L703" s="5">
        <v>3000</v>
      </c>
      <c r="N703" s="5">
        <v>3000</v>
      </c>
    </row>
    <row r="704" spans="1:14" hidden="1">
      <c r="A704" t="s">
        <v>1758</v>
      </c>
      <c r="B704" t="s">
        <v>1048</v>
      </c>
      <c r="E704" t="s">
        <v>1048</v>
      </c>
      <c r="G704" t="s">
        <v>190</v>
      </c>
      <c r="H704" t="s">
        <v>1759</v>
      </c>
      <c r="I704" s="5">
        <v>18000</v>
      </c>
      <c r="L704" s="5">
        <v>18000</v>
      </c>
      <c r="N704" s="5">
        <v>18000</v>
      </c>
    </row>
    <row r="705" spans="1:14" hidden="1">
      <c r="A705" t="s">
        <v>1760</v>
      </c>
      <c r="B705" t="s">
        <v>1287</v>
      </c>
      <c r="C705" t="s">
        <v>18</v>
      </c>
      <c r="D705" s="6">
        <v>0</v>
      </c>
      <c r="E705" t="s">
        <v>1287</v>
      </c>
      <c r="F705" t="s">
        <v>46</v>
      </c>
      <c r="G705" t="s">
        <v>1288</v>
      </c>
      <c r="H705" t="s">
        <v>1761</v>
      </c>
      <c r="I705" s="5">
        <v>8000</v>
      </c>
      <c r="L705" s="5">
        <v>8000</v>
      </c>
      <c r="N705" s="5">
        <v>8000</v>
      </c>
    </row>
    <row r="706" spans="1:14" hidden="1">
      <c r="A706" t="s">
        <v>1762</v>
      </c>
      <c r="B706" t="s">
        <v>1553</v>
      </c>
      <c r="C706" t="s">
        <v>60</v>
      </c>
      <c r="D706" s="6">
        <v>0</v>
      </c>
      <c r="E706" t="s">
        <v>1553</v>
      </c>
      <c r="F706" t="s">
        <v>56</v>
      </c>
      <c r="G706" t="s">
        <v>605</v>
      </c>
      <c r="H706" t="s">
        <v>1763</v>
      </c>
      <c r="I706" s="5">
        <v>6000</v>
      </c>
      <c r="L706" s="5">
        <v>6000</v>
      </c>
      <c r="N706" s="5">
        <v>6000</v>
      </c>
    </row>
    <row r="707" spans="1:14" hidden="1">
      <c r="A707" t="s">
        <v>1764</v>
      </c>
      <c r="B707" t="s">
        <v>1553</v>
      </c>
      <c r="C707" t="s">
        <v>60</v>
      </c>
      <c r="D707" s="6">
        <v>0</v>
      </c>
      <c r="E707" t="s">
        <v>1553</v>
      </c>
      <c r="F707" t="s">
        <v>56</v>
      </c>
      <c r="G707" t="s">
        <v>196</v>
      </c>
      <c r="H707" t="s">
        <v>1765</v>
      </c>
      <c r="I707" s="5">
        <v>1000</v>
      </c>
      <c r="L707" s="5">
        <v>1000</v>
      </c>
      <c r="N707" s="5">
        <v>1000</v>
      </c>
    </row>
    <row r="708" spans="1:14" hidden="1">
      <c r="H708" s="1" t="s">
        <v>1766</v>
      </c>
      <c r="I708" s="1">
        <v>147567400.16999999</v>
      </c>
      <c r="J708" s="1">
        <v>-361440.31</v>
      </c>
      <c r="K708" s="1">
        <v>193550</v>
      </c>
      <c r="L708" s="1">
        <v>147399509.86000001</v>
      </c>
      <c r="M708" s="1">
        <v>15598446.59</v>
      </c>
      <c r="N708" s="1">
        <v>131801063.27</v>
      </c>
    </row>
    <row r="709" spans="1:14">
      <c r="L709" s="74">
        <f>SUBTOTAL(9,L91:L708)</f>
        <v>-2001117</v>
      </c>
      <c r="M709" s="74">
        <f>SUBTOTAL(9,M91:M708)</f>
        <v>-214405.39000000004</v>
      </c>
      <c r="N709" s="74">
        <f>SUBTOTAL(9,N91:N708)</f>
        <v>-1786711.61</v>
      </c>
    </row>
  </sheetData>
  <autoFilter ref="A4:N708">
    <filterColumn colId="6">
      <filters>
        <filter val="COMPOSTELASTEEL, INC."/>
      </filters>
    </filterColumn>
  </autoFilter>
  <mergeCells count="2">
    <mergeCell ref="A1:N1"/>
    <mergeCell ref="A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05"/>
  <sheetViews>
    <sheetView workbookViewId="0">
      <pane xSplit="8" ySplit="3" topLeftCell="I551" activePane="bottomRight" state="frozen"/>
      <selection pane="topRight" activeCell="I1" sqref="I1"/>
      <selection pane="bottomLeft" activeCell="A4" sqref="A4"/>
      <selection pane="bottomRight" activeCell="K569" sqref="K569"/>
    </sheetView>
  </sheetViews>
  <sheetFormatPr defaultRowHeight="15"/>
  <cols>
    <col min="1" max="1" width="19.42578125" customWidth="1"/>
    <col min="2" max="2" width="13" hidden="1" customWidth="1"/>
    <col min="3" max="3" width="29.85546875" hidden="1" customWidth="1"/>
    <col min="4" max="4" width="6" hidden="1" customWidth="1"/>
    <col min="5" max="5" width="13" hidden="1" customWidth="1"/>
    <col min="6" max="6" width="40.28515625" hidden="1" customWidth="1"/>
    <col min="7" max="7" width="52" customWidth="1"/>
    <col min="8" max="8" width="18.28515625" hidden="1" customWidth="1"/>
    <col min="9" max="9" width="18.28515625" customWidth="1"/>
    <col min="10" max="10" width="15.5703125" customWidth="1"/>
    <col min="11" max="11" width="13" customWidth="1"/>
    <col min="12" max="12" width="18.28515625" customWidth="1"/>
    <col min="13" max="13" width="16.85546875" customWidth="1"/>
    <col min="14" max="14" width="18.28515625" customWidth="1"/>
  </cols>
  <sheetData>
    <row r="1" spans="1:16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6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6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6">
      <c r="A4" t="s">
        <v>16</v>
      </c>
      <c r="B4" t="s">
        <v>17</v>
      </c>
      <c r="C4" t="s">
        <v>18</v>
      </c>
      <c r="D4" s="6">
        <v>0</v>
      </c>
      <c r="E4" t="s">
        <v>17</v>
      </c>
      <c r="F4" t="s">
        <v>19</v>
      </c>
      <c r="G4" t="s">
        <v>20</v>
      </c>
      <c r="H4" t="s">
        <v>21</v>
      </c>
      <c r="I4" s="5">
        <v>105000</v>
      </c>
      <c r="L4" s="5">
        <v>105000</v>
      </c>
      <c r="M4" s="5">
        <v>11250</v>
      </c>
      <c r="N4" s="5">
        <v>93750</v>
      </c>
    </row>
    <row r="5" spans="1:16">
      <c r="A5" t="s">
        <v>22</v>
      </c>
      <c r="B5" t="s">
        <v>17</v>
      </c>
      <c r="C5" t="s">
        <v>23</v>
      </c>
      <c r="D5" s="6">
        <v>30</v>
      </c>
      <c r="E5" t="s">
        <v>24</v>
      </c>
      <c r="F5" t="s">
        <v>25</v>
      </c>
      <c r="G5" t="s">
        <v>26</v>
      </c>
      <c r="H5" t="s">
        <v>27</v>
      </c>
      <c r="I5" s="5">
        <v>344364.5</v>
      </c>
      <c r="L5" s="5">
        <v>344364.5</v>
      </c>
      <c r="M5" s="5">
        <v>36896.199999999997</v>
      </c>
      <c r="N5" s="5">
        <v>307468.3</v>
      </c>
    </row>
    <row r="6" spans="1:16">
      <c r="A6" t="s">
        <v>28</v>
      </c>
      <c r="B6" t="s">
        <v>17</v>
      </c>
      <c r="C6" t="s">
        <v>29</v>
      </c>
      <c r="D6" s="6">
        <v>0</v>
      </c>
      <c r="E6" t="s">
        <v>17</v>
      </c>
      <c r="F6" t="s">
        <v>30</v>
      </c>
      <c r="G6" t="s">
        <v>31</v>
      </c>
      <c r="H6" t="s">
        <v>32</v>
      </c>
      <c r="I6" s="5">
        <v>208698</v>
      </c>
      <c r="L6" s="5">
        <v>208698</v>
      </c>
      <c r="M6" s="5">
        <v>22360.5</v>
      </c>
      <c r="N6" s="5">
        <v>186337.5</v>
      </c>
    </row>
    <row r="7" spans="1:16">
      <c r="A7" t="s">
        <v>33</v>
      </c>
      <c r="B7" t="s">
        <v>17</v>
      </c>
      <c r="C7" t="s">
        <v>34</v>
      </c>
      <c r="D7" s="6">
        <v>60</v>
      </c>
      <c r="E7" t="s">
        <v>35</v>
      </c>
      <c r="F7" t="s">
        <v>36</v>
      </c>
      <c r="G7" t="s">
        <v>37</v>
      </c>
      <c r="H7" t="s">
        <v>38</v>
      </c>
      <c r="I7" s="5">
        <v>173450.58</v>
      </c>
      <c r="L7" s="5">
        <v>173450.58</v>
      </c>
      <c r="M7" s="5">
        <v>18583.990000000002</v>
      </c>
      <c r="N7" s="5">
        <v>154866.59</v>
      </c>
    </row>
    <row r="8" spans="1:16">
      <c r="A8" t="s">
        <v>39</v>
      </c>
      <c r="B8" t="s">
        <v>17</v>
      </c>
      <c r="C8" t="s">
        <v>29</v>
      </c>
      <c r="D8" s="6">
        <v>0</v>
      </c>
      <c r="E8" t="s">
        <v>17</v>
      </c>
      <c r="F8" t="s">
        <v>30</v>
      </c>
      <c r="G8" t="s">
        <v>40</v>
      </c>
      <c r="H8" t="s">
        <v>41</v>
      </c>
      <c r="I8" s="5">
        <v>186500</v>
      </c>
      <c r="L8" s="5">
        <v>186500</v>
      </c>
      <c r="M8" s="5">
        <v>19982.14</v>
      </c>
      <c r="N8" s="5">
        <v>166517.85999999999</v>
      </c>
    </row>
    <row r="9" spans="1:16">
      <c r="A9" t="s">
        <v>42</v>
      </c>
      <c r="B9" t="s">
        <v>17</v>
      </c>
      <c r="C9" t="s">
        <v>29</v>
      </c>
      <c r="D9" s="6">
        <v>0</v>
      </c>
      <c r="E9" t="s">
        <v>17</v>
      </c>
      <c r="F9" t="s">
        <v>30</v>
      </c>
      <c r="G9" t="s">
        <v>40</v>
      </c>
      <c r="H9" t="s">
        <v>43</v>
      </c>
      <c r="I9" s="5">
        <v>70000</v>
      </c>
      <c r="L9" s="5">
        <v>70000</v>
      </c>
      <c r="M9" s="5">
        <v>7500</v>
      </c>
      <c r="N9" s="5">
        <v>62500</v>
      </c>
    </row>
    <row r="10" spans="1:16">
      <c r="A10" t="s">
        <v>44</v>
      </c>
      <c r="B10" t="s">
        <v>17</v>
      </c>
      <c r="C10" t="s">
        <v>45</v>
      </c>
      <c r="D10" s="6">
        <v>0</v>
      </c>
      <c r="E10" t="s">
        <v>17</v>
      </c>
      <c r="F10" t="s">
        <v>46</v>
      </c>
      <c r="G10" t="s">
        <v>47</v>
      </c>
      <c r="H10" t="s">
        <v>48</v>
      </c>
      <c r="I10" s="5">
        <v>5880</v>
      </c>
      <c r="L10" s="5">
        <v>5880</v>
      </c>
      <c r="M10" s="7">
        <v>630</v>
      </c>
      <c r="N10" s="5">
        <v>5250</v>
      </c>
    </row>
    <row r="11" spans="1:16" s="10" customFormat="1">
      <c r="A11" s="10" t="s">
        <v>49</v>
      </c>
      <c r="B11" s="10" t="s">
        <v>17</v>
      </c>
      <c r="C11" s="10" t="s">
        <v>29</v>
      </c>
      <c r="D11" s="11">
        <v>0</v>
      </c>
      <c r="E11" s="10" t="s">
        <v>17</v>
      </c>
      <c r="F11" s="10" t="s">
        <v>50</v>
      </c>
      <c r="G11" s="10" t="s">
        <v>51</v>
      </c>
      <c r="H11" s="10" t="s">
        <v>52</v>
      </c>
      <c r="I11" s="9">
        <v>11602.84</v>
      </c>
      <c r="L11" s="9">
        <v>11602.84</v>
      </c>
      <c r="M11" s="9">
        <v>1243.1600000000001</v>
      </c>
      <c r="N11" s="9">
        <v>10359.68</v>
      </c>
      <c r="P11" s="10" t="s">
        <v>1767</v>
      </c>
    </row>
    <row r="12" spans="1:16">
      <c r="A12" t="s">
        <v>53</v>
      </c>
      <c r="B12" t="s">
        <v>17</v>
      </c>
      <c r="C12" t="s">
        <v>54</v>
      </c>
      <c r="D12" s="6">
        <v>90</v>
      </c>
      <c r="E12" t="s">
        <v>55</v>
      </c>
      <c r="F12" t="s">
        <v>56</v>
      </c>
      <c r="G12" t="s">
        <v>57</v>
      </c>
      <c r="H12" t="s">
        <v>58</v>
      </c>
      <c r="I12" s="5">
        <v>1176000</v>
      </c>
      <c r="L12" s="5">
        <v>1176000</v>
      </c>
      <c r="M12" s="5">
        <v>126000</v>
      </c>
      <c r="N12" s="5">
        <v>1050000</v>
      </c>
    </row>
    <row r="13" spans="1:16">
      <c r="A13" t="s">
        <v>59</v>
      </c>
      <c r="B13" t="s">
        <v>17</v>
      </c>
      <c r="C13" t="s">
        <v>60</v>
      </c>
      <c r="D13" s="6">
        <v>0</v>
      </c>
      <c r="E13" t="s">
        <v>17</v>
      </c>
      <c r="F13" t="s">
        <v>56</v>
      </c>
      <c r="G13" t="s">
        <v>61</v>
      </c>
      <c r="H13" t="s">
        <v>62</v>
      </c>
      <c r="I13" s="5">
        <v>26000</v>
      </c>
      <c r="J13" s="4">
        <v>-520</v>
      </c>
      <c r="L13" s="5">
        <v>25480</v>
      </c>
      <c r="M13" s="5">
        <v>2730</v>
      </c>
      <c r="N13" s="5">
        <v>22750</v>
      </c>
    </row>
    <row r="14" spans="1:16">
      <c r="A14" t="s">
        <v>63</v>
      </c>
      <c r="B14" t="s">
        <v>17</v>
      </c>
      <c r="C14" t="s">
        <v>64</v>
      </c>
      <c r="D14" s="6">
        <v>30</v>
      </c>
      <c r="E14" t="s">
        <v>24</v>
      </c>
      <c r="F14" t="s">
        <v>56</v>
      </c>
      <c r="G14" t="s">
        <v>65</v>
      </c>
      <c r="H14" t="s">
        <v>66</v>
      </c>
      <c r="I14" s="5">
        <v>603830</v>
      </c>
      <c r="L14" s="5">
        <v>603830</v>
      </c>
      <c r="M14" s="5">
        <v>64696.07</v>
      </c>
      <c r="N14" s="5">
        <v>539133.93000000005</v>
      </c>
    </row>
    <row r="15" spans="1:16">
      <c r="A15" t="s">
        <v>67</v>
      </c>
      <c r="B15" t="s">
        <v>17</v>
      </c>
      <c r="C15" t="s">
        <v>68</v>
      </c>
      <c r="D15" s="6">
        <v>60</v>
      </c>
      <c r="E15" t="s">
        <v>35</v>
      </c>
      <c r="F15" t="s">
        <v>69</v>
      </c>
      <c r="G15" t="s">
        <v>70</v>
      </c>
      <c r="H15" t="s">
        <v>71</v>
      </c>
      <c r="I15" s="5">
        <v>2419200</v>
      </c>
      <c r="L15" s="5">
        <v>2419200</v>
      </c>
      <c r="M15" s="5">
        <v>259200</v>
      </c>
      <c r="N15" s="5">
        <v>2160000</v>
      </c>
    </row>
    <row r="16" spans="1:16">
      <c r="A16" t="s">
        <v>72</v>
      </c>
      <c r="B16" t="s">
        <v>17</v>
      </c>
      <c r="C16" t="s">
        <v>73</v>
      </c>
      <c r="D16" s="6">
        <v>30</v>
      </c>
      <c r="E16" t="s">
        <v>24</v>
      </c>
      <c r="F16" t="s">
        <v>19</v>
      </c>
      <c r="G16" t="s">
        <v>74</v>
      </c>
      <c r="H16" t="s">
        <v>75</v>
      </c>
      <c r="I16" s="5">
        <v>369000</v>
      </c>
      <c r="L16" s="5">
        <v>369000</v>
      </c>
      <c r="M16" s="5">
        <v>39535.71</v>
      </c>
      <c r="N16" s="5">
        <v>329464.28999999998</v>
      </c>
    </row>
    <row r="17" spans="1:14">
      <c r="A17" t="s">
        <v>76</v>
      </c>
      <c r="B17" t="s">
        <v>17</v>
      </c>
      <c r="C17" t="s">
        <v>68</v>
      </c>
      <c r="D17" s="6">
        <v>60</v>
      </c>
      <c r="E17" t="s">
        <v>35</v>
      </c>
      <c r="F17" t="s">
        <v>69</v>
      </c>
      <c r="G17" t="s">
        <v>70</v>
      </c>
      <c r="H17" t="s">
        <v>77</v>
      </c>
      <c r="I17" s="5">
        <v>316320</v>
      </c>
      <c r="L17" s="5">
        <v>316320</v>
      </c>
      <c r="M17" s="5">
        <v>33891.43</v>
      </c>
      <c r="N17" s="5">
        <v>282428.57</v>
      </c>
    </row>
    <row r="18" spans="1:14">
      <c r="A18" t="s">
        <v>78</v>
      </c>
      <c r="B18" t="s">
        <v>17</v>
      </c>
      <c r="C18" t="s">
        <v>79</v>
      </c>
      <c r="D18" s="6">
        <v>30</v>
      </c>
      <c r="E18" t="s">
        <v>24</v>
      </c>
      <c r="F18" t="s">
        <v>69</v>
      </c>
      <c r="G18" t="s">
        <v>80</v>
      </c>
      <c r="H18" t="s">
        <v>81</v>
      </c>
      <c r="I18" s="5">
        <v>23350</v>
      </c>
      <c r="L18" s="5">
        <v>23350</v>
      </c>
      <c r="M18" s="5">
        <v>2501.79</v>
      </c>
      <c r="N18" s="5">
        <v>20848.21</v>
      </c>
    </row>
    <row r="19" spans="1:14">
      <c r="A19" t="s">
        <v>82</v>
      </c>
      <c r="B19" t="s">
        <v>17</v>
      </c>
      <c r="C19" t="s">
        <v>79</v>
      </c>
      <c r="D19" s="6">
        <v>30</v>
      </c>
      <c r="E19" t="s">
        <v>24</v>
      </c>
      <c r="F19" t="s">
        <v>69</v>
      </c>
      <c r="G19" t="s">
        <v>80</v>
      </c>
      <c r="H19" t="s">
        <v>83</v>
      </c>
      <c r="I19" s="5">
        <v>6675</v>
      </c>
      <c r="L19" s="5">
        <v>6675</v>
      </c>
      <c r="M19" s="7">
        <v>715.18</v>
      </c>
      <c r="N19" s="5">
        <v>5959.82</v>
      </c>
    </row>
    <row r="20" spans="1:14">
      <c r="A20" t="s">
        <v>84</v>
      </c>
      <c r="B20" t="s">
        <v>17</v>
      </c>
      <c r="C20" t="s">
        <v>60</v>
      </c>
      <c r="D20" s="6">
        <v>0</v>
      </c>
      <c r="E20" t="s">
        <v>17</v>
      </c>
      <c r="F20" t="s">
        <v>30</v>
      </c>
      <c r="G20" t="s">
        <v>85</v>
      </c>
      <c r="H20" t="s">
        <v>86</v>
      </c>
      <c r="I20" s="5">
        <v>266373</v>
      </c>
      <c r="L20" s="5">
        <v>266373</v>
      </c>
      <c r="M20" s="5">
        <v>28539.96</v>
      </c>
      <c r="N20" s="5">
        <v>237833.04</v>
      </c>
    </row>
    <row r="21" spans="1:14">
      <c r="A21" t="s">
        <v>87</v>
      </c>
      <c r="B21" t="s">
        <v>17</v>
      </c>
      <c r="C21" t="s">
        <v>29</v>
      </c>
      <c r="D21" s="6">
        <v>0</v>
      </c>
      <c r="E21" t="s">
        <v>17</v>
      </c>
      <c r="F21" t="s">
        <v>30</v>
      </c>
      <c r="G21" t="s">
        <v>40</v>
      </c>
      <c r="H21" t="s">
        <v>88</v>
      </c>
      <c r="I21" s="5">
        <v>1008800</v>
      </c>
      <c r="L21" s="5">
        <v>1008800</v>
      </c>
      <c r="M21" s="5">
        <v>108085.71</v>
      </c>
      <c r="N21" s="5">
        <v>900714.29</v>
      </c>
    </row>
    <row r="22" spans="1:14">
      <c r="A22" t="s">
        <v>89</v>
      </c>
      <c r="B22" t="s">
        <v>17</v>
      </c>
      <c r="C22" t="s">
        <v>73</v>
      </c>
      <c r="D22" s="6">
        <v>30</v>
      </c>
      <c r="E22" t="s">
        <v>24</v>
      </c>
      <c r="F22" t="s">
        <v>56</v>
      </c>
      <c r="G22" t="s">
        <v>90</v>
      </c>
      <c r="H22" t="s">
        <v>91</v>
      </c>
      <c r="I22" s="5">
        <v>182032</v>
      </c>
      <c r="L22" s="5">
        <v>182032</v>
      </c>
      <c r="M22" s="5">
        <v>19503.43</v>
      </c>
      <c r="N22" s="5">
        <v>162528.57</v>
      </c>
    </row>
    <row r="23" spans="1:14">
      <c r="A23" t="s">
        <v>92</v>
      </c>
      <c r="B23" t="s">
        <v>93</v>
      </c>
      <c r="C23" t="s">
        <v>94</v>
      </c>
      <c r="D23" s="6">
        <v>0</v>
      </c>
      <c r="E23" t="s">
        <v>93</v>
      </c>
      <c r="F23" t="s">
        <v>46</v>
      </c>
      <c r="G23" t="s">
        <v>95</v>
      </c>
      <c r="H23" t="s">
        <v>96</v>
      </c>
      <c r="I23" s="5">
        <v>422500</v>
      </c>
      <c r="L23" s="5">
        <v>422500</v>
      </c>
      <c r="M23" s="5">
        <v>45267.86</v>
      </c>
      <c r="N23" s="5">
        <v>377232.14</v>
      </c>
    </row>
    <row r="24" spans="1:14">
      <c r="A24" t="s">
        <v>97</v>
      </c>
      <c r="B24" t="s">
        <v>93</v>
      </c>
      <c r="C24" t="s">
        <v>98</v>
      </c>
      <c r="D24" s="6">
        <v>0</v>
      </c>
      <c r="E24" t="s">
        <v>93</v>
      </c>
      <c r="F24" t="s">
        <v>69</v>
      </c>
      <c r="G24" t="s">
        <v>99</v>
      </c>
      <c r="H24" t="s">
        <v>100</v>
      </c>
      <c r="I24" s="5">
        <v>96500</v>
      </c>
      <c r="J24" s="4">
        <v>-2895</v>
      </c>
      <c r="L24" s="5">
        <v>93605</v>
      </c>
      <c r="M24" s="5">
        <v>10029.11</v>
      </c>
      <c r="N24" s="5">
        <v>83575.89</v>
      </c>
    </row>
    <row r="25" spans="1:14">
      <c r="A25" t="s">
        <v>101</v>
      </c>
      <c r="B25" t="s">
        <v>93</v>
      </c>
      <c r="C25" t="s">
        <v>98</v>
      </c>
      <c r="D25" s="6">
        <v>0</v>
      </c>
      <c r="E25" t="s">
        <v>93</v>
      </c>
      <c r="F25" t="s">
        <v>69</v>
      </c>
      <c r="G25" t="s">
        <v>99</v>
      </c>
      <c r="H25" t="s">
        <v>102</v>
      </c>
      <c r="I25" s="5">
        <v>205360</v>
      </c>
      <c r="J25" s="4">
        <v>-6160.8</v>
      </c>
      <c r="L25" s="5">
        <v>199199.2</v>
      </c>
      <c r="M25" s="5">
        <v>21342.77</v>
      </c>
      <c r="N25" s="5">
        <v>177856.43</v>
      </c>
    </row>
    <row r="26" spans="1:14">
      <c r="A26" t="s">
        <v>103</v>
      </c>
      <c r="B26" t="s">
        <v>93</v>
      </c>
      <c r="C26" t="s">
        <v>104</v>
      </c>
      <c r="D26" s="6">
        <v>0</v>
      </c>
      <c r="E26" t="s">
        <v>93</v>
      </c>
      <c r="F26" t="s">
        <v>105</v>
      </c>
      <c r="G26" t="s">
        <v>106</v>
      </c>
      <c r="H26" t="s">
        <v>107</v>
      </c>
      <c r="I26" s="5">
        <v>114000</v>
      </c>
      <c r="J26" s="4">
        <v>-3420</v>
      </c>
      <c r="L26" s="5">
        <v>110580</v>
      </c>
      <c r="M26" s="5">
        <v>11847.86</v>
      </c>
      <c r="N26" s="5">
        <v>98732.14</v>
      </c>
    </row>
    <row r="27" spans="1:14">
      <c r="A27" t="s">
        <v>108</v>
      </c>
      <c r="B27" t="s">
        <v>93</v>
      </c>
      <c r="C27" t="s">
        <v>104</v>
      </c>
      <c r="D27" s="6">
        <v>0</v>
      </c>
      <c r="E27" t="s">
        <v>93</v>
      </c>
      <c r="F27" t="s">
        <v>105</v>
      </c>
      <c r="G27" t="s">
        <v>106</v>
      </c>
      <c r="H27" t="s">
        <v>109</v>
      </c>
      <c r="I27" s="5">
        <v>260000</v>
      </c>
      <c r="J27" s="4">
        <v>-7800</v>
      </c>
      <c r="L27" s="5">
        <v>252200</v>
      </c>
      <c r="M27" s="5">
        <v>27021.43</v>
      </c>
      <c r="N27" s="5">
        <v>225178.57</v>
      </c>
    </row>
    <row r="28" spans="1:14">
      <c r="A28" t="s">
        <v>110</v>
      </c>
      <c r="B28" t="s">
        <v>93</v>
      </c>
      <c r="C28" t="s">
        <v>18</v>
      </c>
      <c r="D28" s="6">
        <v>0</v>
      </c>
      <c r="E28" t="s">
        <v>93</v>
      </c>
      <c r="F28" t="s">
        <v>46</v>
      </c>
      <c r="G28" t="s">
        <v>111</v>
      </c>
      <c r="H28" t="s">
        <v>112</v>
      </c>
      <c r="I28" s="5">
        <v>18378</v>
      </c>
      <c r="K28" s="5">
        <v>6000</v>
      </c>
      <c r="L28" s="5">
        <v>24378</v>
      </c>
      <c r="M28" s="5">
        <v>2611.9299999999998</v>
      </c>
      <c r="N28" s="5">
        <v>21766.07</v>
      </c>
    </row>
    <row r="29" spans="1:14">
      <c r="A29" t="s">
        <v>113</v>
      </c>
      <c r="B29" t="s">
        <v>93</v>
      </c>
      <c r="C29" t="s">
        <v>60</v>
      </c>
      <c r="D29" s="6">
        <v>0</v>
      </c>
      <c r="E29" t="s">
        <v>93</v>
      </c>
      <c r="F29" t="s">
        <v>56</v>
      </c>
      <c r="G29" t="s">
        <v>114</v>
      </c>
      <c r="H29" t="s">
        <v>115</v>
      </c>
      <c r="I29" s="5">
        <v>272065</v>
      </c>
      <c r="L29" s="5">
        <v>272065</v>
      </c>
      <c r="M29" s="5">
        <v>29149.82</v>
      </c>
      <c r="N29" s="5">
        <v>242915.18</v>
      </c>
    </row>
    <row r="30" spans="1:14">
      <c r="A30" t="s">
        <v>116</v>
      </c>
      <c r="B30" t="s">
        <v>93</v>
      </c>
      <c r="C30" t="s">
        <v>117</v>
      </c>
      <c r="D30" s="6">
        <v>120</v>
      </c>
      <c r="E30" t="s">
        <v>118</v>
      </c>
      <c r="F30" t="s">
        <v>56</v>
      </c>
      <c r="G30" t="s">
        <v>119</v>
      </c>
      <c r="H30" t="s">
        <v>120</v>
      </c>
      <c r="I30" s="5">
        <v>201354</v>
      </c>
      <c r="L30" s="5">
        <v>201354</v>
      </c>
      <c r="M30" s="5">
        <v>21573.64</v>
      </c>
      <c r="N30" s="5">
        <v>179780.36</v>
      </c>
    </row>
    <row r="31" spans="1:14">
      <c r="A31" t="s">
        <v>121</v>
      </c>
      <c r="B31" t="s">
        <v>93</v>
      </c>
      <c r="C31" t="s">
        <v>117</v>
      </c>
      <c r="D31" s="6">
        <v>120</v>
      </c>
      <c r="E31" t="s">
        <v>118</v>
      </c>
      <c r="F31" t="s">
        <v>56</v>
      </c>
      <c r="G31" t="s">
        <v>119</v>
      </c>
      <c r="H31" t="s">
        <v>122</v>
      </c>
      <c r="I31" s="5">
        <v>25672</v>
      </c>
      <c r="L31" s="5">
        <v>25672</v>
      </c>
      <c r="M31" s="5">
        <v>2750.57</v>
      </c>
      <c r="N31" s="5">
        <v>22921.43</v>
      </c>
    </row>
    <row r="32" spans="1:14">
      <c r="A32" t="s">
        <v>123</v>
      </c>
      <c r="B32" t="s">
        <v>93</v>
      </c>
      <c r="C32" t="s">
        <v>117</v>
      </c>
      <c r="D32" s="6">
        <v>120</v>
      </c>
      <c r="E32" t="s">
        <v>118</v>
      </c>
      <c r="F32" t="s">
        <v>56</v>
      </c>
      <c r="G32" t="s">
        <v>119</v>
      </c>
      <c r="H32" t="s">
        <v>124</v>
      </c>
      <c r="I32" s="5">
        <v>116892</v>
      </c>
      <c r="L32" s="5">
        <v>116892</v>
      </c>
      <c r="M32" s="5">
        <v>12524.14</v>
      </c>
      <c r="N32" s="5">
        <v>104367.86</v>
      </c>
    </row>
    <row r="33" spans="1:14">
      <c r="A33" t="s">
        <v>125</v>
      </c>
      <c r="B33" t="s">
        <v>93</v>
      </c>
      <c r="C33" t="s">
        <v>60</v>
      </c>
      <c r="D33" s="6">
        <v>0</v>
      </c>
      <c r="E33" t="s">
        <v>93</v>
      </c>
      <c r="F33" t="s">
        <v>56</v>
      </c>
      <c r="G33" t="s">
        <v>126</v>
      </c>
      <c r="H33" t="s">
        <v>127</v>
      </c>
      <c r="I33" s="5">
        <v>19600</v>
      </c>
      <c r="L33" s="5">
        <v>19600</v>
      </c>
      <c r="M33" s="5">
        <v>2100</v>
      </c>
      <c r="N33" s="5">
        <v>17500</v>
      </c>
    </row>
    <row r="34" spans="1:14">
      <c r="A34" t="s">
        <v>128</v>
      </c>
      <c r="B34" t="s">
        <v>93</v>
      </c>
      <c r="C34" t="s">
        <v>60</v>
      </c>
      <c r="D34" s="6">
        <v>0</v>
      </c>
      <c r="E34" t="s">
        <v>93</v>
      </c>
      <c r="F34" t="s">
        <v>46</v>
      </c>
      <c r="G34" t="s">
        <v>129</v>
      </c>
      <c r="H34" t="s">
        <v>130</v>
      </c>
      <c r="I34" s="5">
        <v>170715</v>
      </c>
      <c r="J34" s="4">
        <v>-3414.3</v>
      </c>
      <c r="L34" s="5">
        <v>167300.70000000001</v>
      </c>
      <c r="M34" s="5">
        <v>17925.07</v>
      </c>
      <c r="N34" s="5">
        <v>149375.63</v>
      </c>
    </row>
    <row r="35" spans="1:14">
      <c r="A35" t="s">
        <v>131</v>
      </c>
      <c r="B35" t="s">
        <v>93</v>
      </c>
      <c r="C35" t="s">
        <v>132</v>
      </c>
      <c r="D35" s="6">
        <v>0</v>
      </c>
      <c r="E35" t="s">
        <v>93</v>
      </c>
      <c r="F35" t="s">
        <v>30</v>
      </c>
      <c r="G35" t="s">
        <v>133</v>
      </c>
      <c r="H35" t="s">
        <v>134</v>
      </c>
      <c r="I35" s="5">
        <v>55350</v>
      </c>
      <c r="L35" s="5">
        <v>55350</v>
      </c>
      <c r="M35" s="5">
        <v>5930.36</v>
      </c>
      <c r="N35" s="5">
        <v>49419.64</v>
      </c>
    </row>
    <row r="36" spans="1:14">
      <c r="A36" t="s">
        <v>135</v>
      </c>
      <c r="B36" t="s">
        <v>93</v>
      </c>
      <c r="C36" t="s">
        <v>34</v>
      </c>
      <c r="D36" s="6">
        <v>60</v>
      </c>
      <c r="E36" t="s">
        <v>136</v>
      </c>
      <c r="F36" t="s">
        <v>36</v>
      </c>
      <c r="G36" t="s">
        <v>37</v>
      </c>
      <c r="H36" t="s">
        <v>137</v>
      </c>
      <c r="I36" s="5">
        <v>32101.08</v>
      </c>
      <c r="L36" s="5">
        <v>32101.08</v>
      </c>
      <c r="M36" s="5">
        <v>3439.4</v>
      </c>
      <c r="N36" s="5">
        <v>28661.68</v>
      </c>
    </row>
    <row r="37" spans="1:14">
      <c r="A37" t="s">
        <v>138</v>
      </c>
      <c r="B37" t="s">
        <v>93</v>
      </c>
      <c r="C37" t="s">
        <v>29</v>
      </c>
      <c r="D37" s="6">
        <v>0</v>
      </c>
      <c r="E37" t="s">
        <v>93</v>
      </c>
      <c r="F37" t="s">
        <v>139</v>
      </c>
      <c r="G37" t="s">
        <v>140</v>
      </c>
      <c r="H37" t="s">
        <v>141</v>
      </c>
      <c r="I37" s="5">
        <v>8428</v>
      </c>
      <c r="L37" s="5">
        <v>8428</v>
      </c>
      <c r="M37" s="7">
        <v>903</v>
      </c>
      <c r="N37" s="5">
        <v>7525</v>
      </c>
    </row>
    <row r="38" spans="1:14">
      <c r="A38" t="s">
        <v>142</v>
      </c>
      <c r="B38" t="s">
        <v>93</v>
      </c>
      <c r="C38" t="s">
        <v>60</v>
      </c>
      <c r="D38" s="6">
        <v>0</v>
      </c>
      <c r="E38" t="s">
        <v>93</v>
      </c>
      <c r="F38" t="s">
        <v>139</v>
      </c>
      <c r="G38" t="s">
        <v>143</v>
      </c>
      <c r="H38" t="s">
        <v>144</v>
      </c>
      <c r="I38" s="5">
        <v>58800</v>
      </c>
      <c r="J38" s="4">
        <v>-1764</v>
      </c>
      <c r="L38" s="5">
        <v>57036</v>
      </c>
      <c r="M38" s="5">
        <v>6111</v>
      </c>
      <c r="N38" s="5">
        <v>50925</v>
      </c>
    </row>
    <row r="39" spans="1:14">
      <c r="A39" t="s">
        <v>145</v>
      </c>
      <c r="B39" t="s">
        <v>93</v>
      </c>
      <c r="C39" t="s">
        <v>146</v>
      </c>
      <c r="D39" s="6">
        <v>90</v>
      </c>
      <c r="E39" t="s">
        <v>147</v>
      </c>
      <c r="F39" t="s">
        <v>69</v>
      </c>
      <c r="G39" t="s">
        <v>148</v>
      </c>
      <c r="H39" t="s">
        <v>149</v>
      </c>
      <c r="I39" s="5">
        <v>91954.87</v>
      </c>
      <c r="L39" s="5">
        <v>91954.87</v>
      </c>
      <c r="M39" s="5">
        <v>9852.31</v>
      </c>
      <c r="N39" s="5">
        <v>82102.559999999998</v>
      </c>
    </row>
    <row r="40" spans="1:14">
      <c r="A40" t="s">
        <v>150</v>
      </c>
      <c r="B40" t="s">
        <v>93</v>
      </c>
      <c r="C40" t="s">
        <v>151</v>
      </c>
      <c r="D40" s="6">
        <v>60</v>
      </c>
      <c r="E40" t="s">
        <v>136</v>
      </c>
      <c r="F40" t="s">
        <v>56</v>
      </c>
      <c r="G40" t="s">
        <v>152</v>
      </c>
      <c r="H40" t="s">
        <v>153</v>
      </c>
      <c r="I40" s="5">
        <v>71884</v>
      </c>
      <c r="L40" s="5">
        <v>71884</v>
      </c>
      <c r="M40" s="5">
        <v>7701.86</v>
      </c>
      <c r="N40" s="5">
        <v>64182.14</v>
      </c>
    </row>
    <row r="41" spans="1:14">
      <c r="A41" t="s">
        <v>154</v>
      </c>
      <c r="B41" t="s">
        <v>93</v>
      </c>
      <c r="C41" t="s">
        <v>29</v>
      </c>
      <c r="D41" s="6">
        <v>0</v>
      </c>
      <c r="E41" t="s">
        <v>93</v>
      </c>
      <c r="F41" t="s">
        <v>30</v>
      </c>
      <c r="G41" t="s">
        <v>155</v>
      </c>
      <c r="H41" t="s">
        <v>156</v>
      </c>
      <c r="I41" s="5">
        <v>168000</v>
      </c>
      <c r="L41" s="5">
        <v>168000</v>
      </c>
      <c r="M41" s="5">
        <v>18000</v>
      </c>
      <c r="N41" s="5">
        <v>150000</v>
      </c>
    </row>
    <row r="42" spans="1:14">
      <c r="A42" t="s">
        <v>157</v>
      </c>
      <c r="B42" t="s">
        <v>93</v>
      </c>
      <c r="C42" t="s">
        <v>29</v>
      </c>
      <c r="D42" s="6">
        <v>0</v>
      </c>
      <c r="E42" t="s">
        <v>93</v>
      </c>
      <c r="F42" t="s">
        <v>30</v>
      </c>
      <c r="G42" t="s">
        <v>155</v>
      </c>
      <c r="H42" t="s">
        <v>158</v>
      </c>
      <c r="I42" s="5">
        <v>13800</v>
      </c>
      <c r="L42" s="5">
        <v>13800</v>
      </c>
      <c r="M42" s="5">
        <v>1478.57</v>
      </c>
      <c r="N42" s="5">
        <v>12321.43</v>
      </c>
    </row>
    <row r="43" spans="1:14">
      <c r="A43" t="s">
        <v>159</v>
      </c>
      <c r="B43" t="s">
        <v>93</v>
      </c>
      <c r="C43" t="s">
        <v>29</v>
      </c>
      <c r="D43" s="6">
        <v>0</v>
      </c>
      <c r="E43" t="s">
        <v>93</v>
      </c>
      <c r="F43" t="s">
        <v>30</v>
      </c>
      <c r="G43" t="s">
        <v>155</v>
      </c>
      <c r="H43" t="s">
        <v>160</v>
      </c>
      <c r="I43" s="5">
        <v>109781</v>
      </c>
      <c r="L43" s="5">
        <v>109781</v>
      </c>
      <c r="M43" s="5">
        <v>11762.25</v>
      </c>
      <c r="N43" s="5">
        <v>98018.75</v>
      </c>
    </row>
    <row r="44" spans="1:14">
      <c r="A44" t="s">
        <v>161</v>
      </c>
      <c r="B44" t="s">
        <v>93</v>
      </c>
      <c r="C44" t="s">
        <v>162</v>
      </c>
      <c r="D44" s="6">
        <v>90</v>
      </c>
      <c r="E44" t="s">
        <v>147</v>
      </c>
      <c r="F44" t="s">
        <v>163</v>
      </c>
      <c r="G44" t="s">
        <v>164</v>
      </c>
      <c r="H44" t="s">
        <v>165</v>
      </c>
      <c r="I44" s="5">
        <v>13175</v>
      </c>
      <c r="L44" s="5">
        <v>13175</v>
      </c>
      <c r="M44" s="5">
        <v>1411.61</v>
      </c>
      <c r="N44" s="5">
        <v>11763.39</v>
      </c>
    </row>
    <row r="45" spans="1:14">
      <c r="A45" t="s">
        <v>166</v>
      </c>
      <c r="B45" t="s">
        <v>93</v>
      </c>
      <c r="C45" t="s">
        <v>167</v>
      </c>
      <c r="D45" s="6">
        <v>90</v>
      </c>
      <c r="E45" t="s">
        <v>147</v>
      </c>
      <c r="F45" t="s">
        <v>56</v>
      </c>
      <c r="G45" t="s">
        <v>168</v>
      </c>
      <c r="H45" t="s">
        <v>169</v>
      </c>
      <c r="I45" s="5">
        <v>205370</v>
      </c>
      <c r="L45" s="5">
        <v>205370</v>
      </c>
      <c r="M45" s="5">
        <v>22003.93</v>
      </c>
      <c r="N45" s="5">
        <v>183366.07</v>
      </c>
    </row>
    <row r="46" spans="1:14">
      <c r="A46" t="s">
        <v>170</v>
      </c>
      <c r="B46" t="s">
        <v>93</v>
      </c>
      <c r="C46" t="s">
        <v>167</v>
      </c>
      <c r="D46" s="6">
        <v>90</v>
      </c>
      <c r="E46" t="s">
        <v>147</v>
      </c>
      <c r="F46" t="s">
        <v>56</v>
      </c>
      <c r="G46" t="s">
        <v>168</v>
      </c>
      <c r="H46" t="s">
        <v>171</v>
      </c>
      <c r="I46" s="5">
        <v>70560</v>
      </c>
      <c r="L46" s="5">
        <v>70560</v>
      </c>
      <c r="M46" s="5">
        <v>7560</v>
      </c>
      <c r="N46" s="5">
        <v>63000</v>
      </c>
    </row>
    <row r="47" spans="1:14">
      <c r="A47" t="s">
        <v>172</v>
      </c>
      <c r="B47" t="s">
        <v>93</v>
      </c>
      <c r="C47" t="s">
        <v>162</v>
      </c>
      <c r="D47" s="6">
        <v>90</v>
      </c>
      <c r="E47" t="s">
        <v>147</v>
      </c>
      <c r="F47" t="s">
        <v>19</v>
      </c>
      <c r="G47" t="s">
        <v>173</v>
      </c>
      <c r="H47" t="s">
        <v>174</v>
      </c>
      <c r="I47" s="5">
        <v>36747</v>
      </c>
      <c r="L47" s="5">
        <v>36747</v>
      </c>
      <c r="M47" s="5">
        <v>3937.18</v>
      </c>
      <c r="N47" s="5">
        <v>32809.82</v>
      </c>
    </row>
    <row r="48" spans="1:14">
      <c r="A48" t="s">
        <v>175</v>
      </c>
      <c r="B48" t="s">
        <v>93</v>
      </c>
      <c r="C48" t="s">
        <v>176</v>
      </c>
      <c r="D48" s="6">
        <v>60</v>
      </c>
      <c r="E48" t="s">
        <v>136</v>
      </c>
      <c r="F48" t="s">
        <v>69</v>
      </c>
      <c r="G48" t="s">
        <v>177</v>
      </c>
      <c r="H48" t="s">
        <v>178</v>
      </c>
      <c r="I48" s="5">
        <v>408000</v>
      </c>
      <c r="L48" s="5">
        <v>408000</v>
      </c>
      <c r="M48" s="5">
        <v>43714.29</v>
      </c>
      <c r="N48" s="5">
        <v>364285.71</v>
      </c>
    </row>
    <row r="49" spans="1:14">
      <c r="A49" t="s">
        <v>179</v>
      </c>
      <c r="B49" t="s">
        <v>93</v>
      </c>
      <c r="C49" t="s">
        <v>18</v>
      </c>
      <c r="D49" s="6">
        <v>0</v>
      </c>
      <c r="E49" t="s">
        <v>93</v>
      </c>
      <c r="F49" t="s">
        <v>180</v>
      </c>
      <c r="G49" t="s">
        <v>181</v>
      </c>
      <c r="H49" t="s">
        <v>182</v>
      </c>
      <c r="I49" s="5">
        <v>137040</v>
      </c>
      <c r="L49" s="5">
        <v>137040</v>
      </c>
      <c r="M49" s="5">
        <v>14682.86</v>
      </c>
      <c r="N49" s="5">
        <v>122357.14</v>
      </c>
    </row>
    <row r="50" spans="1:14">
      <c r="A50" t="s">
        <v>183</v>
      </c>
      <c r="B50" t="s">
        <v>93</v>
      </c>
      <c r="C50" t="s">
        <v>60</v>
      </c>
      <c r="D50" s="6">
        <v>0</v>
      </c>
      <c r="E50" t="s">
        <v>93</v>
      </c>
      <c r="F50" t="s">
        <v>30</v>
      </c>
      <c r="G50" t="s">
        <v>184</v>
      </c>
      <c r="H50" t="s">
        <v>185</v>
      </c>
      <c r="I50" s="5">
        <v>110631.75</v>
      </c>
      <c r="L50" s="5">
        <v>110631.75</v>
      </c>
      <c r="M50" s="5">
        <v>11853.4</v>
      </c>
      <c r="N50" s="5">
        <v>98778.35</v>
      </c>
    </row>
    <row r="51" spans="1:14">
      <c r="A51" t="s">
        <v>186</v>
      </c>
      <c r="B51" t="s">
        <v>93</v>
      </c>
      <c r="C51" t="s">
        <v>68</v>
      </c>
      <c r="D51" s="6">
        <v>60</v>
      </c>
      <c r="E51" t="s">
        <v>136</v>
      </c>
      <c r="F51" t="s">
        <v>36</v>
      </c>
      <c r="G51" t="s">
        <v>187</v>
      </c>
      <c r="H51" t="s">
        <v>188</v>
      </c>
      <c r="I51" s="5">
        <v>53180</v>
      </c>
      <c r="L51" s="5">
        <v>53180</v>
      </c>
      <c r="M51" s="5">
        <v>5697.86</v>
      </c>
      <c r="N51" s="5">
        <v>47482.14</v>
      </c>
    </row>
    <row r="52" spans="1:14">
      <c r="A52" t="s">
        <v>189</v>
      </c>
      <c r="B52" t="s">
        <v>93</v>
      </c>
      <c r="C52" t="s">
        <v>60</v>
      </c>
      <c r="D52" s="6">
        <v>0</v>
      </c>
      <c r="E52" t="s">
        <v>93</v>
      </c>
      <c r="F52" t="s">
        <v>56</v>
      </c>
      <c r="G52" t="s">
        <v>190</v>
      </c>
      <c r="H52" t="s">
        <v>191</v>
      </c>
      <c r="I52" s="5">
        <v>73932</v>
      </c>
      <c r="L52" s="5">
        <v>73932</v>
      </c>
      <c r="M52" s="5">
        <v>7921.29</v>
      </c>
      <c r="N52" s="5">
        <v>66010.710000000006</v>
      </c>
    </row>
    <row r="53" spans="1:14">
      <c r="A53" t="s">
        <v>192</v>
      </c>
      <c r="B53" t="s">
        <v>93</v>
      </c>
      <c r="C53" t="s">
        <v>162</v>
      </c>
      <c r="D53" s="6">
        <v>90</v>
      </c>
      <c r="E53" t="s">
        <v>147</v>
      </c>
      <c r="F53" t="s">
        <v>36</v>
      </c>
      <c r="G53" t="s">
        <v>193</v>
      </c>
      <c r="H53" t="s">
        <v>194</v>
      </c>
      <c r="I53" s="5">
        <v>2053</v>
      </c>
      <c r="L53" s="5">
        <v>2053</v>
      </c>
      <c r="M53" s="7">
        <v>219.96</v>
      </c>
      <c r="N53" s="5">
        <v>1833.04</v>
      </c>
    </row>
    <row r="54" spans="1:14">
      <c r="A54" t="s">
        <v>195</v>
      </c>
      <c r="B54" t="s">
        <v>93</v>
      </c>
      <c r="C54" t="s">
        <v>60</v>
      </c>
      <c r="D54" s="6">
        <v>0</v>
      </c>
      <c r="E54" t="s">
        <v>93</v>
      </c>
      <c r="F54" t="s">
        <v>56</v>
      </c>
      <c r="G54" t="s">
        <v>196</v>
      </c>
      <c r="H54" t="s">
        <v>197</v>
      </c>
      <c r="I54" s="5">
        <v>192020</v>
      </c>
      <c r="L54" s="5">
        <v>192020</v>
      </c>
      <c r="M54" s="5">
        <v>20573.57</v>
      </c>
      <c r="N54" s="5">
        <v>171446.43</v>
      </c>
    </row>
    <row r="55" spans="1:14">
      <c r="A55" t="s">
        <v>198</v>
      </c>
      <c r="B55" t="s">
        <v>199</v>
      </c>
      <c r="C55" t="s">
        <v>34</v>
      </c>
      <c r="D55" s="6">
        <v>60</v>
      </c>
      <c r="E55" t="s">
        <v>200</v>
      </c>
      <c r="F55" t="s">
        <v>30</v>
      </c>
      <c r="G55" t="s">
        <v>201</v>
      </c>
      <c r="H55" t="s">
        <v>202</v>
      </c>
      <c r="I55" s="5">
        <v>7200</v>
      </c>
      <c r="L55" s="5">
        <v>7200</v>
      </c>
      <c r="M55" s="7">
        <v>771.43</v>
      </c>
      <c r="N55" s="5">
        <v>6428.57</v>
      </c>
    </row>
    <row r="56" spans="1:14">
      <c r="A56" t="s">
        <v>203</v>
      </c>
      <c r="B56" t="s">
        <v>199</v>
      </c>
      <c r="C56" t="s">
        <v>34</v>
      </c>
      <c r="D56" s="6">
        <v>60</v>
      </c>
      <c r="E56" t="s">
        <v>200</v>
      </c>
      <c r="F56" t="s">
        <v>204</v>
      </c>
      <c r="G56" t="s">
        <v>205</v>
      </c>
      <c r="H56" t="s">
        <v>206</v>
      </c>
      <c r="I56" s="5">
        <v>45500</v>
      </c>
      <c r="L56" s="5">
        <v>45500</v>
      </c>
      <c r="M56" s="5">
        <v>4875</v>
      </c>
      <c r="N56" s="5">
        <v>40625</v>
      </c>
    </row>
    <row r="57" spans="1:14">
      <c r="A57" t="s">
        <v>207</v>
      </c>
      <c r="B57" t="s">
        <v>199</v>
      </c>
      <c r="C57" t="s">
        <v>60</v>
      </c>
      <c r="D57" s="6">
        <v>0</v>
      </c>
      <c r="E57" t="s">
        <v>199</v>
      </c>
      <c r="F57" t="s">
        <v>46</v>
      </c>
      <c r="G57" t="s">
        <v>208</v>
      </c>
      <c r="H57" t="s">
        <v>209</v>
      </c>
      <c r="I57" s="5">
        <v>6272</v>
      </c>
      <c r="L57" s="5">
        <v>6272</v>
      </c>
      <c r="M57" s="7">
        <v>672</v>
      </c>
      <c r="N57" s="5">
        <v>5600</v>
      </c>
    </row>
    <row r="58" spans="1:14">
      <c r="A58" t="s">
        <v>210</v>
      </c>
      <c r="B58" t="s">
        <v>199</v>
      </c>
      <c r="C58" t="s">
        <v>60</v>
      </c>
      <c r="D58" s="6">
        <v>0</v>
      </c>
      <c r="E58" t="s">
        <v>199</v>
      </c>
      <c r="F58" t="s">
        <v>56</v>
      </c>
      <c r="G58" t="s">
        <v>211</v>
      </c>
      <c r="H58" t="s">
        <v>212</v>
      </c>
      <c r="I58" s="5">
        <v>56000</v>
      </c>
      <c r="L58" s="5">
        <v>56000</v>
      </c>
      <c r="M58" s="5">
        <v>6000</v>
      </c>
      <c r="N58" s="5">
        <v>50000</v>
      </c>
    </row>
    <row r="59" spans="1:14">
      <c r="A59" t="s">
        <v>213</v>
      </c>
      <c r="B59" t="s">
        <v>199</v>
      </c>
      <c r="C59" t="s">
        <v>60</v>
      </c>
      <c r="D59" s="6">
        <v>0</v>
      </c>
      <c r="E59" t="s">
        <v>199</v>
      </c>
      <c r="F59" t="s">
        <v>56</v>
      </c>
      <c r="G59" t="s">
        <v>211</v>
      </c>
      <c r="H59" t="s">
        <v>214</v>
      </c>
      <c r="I59" s="5">
        <v>28000</v>
      </c>
      <c r="L59" s="5">
        <v>28000</v>
      </c>
      <c r="M59" s="5">
        <v>3000</v>
      </c>
      <c r="N59" s="5">
        <v>25000</v>
      </c>
    </row>
    <row r="60" spans="1:14">
      <c r="A60" t="s">
        <v>215</v>
      </c>
      <c r="B60" t="s">
        <v>199</v>
      </c>
      <c r="C60" t="s">
        <v>60</v>
      </c>
      <c r="D60" s="6">
        <v>0</v>
      </c>
      <c r="E60" t="s">
        <v>199</v>
      </c>
      <c r="F60" t="s">
        <v>56</v>
      </c>
      <c r="G60" t="s">
        <v>211</v>
      </c>
      <c r="H60" t="s">
        <v>216</v>
      </c>
      <c r="I60" s="5">
        <v>28000</v>
      </c>
      <c r="L60" s="5">
        <v>28000</v>
      </c>
      <c r="M60" s="5">
        <v>3000</v>
      </c>
      <c r="N60" s="5">
        <v>25000</v>
      </c>
    </row>
    <row r="61" spans="1:14">
      <c r="A61" t="s">
        <v>217</v>
      </c>
      <c r="B61" t="s">
        <v>199</v>
      </c>
      <c r="C61" t="s">
        <v>29</v>
      </c>
      <c r="D61" s="6">
        <v>0</v>
      </c>
      <c r="E61" t="s">
        <v>199</v>
      </c>
      <c r="F61" t="s">
        <v>30</v>
      </c>
      <c r="G61" t="s">
        <v>218</v>
      </c>
      <c r="H61" t="s">
        <v>219</v>
      </c>
      <c r="I61" s="5">
        <v>1078560</v>
      </c>
      <c r="J61" s="4">
        <v>-32356.799999999999</v>
      </c>
      <c r="L61" s="5">
        <v>1046203.2</v>
      </c>
      <c r="M61" s="5">
        <v>112093.2</v>
      </c>
      <c r="N61" s="5">
        <v>934110</v>
      </c>
    </row>
    <row r="62" spans="1:14">
      <c r="A62" t="s">
        <v>220</v>
      </c>
      <c r="B62" t="s">
        <v>199</v>
      </c>
      <c r="C62" t="s">
        <v>60</v>
      </c>
      <c r="D62" s="6">
        <v>0</v>
      </c>
      <c r="E62" t="s">
        <v>199</v>
      </c>
      <c r="F62" t="s">
        <v>56</v>
      </c>
      <c r="G62" t="s">
        <v>190</v>
      </c>
      <c r="H62" t="s">
        <v>221</v>
      </c>
      <c r="I62" s="5">
        <v>11407.2</v>
      </c>
      <c r="L62" s="5">
        <v>11407.2</v>
      </c>
      <c r="M62" s="5">
        <v>1222.2</v>
      </c>
      <c r="N62" s="5">
        <v>10185</v>
      </c>
    </row>
    <row r="63" spans="1:14">
      <c r="A63" t="s">
        <v>222</v>
      </c>
      <c r="B63" t="s">
        <v>199</v>
      </c>
      <c r="C63" t="s">
        <v>23</v>
      </c>
      <c r="D63" s="6">
        <v>30</v>
      </c>
      <c r="E63" t="s">
        <v>223</v>
      </c>
      <c r="F63" t="s">
        <v>180</v>
      </c>
      <c r="G63" t="s">
        <v>224</v>
      </c>
      <c r="H63" t="s">
        <v>225</v>
      </c>
      <c r="I63" s="5">
        <v>68700</v>
      </c>
      <c r="L63" s="5">
        <v>68700</v>
      </c>
      <c r="M63" s="5">
        <v>7360.71</v>
      </c>
      <c r="N63" s="5">
        <v>61339.29</v>
      </c>
    </row>
    <row r="64" spans="1:14">
      <c r="A64" t="s">
        <v>226</v>
      </c>
      <c r="B64" t="s">
        <v>199</v>
      </c>
      <c r="C64" t="s">
        <v>29</v>
      </c>
      <c r="D64" s="6">
        <v>0</v>
      </c>
      <c r="E64" t="s">
        <v>199</v>
      </c>
      <c r="F64" t="s">
        <v>30</v>
      </c>
      <c r="G64" t="s">
        <v>31</v>
      </c>
      <c r="H64" t="s">
        <v>227</v>
      </c>
      <c r="I64" s="5">
        <v>23901</v>
      </c>
      <c r="L64" s="5">
        <v>23901</v>
      </c>
      <c r="M64" s="5">
        <v>2560.8200000000002</v>
      </c>
      <c r="N64" s="5">
        <v>21340.18</v>
      </c>
    </row>
    <row r="65" spans="1:14">
      <c r="A65" t="s">
        <v>228</v>
      </c>
      <c r="B65" t="s">
        <v>199</v>
      </c>
      <c r="C65" t="s">
        <v>29</v>
      </c>
      <c r="D65" s="6">
        <v>0</v>
      </c>
      <c r="E65" t="s">
        <v>199</v>
      </c>
      <c r="F65" t="s">
        <v>30</v>
      </c>
      <c r="G65" t="s">
        <v>31</v>
      </c>
      <c r="H65" t="s">
        <v>229</v>
      </c>
      <c r="I65" s="5">
        <v>266668</v>
      </c>
      <c r="L65" s="5">
        <v>266668</v>
      </c>
      <c r="M65" s="5">
        <v>28571.57</v>
      </c>
      <c r="N65" s="5">
        <v>238096.43</v>
      </c>
    </row>
    <row r="66" spans="1:14">
      <c r="A66" t="s">
        <v>230</v>
      </c>
      <c r="B66" t="s">
        <v>199</v>
      </c>
      <c r="C66" t="s">
        <v>68</v>
      </c>
      <c r="D66" s="6">
        <v>60</v>
      </c>
      <c r="E66" t="s">
        <v>200</v>
      </c>
      <c r="F66" t="s">
        <v>69</v>
      </c>
      <c r="G66" t="s">
        <v>70</v>
      </c>
      <c r="H66" t="s">
        <v>231</v>
      </c>
      <c r="I66" s="5">
        <v>2419200</v>
      </c>
      <c r="L66" s="5">
        <v>2419200</v>
      </c>
      <c r="M66" s="5">
        <v>259200</v>
      </c>
      <c r="N66" s="5">
        <v>2160000</v>
      </c>
    </row>
    <row r="67" spans="1:14">
      <c r="A67" t="s">
        <v>232</v>
      </c>
      <c r="B67" t="s">
        <v>199</v>
      </c>
      <c r="C67" t="s">
        <v>162</v>
      </c>
      <c r="D67" s="6">
        <v>90</v>
      </c>
      <c r="E67" t="s">
        <v>233</v>
      </c>
      <c r="F67" t="s">
        <v>56</v>
      </c>
      <c r="G67" t="s">
        <v>234</v>
      </c>
      <c r="H67" t="s">
        <v>235</v>
      </c>
      <c r="I67" s="5">
        <v>15682</v>
      </c>
      <c r="L67" s="5">
        <v>15682</v>
      </c>
      <c r="M67" s="5">
        <v>1680.21</v>
      </c>
      <c r="N67" s="5">
        <v>14001.79</v>
      </c>
    </row>
    <row r="68" spans="1:14">
      <c r="A68" t="s">
        <v>236</v>
      </c>
      <c r="B68" t="s">
        <v>199</v>
      </c>
      <c r="C68" t="s">
        <v>237</v>
      </c>
      <c r="D68" s="6">
        <v>60</v>
      </c>
      <c r="E68" t="s">
        <v>200</v>
      </c>
      <c r="F68" t="s">
        <v>180</v>
      </c>
      <c r="G68" t="s">
        <v>238</v>
      </c>
      <c r="H68" t="s">
        <v>239</v>
      </c>
      <c r="I68" s="5">
        <v>250950</v>
      </c>
      <c r="L68" s="5">
        <v>250950</v>
      </c>
      <c r="M68" s="5">
        <v>26887.5</v>
      </c>
      <c r="N68" s="5">
        <v>224062.5</v>
      </c>
    </row>
    <row r="69" spans="1:14">
      <c r="A69" t="s">
        <v>240</v>
      </c>
      <c r="B69" t="s">
        <v>199</v>
      </c>
      <c r="C69" t="s">
        <v>60</v>
      </c>
      <c r="D69" s="6">
        <v>0</v>
      </c>
      <c r="E69" t="s">
        <v>199</v>
      </c>
      <c r="F69" t="s">
        <v>56</v>
      </c>
      <c r="G69" t="s">
        <v>190</v>
      </c>
      <c r="H69" t="s">
        <v>241</v>
      </c>
      <c r="I69" s="5">
        <v>7760</v>
      </c>
      <c r="L69" s="5">
        <v>7760</v>
      </c>
      <c r="M69" s="7">
        <v>831.43</v>
      </c>
      <c r="N69" s="5">
        <v>6928.57</v>
      </c>
    </row>
    <row r="70" spans="1:14">
      <c r="A70" t="s">
        <v>242</v>
      </c>
      <c r="B70" t="s">
        <v>199</v>
      </c>
      <c r="C70" t="s">
        <v>243</v>
      </c>
      <c r="D70" s="6">
        <v>30</v>
      </c>
      <c r="E70" t="s">
        <v>223</v>
      </c>
      <c r="F70" t="s">
        <v>56</v>
      </c>
      <c r="G70" t="s">
        <v>244</v>
      </c>
      <c r="H70" t="s">
        <v>245</v>
      </c>
      <c r="I70" s="5">
        <v>28250</v>
      </c>
      <c r="L70" s="5">
        <v>28250</v>
      </c>
      <c r="M70" s="5">
        <v>3026.79</v>
      </c>
      <c r="N70" s="5">
        <v>25223.21</v>
      </c>
    </row>
    <row r="71" spans="1:14">
      <c r="A71" t="s">
        <v>246</v>
      </c>
      <c r="B71" t="s">
        <v>199</v>
      </c>
      <c r="C71" t="s">
        <v>73</v>
      </c>
      <c r="D71" s="6">
        <v>30</v>
      </c>
      <c r="E71" t="s">
        <v>223</v>
      </c>
      <c r="F71" t="s">
        <v>19</v>
      </c>
      <c r="G71" t="s">
        <v>247</v>
      </c>
      <c r="H71" t="s">
        <v>248</v>
      </c>
      <c r="I71" s="5">
        <v>468480</v>
      </c>
      <c r="L71" s="5">
        <v>468480</v>
      </c>
      <c r="M71" s="5">
        <v>50194.29</v>
      </c>
      <c r="N71" s="5">
        <v>418285.71</v>
      </c>
    </row>
    <row r="72" spans="1:14">
      <c r="A72" t="s">
        <v>249</v>
      </c>
      <c r="B72" t="s">
        <v>199</v>
      </c>
      <c r="C72" t="s">
        <v>146</v>
      </c>
      <c r="D72" s="6">
        <v>90</v>
      </c>
      <c r="E72" t="s">
        <v>233</v>
      </c>
      <c r="F72" t="s">
        <v>139</v>
      </c>
      <c r="G72" t="s">
        <v>250</v>
      </c>
      <c r="H72" t="s">
        <v>251</v>
      </c>
      <c r="I72" s="5">
        <v>101126</v>
      </c>
      <c r="L72" s="5">
        <v>101126</v>
      </c>
      <c r="M72" s="5">
        <v>10834.93</v>
      </c>
      <c r="N72" s="5">
        <v>90291.07</v>
      </c>
    </row>
    <row r="73" spans="1:14">
      <c r="A73" t="s">
        <v>252</v>
      </c>
      <c r="B73" t="s">
        <v>199</v>
      </c>
      <c r="C73" t="s">
        <v>68</v>
      </c>
      <c r="D73" s="6">
        <v>60</v>
      </c>
      <c r="E73" t="s">
        <v>200</v>
      </c>
      <c r="F73" t="s">
        <v>69</v>
      </c>
      <c r="G73" t="s">
        <v>253</v>
      </c>
      <c r="H73" t="s">
        <v>254</v>
      </c>
      <c r="I73" s="5">
        <v>219190</v>
      </c>
      <c r="L73" s="5">
        <v>219190</v>
      </c>
      <c r="M73" s="5">
        <v>23484.639999999999</v>
      </c>
      <c r="N73" s="5">
        <v>195705.36</v>
      </c>
    </row>
    <row r="74" spans="1:14">
      <c r="A74" t="s">
        <v>255</v>
      </c>
      <c r="B74" t="s">
        <v>199</v>
      </c>
      <c r="C74" t="s">
        <v>68</v>
      </c>
      <c r="D74" s="6">
        <v>60</v>
      </c>
      <c r="E74" t="s">
        <v>200</v>
      </c>
      <c r="F74" t="s">
        <v>69</v>
      </c>
      <c r="G74" t="s">
        <v>253</v>
      </c>
      <c r="H74" t="s">
        <v>256</v>
      </c>
      <c r="I74" s="5">
        <v>255015</v>
      </c>
      <c r="L74" s="5">
        <v>255015</v>
      </c>
      <c r="M74" s="5">
        <v>27323.040000000001</v>
      </c>
      <c r="N74" s="5">
        <v>227691.96</v>
      </c>
    </row>
    <row r="75" spans="1:14">
      <c r="A75" t="s">
        <v>257</v>
      </c>
      <c r="B75" t="s">
        <v>199</v>
      </c>
      <c r="C75" t="s">
        <v>68</v>
      </c>
      <c r="D75" s="6">
        <v>60</v>
      </c>
      <c r="E75" t="s">
        <v>200</v>
      </c>
      <c r="F75" t="s">
        <v>69</v>
      </c>
      <c r="G75" t="s">
        <v>253</v>
      </c>
      <c r="H75" t="s">
        <v>258</v>
      </c>
      <c r="I75" s="5">
        <v>264015</v>
      </c>
      <c r="L75" s="5">
        <v>264015</v>
      </c>
      <c r="M75" s="5">
        <v>28287.32</v>
      </c>
      <c r="N75" s="5">
        <v>235727.68</v>
      </c>
    </row>
    <row r="76" spans="1:14">
      <c r="A76" t="s">
        <v>259</v>
      </c>
      <c r="B76" t="s">
        <v>199</v>
      </c>
      <c r="C76" t="s">
        <v>68</v>
      </c>
      <c r="D76" s="6">
        <v>60</v>
      </c>
      <c r="E76" t="s">
        <v>200</v>
      </c>
      <c r="F76" t="s">
        <v>69</v>
      </c>
      <c r="G76" t="s">
        <v>253</v>
      </c>
      <c r="H76" t="s">
        <v>260</v>
      </c>
      <c r="I76" s="5">
        <v>168550</v>
      </c>
      <c r="L76" s="5">
        <v>168550</v>
      </c>
      <c r="M76" s="5">
        <v>18058.93</v>
      </c>
      <c r="N76" s="5">
        <v>150491.07</v>
      </c>
    </row>
    <row r="77" spans="1:14">
      <c r="A77" t="s">
        <v>261</v>
      </c>
      <c r="B77" t="s">
        <v>199</v>
      </c>
      <c r="C77" t="s">
        <v>68</v>
      </c>
      <c r="D77" s="6">
        <v>60</v>
      </c>
      <c r="E77" t="s">
        <v>200</v>
      </c>
      <c r="F77" t="s">
        <v>69</v>
      </c>
      <c r="G77" t="s">
        <v>253</v>
      </c>
      <c r="H77" t="s">
        <v>262</v>
      </c>
      <c r="I77" s="5">
        <v>228290</v>
      </c>
      <c r="L77" s="5">
        <v>228290</v>
      </c>
      <c r="M77" s="5">
        <v>24459.64</v>
      </c>
      <c r="N77" s="5">
        <v>203830.36</v>
      </c>
    </row>
    <row r="78" spans="1:14">
      <c r="A78" t="s">
        <v>263</v>
      </c>
      <c r="B78" t="s">
        <v>199</v>
      </c>
      <c r="C78" t="s">
        <v>151</v>
      </c>
      <c r="D78" s="6">
        <v>60</v>
      </c>
      <c r="E78" t="s">
        <v>200</v>
      </c>
      <c r="F78" t="s">
        <v>139</v>
      </c>
      <c r="G78" t="s">
        <v>264</v>
      </c>
      <c r="H78" t="s">
        <v>265</v>
      </c>
      <c r="I78" s="5">
        <v>20960</v>
      </c>
      <c r="L78" s="5">
        <v>20960</v>
      </c>
      <c r="M78" s="5">
        <v>2245.71</v>
      </c>
      <c r="N78" s="5">
        <v>18714.29</v>
      </c>
    </row>
    <row r="79" spans="1:14">
      <c r="A79" t="s">
        <v>266</v>
      </c>
      <c r="B79" t="s">
        <v>199</v>
      </c>
      <c r="C79" t="s">
        <v>73</v>
      </c>
      <c r="D79" s="6">
        <v>30</v>
      </c>
      <c r="E79" t="s">
        <v>223</v>
      </c>
      <c r="F79" t="s">
        <v>19</v>
      </c>
      <c r="G79" t="s">
        <v>267</v>
      </c>
      <c r="H79" t="s">
        <v>268</v>
      </c>
      <c r="I79" s="5">
        <v>219100</v>
      </c>
      <c r="K79" s="5">
        <v>7500</v>
      </c>
      <c r="L79" s="5">
        <v>226600</v>
      </c>
      <c r="M79" s="5">
        <v>24278.57</v>
      </c>
      <c r="N79" s="5">
        <v>202321.43</v>
      </c>
    </row>
    <row r="80" spans="1:14">
      <c r="A80" t="s">
        <v>269</v>
      </c>
      <c r="B80" t="s">
        <v>199</v>
      </c>
      <c r="C80" t="s">
        <v>73</v>
      </c>
      <c r="D80" s="6">
        <v>30</v>
      </c>
      <c r="E80" t="s">
        <v>223</v>
      </c>
      <c r="F80" t="s">
        <v>270</v>
      </c>
      <c r="G80" t="s">
        <v>271</v>
      </c>
      <c r="H80" t="s">
        <v>272</v>
      </c>
      <c r="I80" s="5">
        <v>220750</v>
      </c>
      <c r="L80" s="5">
        <v>220750</v>
      </c>
      <c r="N80" s="5">
        <v>220750</v>
      </c>
    </row>
    <row r="81" spans="1:14">
      <c r="A81" t="s">
        <v>273</v>
      </c>
      <c r="B81" t="s">
        <v>199</v>
      </c>
      <c r="C81" t="s">
        <v>104</v>
      </c>
      <c r="D81" s="6">
        <v>0</v>
      </c>
      <c r="E81" t="s">
        <v>199</v>
      </c>
      <c r="F81" t="s">
        <v>105</v>
      </c>
      <c r="G81" t="s">
        <v>274</v>
      </c>
      <c r="H81" t="s">
        <v>275</v>
      </c>
      <c r="I81" s="5">
        <v>55933</v>
      </c>
      <c r="J81" s="4">
        <v>-1118.6600000000001</v>
      </c>
      <c r="L81" s="5">
        <v>54814.34</v>
      </c>
      <c r="M81" s="5">
        <v>5872.97</v>
      </c>
      <c r="N81" s="5">
        <v>48941.37</v>
      </c>
    </row>
    <row r="82" spans="1:14">
      <c r="A82" t="s">
        <v>276</v>
      </c>
      <c r="B82" t="s">
        <v>199</v>
      </c>
      <c r="C82" t="s">
        <v>104</v>
      </c>
      <c r="D82" s="6">
        <v>0</v>
      </c>
      <c r="E82" t="s">
        <v>199</v>
      </c>
      <c r="F82" t="s">
        <v>69</v>
      </c>
      <c r="G82" t="s">
        <v>277</v>
      </c>
      <c r="H82" t="s">
        <v>278</v>
      </c>
      <c r="I82" s="5">
        <v>39907</v>
      </c>
      <c r="L82" s="5">
        <v>39907</v>
      </c>
      <c r="M82" s="5">
        <v>4275.75</v>
      </c>
      <c r="N82" s="5">
        <v>35631.25</v>
      </c>
    </row>
    <row r="83" spans="1:14">
      <c r="A83" t="s">
        <v>279</v>
      </c>
      <c r="B83" t="s">
        <v>199</v>
      </c>
      <c r="C83" t="s">
        <v>54</v>
      </c>
      <c r="D83" s="6">
        <v>90</v>
      </c>
      <c r="E83" t="s">
        <v>233</v>
      </c>
      <c r="F83" t="s">
        <v>56</v>
      </c>
      <c r="G83" t="s">
        <v>90</v>
      </c>
      <c r="H83" t="s">
        <v>280</v>
      </c>
      <c r="I83" s="5">
        <v>191133</v>
      </c>
      <c r="L83" s="5">
        <v>191133</v>
      </c>
      <c r="M83" s="5">
        <v>20478.54</v>
      </c>
      <c r="N83" s="5">
        <v>170654.46</v>
      </c>
    </row>
    <row r="84" spans="1:14">
      <c r="A84" t="s">
        <v>281</v>
      </c>
      <c r="B84" t="s">
        <v>282</v>
      </c>
      <c r="C84" t="s">
        <v>60</v>
      </c>
      <c r="D84" s="6">
        <v>0</v>
      </c>
      <c r="E84" t="s">
        <v>282</v>
      </c>
      <c r="F84" t="s">
        <v>19</v>
      </c>
      <c r="G84" t="s">
        <v>283</v>
      </c>
      <c r="H84" t="s">
        <v>284</v>
      </c>
      <c r="I84" s="5">
        <v>51923</v>
      </c>
      <c r="J84" s="4">
        <v>-1038.46</v>
      </c>
      <c r="L84" s="5">
        <v>50884.54</v>
      </c>
      <c r="M84" s="5">
        <v>5451.91</v>
      </c>
      <c r="N84" s="5">
        <v>45432.63</v>
      </c>
    </row>
    <row r="85" spans="1:14">
      <c r="A85" t="s">
        <v>285</v>
      </c>
      <c r="B85" t="s">
        <v>282</v>
      </c>
      <c r="C85" t="s">
        <v>34</v>
      </c>
      <c r="D85" s="6">
        <v>60</v>
      </c>
      <c r="E85" t="s">
        <v>286</v>
      </c>
      <c r="F85" t="s">
        <v>19</v>
      </c>
      <c r="G85" t="s">
        <v>287</v>
      </c>
      <c r="H85" t="s">
        <v>288</v>
      </c>
      <c r="I85" s="5">
        <v>19080</v>
      </c>
      <c r="L85" s="5">
        <v>19080</v>
      </c>
      <c r="M85" s="5">
        <v>2044.29</v>
      </c>
      <c r="N85" s="5">
        <v>17035.71</v>
      </c>
    </row>
    <row r="86" spans="1:14">
      <c r="A86" t="s">
        <v>289</v>
      </c>
      <c r="B86" t="s">
        <v>282</v>
      </c>
      <c r="C86" t="s">
        <v>54</v>
      </c>
      <c r="D86" s="6">
        <v>90</v>
      </c>
      <c r="E86" t="s">
        <v>290</v>
      </c>
      <c r="F86" t="s">
        <v>56</v>
      </c>
      <c r="G86" t="s">
        <v>90</v>
      </c>
      <c r="H86" t="s">
        <v>291</v>
      </c>
      <c r="I86" s="5">
        <v>282155</v>
      </c>
      <c r="L86" s="5">
        <v>282155</v>
      </c>
      <c r="M86" s="5">
        <v>30230.89</v>
      </c>
      <c r="N86" s="5">
        <v>251924.11</v>
      </c>
    </row>
    <row r="87" spans="1:14">
      <c r="A87" t="s">
        <v>292</v>
      </c>
      <c r="B87" t="s">
        <v>282</v>
      </c>
      <c r="C87" t="s">
        <v>60</v>
      </c>
      <c r="D87" s="6">
        <v>0</v>
      </c>
      <c r="E87" t="s">
        <v>282</v>
      </c>
      <c r="F87" t="s">
        <v>56</v>
      </c>
      <c r="G87" t="s">
        <v>293</v>
      </c>
      <c r="H87" t="s">
        <v>294</v>
      </c>
      <c r="I87" s="5">
        <v>58930</v>
      </c>
      <c r="L87" s="5">
        <v>58930</v>
      </c>
      <c r="M87" s="5">
        <v>6313.93</v>
      </c>
      <c r="N87" s="5">
        <v>52616.07</v>
      </c>
    </row>
    <row r="88" spans="1:14">
      <c r="A88" t="s">
        <v>295</v>
      </c>
      <c r="B88" t="s">
        <v>282</v>
      </c>
      <c r="C88" t="s">
        <v>23</v>
      </c>
      <c r="D88" s="6">
        <v>30</v>
      </c>
      <c r="E88" t="s">
        <v>296</v>
      </c>
      <c r="F88" t="s">
        <v>139</v>
      </c>
      <c r="G88" t="s">
        <v>297</v>
      </c>
      <c r="H88" t="s">
        <v>298</v>
      </c>
      <c r="I88" s="5">
        <v>19604</v>
      </c>
      <c r="L88" s="5">
        <v>19604</v>
      </c>
      <c r="M88" s="5">
        <v>2100.4299999999998</v>
      </c>
      <c r="N88" s="5">
        <v>17503.57</v>
      </c>
    </row>
    <row r="89" spans="1:14">
      <c r="A89" t="s">
        <v>299</v>
      </c>
      <c r="B89" t="s">
        <v>282</v>
      </c>
      <c r="C89" t="s">
        <v>60</v>
      </c>
      <c r="D89" s="6">
        <v>0</v>
      </c>
      <c r="E89" t="s">
        <v>282</v>
      </c>
      <c r="F89" t="s">
        <v>270</v>
      </c>
      <c r="G89" t="s">
        <v>300</v>
      </c>
      <c r="H89" t="s">
        <v>301</v>
      </c>
      <c r="I89" s="5">
        <v>67461.240000000005</v>
      </c>
      <c r="L89" s="5">
        <v>67461.240000000005</v>
      </c>
      <c r="M89" s="5">
        <v>7227.99</v>
      </c>
      <c r="N89" s="5">
        <v>60233.25</v>
      </c>
    </row>
    <row r="90" spans="1:14">
      <c r="A90" t="s">
        <v>302</v>
      </c>
      <c r="B90" t="s">
        <v>282</v>
      </c>
      <c r="C90" t="s">
        <v>237</v>
      </c>
      <c r="D90" s="6">
        <v>60</v>
      </c>
      <c r="E90" t="s">
        <v>286</v>
      </c>
      <c r="F90" t="s">
        <v>69</v>
      </c>
      <c r="G90" t="s">
        <v>303</v>
      </c>
      <c r="H90" t="s">
        <v>304</v>
      </c>
      <c r="I90" s="5">
        <v>112895</v>
      </c>
      <c r="L90" s="5">
        <v>112895</v>
      </c>
      <c r="M90" s="5">
        <v>12095.89</v>
      </c>
      <c r="N90" s="5">
        <v>100799.11</v>
      </c>
    </row>
    <row r="91" spans="1:14">
      <c r="A91" t="s">
        <v>305</v>
      </c>
      <c r="B91" t="s">
        <v>282</v>
      </c>
      <c r="C91" t="s">
        <v>237</v>
      </c>
      <c r="D91" s="6">
        <v>60</v>
      </c>
      <c r="E91" t="s">
        <v>286</v>
      </c>
      <c r="F91" t="s">
        <v>69</v>
      </c>
      <c r="G91" t="s">
        <v>303</v>
      </c>
      <c r="H91" t="s">
        <v>306</v>
      </c>
      <c r="I91" s="5">
        <v>300000</v>
      </c>
      <c r="L91" s="5">
        <v>300000</v>
      </c>
      <c r="M91" s="5">
        <v>32142.86</v>
      </c>
      <c r="N91" s="5">
        <v>267857.14</v>
      </c>
    </row>
    <row r="92" spans="1:14">
      <c r="A92" t="s">
        <v>307</v>
      </c>
      <c r="B92" t="s">
        <v>282</v>
      </c>
      <c r="C92" t="s">
        <v>237</v>
      </c>
      <c r="D92" s="6">
        <v>60</v>
      </c>
      <c r="E92" t="s">
        <v>286</v>
      </c>
      <c r="F92" t="s">
        <v>69</v>
      </c>
      <c r="G92" t="s">
        <v>303</v>
      </c>
      <c r="H92" t="s">
        <v>308</v>
      </c>
      <c r="I92" s="5">
        <v>120000</v>
      </c>
      <c r="L92" s="5">
        <v>120000</v>
      </c>
      <c r="M92" s="5">
        <v>12857.14</v>
      </c>
      <c r="N92" s="5">
        <v>107142.86</v>
      </c>
    </row>
    <row r="93" spans="1:14">
      <c r="A93" t="s">
        <v>309</v>
      </c>
      <c r="B93" t="s">
        <v>282</v>
      </c>
      <c r="C93" t="s">
        <v>237</v>
      </c>
      <c r="D93" s="6">
        <v>60</v>
      </c>
      <c r="E93" t="s">
        <v>286</v>
      </c>
      <c r="F93" t="s">
        <v>69</v>
      </c>
      <c r="G93" t="s">
        <v>303</v>
      </c>
      <c r="H93" t="s">
        <v>310</v>
      </c>
      <c r="I93" s="5">
        <v>24000</v>
      </c>
      <c r="L93" s="5">
        <v>24000</v>
      </c>
      <c r="M93" s="5">
        <v>2571.4299999999998</v>
      </c>
      <c r="N93" s="5">
        <v>21428.57</v>
      </c>
    </row>
    <row r="94" spans="1:14">
      <c r="A94" t="s">
        <v>311</v>
      </c>
      <c r="B94" t="s">
        <v>282</v>
      </c>
      <c r="C94" t="s">
        <v>162</v>
      </c>
      <c r="D94" s="6">
        <v>90</v>
      </c>
      <c r="E94" t="s">
        <v>290</v>
      </c>
      <c r="F94" t="s">
        <v>312</v>
      </c>
      <c r="G94" t="s">
        <v>313</v>
      </c>
      <c r="H94" t="s">
        <v>314</v>
      </c>
      <c r="I94" s="5">
        <v>159998.07999999999</v>
      </c>
      <c r="L94" s="5">
        <v>159998.07999999999</v>
      </c>
      <c r="M94" s="5">
        <v>17142.650000000001</v>
      </c>
      <c r="N94" s="5">
        <v>142855.43</v>
      </c>
    </row>
    <row r="95" spans="1:14">
      <c r="A95" t="s">
        <v>315</v>
      </c>
      <c r="B95" t="s">
        <v>282</v>
      </c>
      <c r="C95" t="s">
        <v>151</v>
      </c>
      <c r="D95" s="6">
        <v>60</v>
      </c>
      <c r="E95" t="s">
        <v>286</v>
      </c>
      <c r="F95" t="s">
        <v>56</v>
      </c>
      <c r="G95" t="s">
        <v>316</v>
      </c>
      <c r="H95" t="s">
        <v>317</v>
      </c>
      <c r="I95" s="5">
        <v>77013</v>
      </c>
      <c r="L95" s="5">
        <v>77013</v>
      </c>
      <c r="M95" s="5">
        <v>8251.39</v>
      </c>
      <c r="N95" s="5">
        <v>68761.61</v>
      </c>
    </row>
    <row r="96" spans="1:14">
      <c r="A96" t="s">
        <v>318</v>
      </c>
      <c r="B96" t="s">
        <v>282</v>
      </c>
      <c r="C96" t="s">
        <v>18</v>
      </c>
      <c r="D96" s="6">
        <v>0</v>
      </c>
      <c r="E96" t="s">
        <v>282</v>
      </c>
      <c r="F96" t="s">
        <v>180</v>
      </c>
      <c r="G96" t="s">
        <v>319</v>
      </c>
      <c r="H96" t="s">
        <v>320</v>
      </c>
      <c r="I96" s="5">
        <v>120900</v>
      </c>
      <c r="L96" s="5">
        <v>120900</v>
      </c>
      <c r="M96" s="5">
        <v>12953.57</v>
      </c>
      <c r="N96" s="5">
        <v>107946.43</v>
      </c>
    </row>
    <row r="97" spans="1:14">
      <c r="A97" t="s">
        <v>321</v>
      </c>
      <c r="B97" t="s">
        <v>282</v>
      </c>
      <c r="C97" t="s">
        <v>18</v>
      </c>
      <c r="D97" s="6">
        <v>0</v>
      </c>
      <c r="E97" t="s">
        <v>282</v>
      </c>
      <c r="F97" t="s">
        <v>180</v>
      </c>
      <c r="G97" t="s">
        <v>319</v>
      </c>
      <c r="H97" t="s">
        <v>322</v>
      </c>
      <c r="I97" s="5">
        <v>27500</v>
      </c>
      <c r="L97" s="5">
        <v>27500</v>
      </c>
      <c r="M97" s="5">
        <v>2946.43</v>
      </c>
      <c r="N97" s="5">
        <v>24553.57</v>
      </c>
    </row>
    <row r="98" spans="1:14">
      <c r="A98" t="s">
        <v>323</v>
      </c>
      <c r="B98" t="s">
        <v>282</v>
      </c>
      <c r="C98" t="s">
        <v>18</v>
      </c>
      <c r="D98" s="6">
        <v>0</v>
      </c>
      <c r="E98" t="s">
        <v>282</v>
      </c>
      <c r="F98" t="s">
        <v>180</v>
      </c>
      <c r="G98" t="s">
        <v>319</v>
      </c>
      <c r="H98" t="s">
        <v>324</v>
      </c>
      <c r="I98" s="5">
        <v>181100</v>
      </c>
      <c r="L98" s="5">
        <v>181100</v>
      </c>
      <c r="M98" s="5">
        <v>19403.57</v>
      </c>
      <c r="N98" s="5">
        <v>161696.43</v>
      </c>
    </row>
    <row r="99" spans="1:14">
      <c r="A99" t="s">
        <v>325</v>
      </c>
      <c r="B99" t="s">
        <v>282</v>
      </c>
      <c r="C99" t="s">
        <v>18</v>
      </c>
      <c r="D99" s="6">
        <v>0</v>
      </c>
      <c r="E99" t="s">
        <v>282</v>
      </c>
      <c r="F99" t="s">
        <v>56</v>
      </c>
      <c r="G99" t="s">
        <v>326</v>
      </c>
      <c r="H99" t="s">
        <v>327</v>
      </c>
      <c r="I99" s="5">
        <v>184000</v>
      </c>
      <c r="J99" s="4">
        <v>-3680</v>
      </c>
      <c r="L99" s="5">
        <v>180320</v>
      </c>
      <c r="M99" s="5">
        <v>19320</v>
      </c>
      <c r="N99" s="5">
        <v>161000</v>
      </c>
    </row>
    <row r="100" spans="1:14">
      <c r="A100" t="s">
        <v>328</v>
      </c>
      <c r="B100" t="s">
        <v>282</v>
      </c>
      <c r="C100" t="s">
        <v>34</v>
      </c>
      <c r="D100" s="6">
        <v>60</v>
      </c>
      <c r="E100" t="s">
        <v>286</v>
      </c>
      <c r="F100" t="s">
        <v>329</v>
      </c>
      <c r="G100" t="s">
        <v>330</v>
      </c>
      <c r="H100" t="s">
        <v>331</v>
      </c>
      <c r="I100" s="5">
        <v>338400</v>
      </c>
      <c r="L100" s="5">
        <v>338400</v>
      </c>
      <c r="M100" s="5">
        <v>36257.14</v>
      </c>
      <c r="N100" s="5">
        <v>302142.86</v>
      </c>
    </row>
    <row r="101" spans="1:14">
      <c r="A101" t="s">
        <v>332</v>
      </c>
      <c r="B101" t="s">
        <v>282</v>
      </c>
      <c r="C101" t="s">
        <v>333</v>
      </c>
      <c r="D101" s="6">
        <v>30</v>
      </c>
      <c r="E101" t="s">
        <v>296</v>
      </c>
      <c r="F101" t="s">
        <v>270</v>
      </c>
      <c r="G101" t="s">
        <v>334</v>
      </c>
      <c r="H101" t="s">
        <v>335</v>
      </c>
      <c r="I101" s="5">
        <v>88200</v>
      </c>
      <c r="L101" s="5">
        <v>88200</v>
      </c>
      <c r="M101" s="5">
        <v>9450</v>
      </c>
      <c r="N101" s="5">
        <v>78750</v>
      </c>
    </row>
    <row r="102" spans="1:14">
      <c r="A102" t="s">
        <v>336</v>
      </c>
      <c r="B102" t="s">
        <v>282</v>
      </c>
      <c r="C102" t="s">
        <v>237</v>
      </c>
      <c r="D102" s="6">
        <v>60</v>
      </c>
      <c r="E102" t="s">
        <v>286</v>
      </c>
      <c r="F102" t="s">
        <v>270</v>
      </c>
      <c r="G102" t="s">
        <v>337</v>
      </c>
      <c r="H102" t="s">
        <v>338</v>
      </c>
      <c r="I102" s="5">
        <v>143215</v>
      </c>
      <c r="L102" s="5">
        <v>143215</v>
      </c>
      <c r="M102" s="5">
        <v>15344.46</v>
      </c>
      <c r="N102" s="5">
        <v>127870.54</v>
      </c>
    </row>
    <row r="103" spans="1:14">
      <c r="A103" t="s">
        <v>339</v>
      </c>
      <c r="B103" t="s">
        <v>282</v>
      </c>
      <c r="C103" t="s">
        <v>333</v>
      </c>
      <c r="D103" s="6">
        <v>30</v>
      </c>
      <c r="E103" t="s">
        <v>296</v>
      </c>
      <c r="F103" t="s">
        <v>270</v>
      </c>
      <c r="G103" t="s">
        <v>340</v>
      </c>
      <c r="H103" t="s">
        <v>341</v>
      </c>
      <c r="I103" s="5">
        <v>309050</v>
      </c>
      <c r="L103" s="5">
        <v>309050</v>
      </c>
      <c r="M103" s="5">
        <v>33112.5</v>
      </c>
      <c r="N103" s="5">
        <v>275937.5</v>
      </c>
    </row>
    <row r="104" spans="1:14">
      <c r="A104" t="s">
        <v>342</v>
      </c>
      <c r="B104" t="s">
        <v>282</v>
      </c>
      <c r="C104" t="s">
        <v>333</v>
      </c>
      <c r="D104" s="6">
        <v>30</v>
      </c>
      <c r="E104" t="s">
        <v>296</v>
      </c>
      <c r="F104" t="s">
        <v>270</v>
      </c>
      <c r="G104" t="s">
        <v>340</v>
      </c>
      <c r="H104" t="s">
        <v>343</v>
      </c>
      <c r="I104" s="5">
        <v>196112</v>
      </c>
      <c r="L104" s="5">
        <v>196112</v>
      </c>
      <c r="M104" s="5">
        <v>21012</v>
      </c>
      <c r="N104" s="5">
        <v>175100</v>
      </c>
    </row>
    <row r="105" spans="1:14">
      <c r="A105" t="s">
        <v>344</v>
      </c>
      <c r="B105" t="s">
        <v>282</v>
      </c>
      <c r="C105" t="s">
        <v>18</v>
      </c>
      <c r="D105" s="6">
        <v>0</v>
      </c>
      <c r="E105" t="s">
        <v>282</v>
      </c>
      <c r="F105" t="s">
        <v>56</v>
      </c>
      <c r="G105" t="s">
        <v>345</v>
      </c>
      <c r="H105" t="s">
        <v>346</v>
      </c>
      <c r="I105" s="5">
        <v>116996</v>
      </c>
      <c r="L105" s="5">
        <v>116996</v>
      </c>
      <c r="M105" s="5">
        <v>12535.29</v>
      </c>
      <c r="N105" s="5">
        <v>104460.71</v>
      </c>
    </row>
    <row r="106" spans="1:14">
      <c r="A106" t="s">
        <v>347</v>
      </c>
      <c r="B106" t="s">
        <v>282</v>
      </c>
      <c r="C106" t="s">
        <v>73</v>
      </c>
      <c r="D106" s="6">
        <v>30</v>
      </c>
      <c r="E106" t="s">
        <v>296</v>
      </c>
      <c r="F106" t="s">
        <v>19</v>
      </c>
      <c r="G106" t="s">
        <v>267</v>
      </c>
      <c r="H106" t="s">
        <v>348</v>
      </c>
      <c r="I106" s="5">
        <v>23800</v>
      </c>
      <c r="K106" s="5">
        <v>8200</v>
      </c>
      <c r="L106" s="5">
        <v>32000</v>
      </c>
      <c r="M106" s="5">
        <v>3428.57</v>
      </c>
      <c r="N106" s="5">
        <v>28571.43</v>
      </c>
    </row>
    <row r="107" spans="1:14">
      <c r="A107" t="s">
        <v>349</v>
      </c>
      <c r="B107" t="s">
        <v>282</v>
      </c>
      <c r="C107" t="s">
        <v>73</v>
      </c>
      <c r="D107" s="6">
        <v>30</v>
      </c>
      <c r="E107" t="s">
        <v>296</v>
      </c>
      <c r="F107" t="s">
        <v>19</v>
      </c>
      <c r="G107" t="s">
        <v>267</v>
      </c>
      <c r="H107" t="s">
        <v>350</v>
      </c>
      <c r="I107" s="5">
        <v>104000</v>
      </c>
      <c r="L107" s="5">
        <v>104000</v>
      </c>
      <c r="M107" s="5">
        <v>11142.86</v>
      </c>
      <c r="N107" s="5">
        <v>92857.14</v>
      </c>
    </row>
    <row r="108" spans="1:14">
      <c r="A108" t="s">
        <v>351</v>
      </c>
      <c r="B108" t="s">
        <v>282</v>
      </c>
      <c r="C108" t="s">
        <v>34</v>
      </c>
      <c r="D108" s="6">
        <v>60</v>
      </c>
      <c r="E108" t="s">
        <v>286</v>
      </c>
      <c r="F108" t="s">
        <v>180</v>
      </c>
      <c r="G108" t="s">
        <v>352</v>
      </c>
      <c r="H108" t="s">
        <v>353</v>
      </c>
      <c r="I108" s="5">
        <v>22908</v>
      </c>
      <c r="L108" s="5">
        <v>22908</v>
      </c>
      <c r="M108" s="5">
        <v>2454.4299999999998</v>
      </c>
      <c r="N108" s="5">
        <v>20453.57</v>
      </c>
    </row>
    <row r="109" spans="1:14">
      <c r="A109" t="s">
        <v>354</v>
      </c>
      <c r="B109" t="s">
        <v>282</v>
      </c>
      <c r="C109" t="s">
        <v>54</v>
      </c>
      <c r="D109" s="6">
        <v>90</v>
      </c>
      <c r="E109" t="s">
        <v>290</v>
      </c>
      <c r="F109" t="s">
        <v>56</v>
      </c>
      <c r="G109" t="s">
        <v>355</v>
      </c>
      <c r="H109" t="s">
        <v>356</v>
      </c>
      <c r="I109" s="5">
        <v>97500</v>
      </c>
      <c r="L109" s="5">
        <v>97500</v>
      </c>
      <c r="M109" s="5">
        <v>10446.43</v>
      </c>
      <c r="N109" s="5">
        <v>87053.57</v>
      </c>
    </row>
    <row r="110" spans="1:14">
      <c r="A110" t="s">
        <v>357</v>
      </c>
      <c r="B110" t="s">
        <v>282</v>
      </c>
      <c r="C110" t="s">
        <v>54</v>
      </c>
      <c r="D110" s="6">
        <v>90</v>
      </c>
      <c r="E110" t="s">
        <v>290</v>
      </c>
      <c r="F110" t="s">
        <v>56</v>
      </c>
      <c r="G110" t="s">
        <v>355</v>
      </c>
      <c r="H110" t="s">
        <v>358</v>
      </c>
      <c r="I110" s="5">
        <v>60000</v>
      </c>
      <c r="L110" s="5">
        <v>60000</v>
      </c>
      <c r="M110" s="5">
        <v>6428.57</v>
      </c>
      <c r="N110" s="5">
        <v>53571.43</v>
      </c>
    </row>
    <row r="111" spans="1:14">
      <c r="A111" t="s">
        <v>359</v>
      </c>
      <c r="B111" t="s">
        <v>282</v>
      </c>
      <c r="C111" t="s">
        <v>54</v>
      </c>
      <c r="D111" s="6">
        <v>90</v>
      </c>
      <c r="E111" t="s">
        <v>290</v>
      </c>
      <c r="F111" t="s">
        <v>56</v>
      </c>
      <c r="G111" t="s">
        <v>355</v>
      </c>
      <c r="H111" t="s">
        <v>360</v>
      </c>
      <c r="I111" s="5">
        <v>377482</v>
      </c>
      <c r="L111" s="5">
        <v>377482</v>
      </c>
      <c r="M111" s="5">
        <v>40444.5</v>
      </c>
      <c r="N111" s="5">
        <v>337037.5</v>
      </c>
    </row>
    <row r="112" spans="1:14">
      <c r="A112" t="s">
        <v>361</v>
      </c>
      <c r="B112" t="s">
        <v>282</v>
      </c>
      <c r="C112" t="s">
        <v>167</v>
      </c>
      <c r="D112" s="6">
        <v>90</v>
      </c>
      <c r="E112" t="s">
        <v>290</v>
      </c>
      <c r="F112" t="s">
        <v>56</v>
      </c>
      <c r="G112" t="s">
        <v>190</v>
      </c>
      <c r="H112" t="s">
        <v>362</v>
      </c>
      <c r="I112" s="5">
        <v>260736</v>
      </c>
      <c r="L112" s="5">
        <v>260736</v>
      </c>
      <c r="M112" s="5">
        <v>27936</v>
      </c>
      <c r="N112" s="5">
        <v>232800</v>
      </c>
    </row>
    <row r="113" spans="1:14">
      <c r="A113" t="s">
        <v>363</v>
      </c>
      <c r="B113" t="s">
        <v>282</v>
      </c>
      <c r="C113" t="s">
        <v>162</v>
      </c>
      <c r="D113" s="6">
        <v>90</v>
      </c>
      <c r="E113" t="s">
        <v>290</v>
      </c>
      <c r="F113" t="s">
        <v>36</v>
      </c>
      <c r="G113" t="s">
        <v>193</v>
      </c>
      <c r="H113" t="s">
        <v>364</v>
      </c>
      <c r="I113" s="5">
        <v>28636</v>
      </c>
      <c r="L113" s="5">
        <v>28636</v>
      </c>
      <c r="M113" s="5">
        <v>3068.14</v>
      </c>
      <c r="N113" s="5">
        <v>25567.86</v>
      </c>
    </row>
    <row r="114" spans="1:14">
      <c r="A114" t="s">
        <v>365</v>
      </c>
      <c r="B114" t="s">
        <v>282</v>
      </c>
      <c r="C114" t="s">
        <v>167</v>
      </c>
      <c r="D114" s="6">
        <v>90</v>
      </c>
      <c r="E114" t="s">
        <v>290</v>
      </c>
      <c r="F114" t="s">
        <v>56</v>
      </c>
      <c r="G114" t="s">
        <v>190</v>
      </c>
      <c r="H114" t="s">
        <v>366</v>
      </c>
      <c r="I114" s="5">
        <v>229696</v>
      </c>
      <c r="L114" s="5">
        <v>229696</v>
      </c>
      <c r="M114" s="5">
        <v>24610.29</v>
      </c>
      <c r="N114" s="5">
        <v>205085.71</v>
      </c>
    </row>
    <row r="115" spans="1:14">
      <c r="A115" t="s">
        <v>367</v>
      </c>
      <c r="B115" t="s">
        <v>368</v>
      </c>
      <c r="C115" t="s">
        <v>369</v>
      </c>
      <c r="D115" s="6">
        <v>30</v>
      </c>
      <c r="E115" t="s">
        <v>370</v>
      </c>
      <c r="F115" t="s">
        <v>139</v>
      </c>
      <c r="G115" t="s">
        <v>371</v>
      </c>
      <c r="H115" t="s">
        <v>372</v>
      </c>
      <c r="I115" s="5">
        <v>256067</v>
      </c>
      <c r="L115" s="5">
        <v>256067</v>
      </c>
      <c r="M115" s="5">
        <v>27435.75</v>
      </c>
      <c r="N115" s="5">
        <v>228631.25</v>
      </c>
    </row>
    <row r="116" spans="1:14">
      <c r="A116" t="s">
        <v>373</v>
      </c>
      <c r="B116" t="s">
        <v>368</v>
      </c>
      <c r="C116" t="s">
        <v>94</v>
      </c>
      <c r="D116" s="6">
        <v>0</v>
      </c>
      <c r="E116" t="s">
        <v>368</v>
      </c>
      <c r="F116" t="s">
        <v>46</v>
      </c>
      <c r="G116" t="s">
        <v>95</v>
      </c>
      <c r="H116" t="s">
        <v>374</v>
      </c>
      <c r="I116" s="5">
        <v>263200</v>
      </c>
      <c r="L116" s="5">
        <v>263200</v>
      </c>
      <c r="M116" s="5">
        <v>28200</v>
      </c>
      <c r="N116" s="5">
        <v>235000</v>
      </c>
    </row>
    <row r="117" spans="1:14">
      <c r="A117" t="s">
        <v>375</v>
      </c>
      <c r="B117" t="s">
        <v>368</v>
      </c>
      <c r="C117" t="s">
        <v>34</v>
      </c>
      <c r="D117" s="6">
        <v>60</v>
      </c>
      <c r="E117" t="s">
        <v>376</v>
      </c>
      <c r="F117" t="s">
        <v>30</v>
      </c>
      <c r="G117" t="s">
        <v>201</v>
      </c>
      <c r="H117" t="s">
        <v>377</v>
      </c>
      <c r="I117" s="5">
        <v>48000</v>
      </c>
      <c r="L117" s="5">
        <v>48000</v>
      </c>
      <c r="M117" s="5">
        <v>5142.8599999999997</v>
      </c>
      <c r="N117" s="5">
        <v>42857.14</v>
      </c>
    </row>
    <row r="118" spans="1:14">
      <c r="A118" t="s">
        <v>378</v>
      </c>
      <c r="B118" t="s">
        <v>368</v>
      </c>
      <c r="C118" t="s">
        <v>369</v>
      </c>
      <c r="D118" s="6">
        <v>30</v>
      </c>
      <c r="E118" t="s">
        <v>370</v>
      </c>
      <c r="F118" t="s">
        <v>139</v>
      </c>
      <c r="G118" t="s">
        <v>371</v>
      </c>
      <c r="H118" t="s">
        <v>379</v>
      </c>
      <c r="I118" s="5">
        <v>47040</v>
      </c>
      <c r="L118" s="5">
        <v>47040</v>
      </c>
      <c r="M118" s="5">
        <v>5040</v>
      </c>
      <c r="N118" s="5">
        <v>42000</v>
      </c>
    </row>
    <row r="119" spans="1:14">
      <c r="A119" t="s">
        <v>380</v>
      </c>
      <c r="B119" t="s">
        <v>368</v>
      </c>
      <c r="C119" t="s">
        <v>369</v>
      </c>
      <c r="D119" s="6">
        <v>30</v>
      </c>
      <c r="E119" t="s">
        <v>370</v>
      </c>
      <c r="F119" t="s">
        <v>139</v>
      </c>
      <c r="G119" t="s">
        <v>371</v>
      </c>
      <c r="H119" t="s">
        <v>381</v>
      </c>
      <c r="I119" s="5">
        <v>143520</v>
      </c>
      <c r="L119" s="5">
        <v>143520</v>
      </c>
      <c r="M119" s="5">
        <v>15377.14</v>
      </c>
      <c r="N119" s="5">
        <v>128142.86</v>
      </c>
    </row>
    <row r="120" spans="1:14">
      <c r="A120" t="s">
        <v>382</v>
      </c>
      <c r="B120" t="s">
        <v>368</v>
      </c>
      <c r="C120" t="s">
        <v>146</v>
      </c>
      <c r="D120" s="6">
        <v>90</v>
      </c>
      <c r="E120" t="s">
        <v>383</v>
      </c>
      <c r="F120" t="s">
        <v>30</v>
      </c>
      <c r="G120" t="s">
        <v>384</v>
      </c>
      <c r="H120" t="s">
        <v>385</v>
      </c>
      <c r="I120" s="5">
        <v>723750</v>
      </c>
      <c r="L120" s="5">
        <v>723750</v>
      </c>
      <c r="M120" s="5">
        <v>77544.639999999999</v>
      </c>
      <c r="N120" s="5">
        <v>646205.36</v>
      </c>
    </row>
    <row r="121" spans="1:14">
      <c r="A121" t="s">
        <v>386</v>
      </c>
      <c r="B121" t="s">
        <v>368</v>
      </c>
      <c r="C121" t="s">
        <v>60</v>
      </c>
      <c r="D121" s="6">
        <v>0</v>
      </c>
      <c r="E121" t="s">
        <v>368</v>
      </c>
      <c r="F121" t="s">
        <v>56</v>
      </c>
      <c r="G121" t="s">
        <v>190</v>
      </c>
      <c r="H121" t="s">
        <v>387</v>
      </c>
      <c r="I121" s="5">
        <v>208317.2</v>
      </c>
      <c r="L121" s="5">
        <v>208317.2</v>
      </c>
      <c r="M121" s="5">
        <v>22319.7</v>
      </c>
      <c r="N121" s="5">
        <v>185997.5</v>
      </c>
    </row>
    <row r="122" spans="1:14">
      <c r="A122" t="s">
        <v>388</v>
      </c>
      <c r="B122" t="s">
        <v>368</v>
      </c>
      <c r="C122" t="s">
        <v>237</v>
      </c>
      <c r="D122" s="6">
        <v>60</v>
      </c>
      <c r="E122" t="s">
        <v>376</v>
      </c>
      <c r="F122" t="s">
        <v>19</v>
      </c>
      <c r="G122" t="s">
        <v>389</v>
      </c>
      <c r="H122" t="s">
        <v>390</v>
      </c>
      <c r="I122" s="5">
        <v>63000</v>
      </c>
      <c r="L122" s="5">
        <v>63000</v>
      </c>
      <c r="M122" s="5">
        <v>6750</v>
      </c>
      <c r="N122" s="5">
        <v>56250</v>
      </c>
    </row>
    <row r="123" spans="1:14">
      <c r="A123" t="s">
        <v>391</v>
      </c>
      <c r="B123" t="s">
        <v>368</v>
      </c>
      <c r="C123" t="s">
        <v>98</v>
      </c>
      <c r="D123" s="6">
        <v>0</v>
      </c>
      <c r="E123" t="s">
        <v>368</v>
      </c>
      <c r="F123" t="s">
        <v>46</v>
      </c>
      <c r="G123" t="s">
        <v>392</v>
      </c>
      <c r="H123" t="s">
        <v>393</v>
      </c>
      <c r="I123" s="5">
        <v>135450</v>
      </c>
      <c r="L123" s="5">
        <v>135450</v>
      </c>
      <c r="M123" s="5">
        <v>14512.5</v>
      </c>
      <c r="N123" s="5">
        <v>120937.5</v>
      </c>
    </row>
    <row r="124" spans="1:14">
      <c r="A124" t="s">
        <v>394</v>
      </c>
      <c r="B124" t="s">
        <v>368</v>
      </c>
      <c r="C124" t="s">
        <v>167</v>
      </c>
      <c r="D124" s="6">
        <v>90</v>
      </c>
      <c r="E124" t="s">
        <v>383</v>
      </c>
      <c r="F124" t="s">
        <v>56</v>
      </c>
      <c r="G124" t="s">
        <v>168</v>
      </c>
      <c r="H124" t="s">
        <v>395</v>
      </c>
      <c r="I124" s="5">
        <v>82150</v>
      </c>
      <c r="L124" s="5">
        <v>82150</v>
      </c>
      <c r="M124" s="5">
        <v>8801.7900000000009</v>
      </c>
      <c r="N124" s="5">
        <v>73348.210000000006</v>
      </c>
    </row>
    <row r="125" spans="1:14">
      <c r="A125" t="s">
        <v>396</v>
      </c>
      <c r="B125" t="s">
        <v>368</v>
      </c>
      <c r="C125" t="s">
        <v>167</v>
      </c>
      <c r="D125" s="6">
        <v>90</v>
      </c>
      <c r="E125" t="s">
        <v>383</v>
      </c>
      <c r="F125" t="s">
        <v>56</v>
      </c>
      <c r="G125" t="s">
        <v>168</v>
      </c>
      <c r="H125" t="s">
        <v>397</v>
      </c>
      <c r="I125" s="5">
        <v>175940</v>
      </c>
      <c r="L125" s="5">
        <v>175940</v>
      </c>
      <c r="M125" s="5">
        <v>18850.71</v>
      </c>
      <c r="N125" s="5">
        <v>157089.29</v>
      </c>
    </row>
    <row r="126" spans="1:14">
      <c r="A126" t="s">
        <v>398</v>
      </c>
      <c r="B126" t="s">
        <v>368</v>
      </c>
      <c r="C126" t="s">
        <v>162</v>
      </c>
      <c r="D126" s="6">
        <v>90</v>
      </c>
      <c r="E126" t="s">
        <v>383</v>
      </c>
      <c r="F126" t="s">
        <v>204</v>
      </c>
      <c r="G126" t="s">
        <v>399</v>
      </c>
      <c r="H126" t="s">
        <v>400</v>
      </c>
      <c r="I126" s="5">
        <v>73090</v>
      </c>
      <c r="L126" s="5">
        <v>73090</v>
      </c>
      <c r="M126" s="5">
        <v>7831.07</v>
      </c>
      <c r="N126" s="5">
        <v>65258.93</v>
      </c>
    </row>
    <row r="127" spans="1:14">
      <c r="A127" t="s">
        <v>401</v>
      </c>
      <c r="B127" t="s">
        <v>368</v>
      </c>
      <c r="C127" t="s">
        <v>29</v>
      </c>
      <c r="D127" s="6">
        <v>0</v>
      </c>
      <c r="E127" t="s">
        <v>368</v>
      </c>
      <c r="F127" t="s">
        <v>30</v>
      </c>
      <c r="G127" t="s">
        <v>31</v>
      </c>
      <c r="H127" t="s">
        <v>402</v>
      </c>
      <c r="I127" s="5">
        <v>49593</v>
      </c>
      <c r="L127" s="5">
        <v>49593</v>
      </c>
      <c r="M127" s="5">
        <v>5313.54</v>
      </c>
      <c r="N127" s="5">
        <v>44279.46</v>
      </c>
    </row>
    <row r="128" spans="1:14">
      <c r="A128" t="s">
        <v>403</v>
      </c>
      <c r="B128" t="s">
        <v>368</v>
      </c>
      <c r="C128" t="s">
        <v>29</v>
      </c>
      <c r="D128" s="6">
        <v>0</v>
      </c>
      <c r="E128" t="s">
        <v>368</v>
      </c>
      <c r="F128" t="s">
        <v>30</v>
      </c>
      <c r="G128" t="s">
        <v>31</v>
      </c>
      <c r="H128" t="s">
        <v>404</v>
      </c>
      <c r="I128" s="5">
        <v>148779</v>
      </c>
      <c r="L128" s="5">
        <v>148779</v>
      </c>
      <c r="M128" s="5">
        <v>15940.61</v>
      </c>
      <c r="N128" s="5">
        <v>132838.39000000001</v>
      </c>
    </row>
    <row r="129" spans="1:14">
      <c r="A129" t="s">
        <v>405</v>
      </c>
      <c r="B129" t="s">
        <v>368</v>
      </c>
      <c r="C129" t="s">
        <v>60</v>
      </c>
      <c r="D129" s="6">
        <v>0</v>
      </c>
      <c r="E129" t="s">
        <v>368</v>
      </c>
      <c r="F129" t="s">
        <v>30</v>
      </c>
      <c r="G129" t="s">
        <v>406</v>
      </c>
      <c r="H129" t="s">
        <v>407</v>
      </c>
      <c r="I129" s="5">
        <v>117600</v>
      </c>
      <c r="J129" s="4">
        <v>-3528</v>
      </c>
      <c r="L129" s="5">
        <v>114072</v>
      </c>
      <c r="M129" s="5">
        <v>12222</v>
      </c>
      <c r="N129" s="5">
        <v>101850</v>
      </c>
    </row>
    <row r="130" spans="1:14">
      <c r="A130" t="s">
        <v>408</v>
      </c>
      <c r="B130" t="s">
        <v>368</v>
      </c>
      <c r="C130" t="s">
        <v>146</v>
      </c>
      <c r="D130" s="6">
        <v>90</v>
      </c>
      <c r="E130" t="s">
        <v>383</v>
      </c>
      <c r="F130" t="s">
        <v>139</v>
      </c>
      <c r="G130" t="s">
        <v>409</v>
      </c>
      <c r="H130" t="s">
        <v>410</v>
      </c>
      <c r="I130" s="5">
        <v>1485206</v>
      </c>
      <c r="L130" s="5">
        <v>1485206</v>
      </c>
      <c r="M130" s="5">
        <v>159129.21</v>
      </c>
      <c r="N130" s="5">
        <v>1326076.79</v>
      </c>
    </row>
    <row r="131" spans="1:14">
      <c r="A131" t="s">
        <v>411</v>
      </c>
      <c r="B131" t="s">
        <v>368</v>
      </c>
      <c r="C131" t="s">
        <v>18</v>
      </c>
      <c r="D131" s="6">
        <v>0</v>
      </c>
      <c r="E131" t="s">
        <v>368</v>
      </c>
      <c r="F131" t="s">
        <v>56</v>
      </c>
      <c r="G131" t="s">
        <v>412</v>
      </c>
      <c r="H131" t="s">
        <v>413</v>
      </c>
      <c r="I131" s="5">
        <v>1211223</v>
      </c>
      <c r="J131" s="4">
        <v>-36336.69</v>
      </c>
      <c r="L131" s="5">
        <v>1174886.31</v>
      </c>
      <c r="M131" s="5">
        <v>125880.68</v>
      </c>
      <c r="N131" s="5">
        <v>1049005.6299999999</v>
      </c>
    </row>
    <row r="132" spans="1:14">
      <c r="A132" t="s">
        <v>414</v>
      </c>
      <c r="B132" t="s">
        <v>368</v>
      </c>
      <c r="C132" t="s">
        <v>146</v>
      </c>
      <c r="D132" s="6">
        <v>90</v>
      </c>
      <c r="E132" t="s">
        <v>383</v>
      </c>
      <c r="F132" t="s">
        <v>19</v>
      </c>
      <c r="G132" t="s">
        <v>415</v>
      </c>
      <c r="H132" t="s">
        <v>416</v>
      </c>
      <c r="I132" s="5">
        <v>161080</v>
      </c>
      <c r="L132" s="5">
        <v>161080</v>
      </c>
      <c r="M132" s="5">
        <v>17258.57</v>
      </c>
      <c r="N132" s="5">
        <v>143821.43</v>
      </c>
    </row>
    <row r="133" spans="1:14">
      <c r="A133" t="s">
        <v>417</v>
      </c>
      <c r="B133" t="s">
        <v>368</v>
      </c>
      <c r="C133" t="s">
        <v>146</v>
      </c>
      <c r="D133" s="6">
        <v>90</v>
      </c>
      <c r="E133" t="s">
        <v>383</v>
      </c>
      <c r="F133" t="s">
        <v>19</v>
      </c>
      <c r="G133" t="s">
        <v>415</v>
      </c>
      <c r="H133" t="s">
        <v>418</v>
      </c>
      <c r="I133" s="5">
        <v>912912</v>
      </c>
      <c r="L133" s="5">
        <v>912912</v>
      </c>
      <c r="M133" s="5">
        <v>97812</v>
      </c>
      <c r="N133" s="5">
        <v>815100</v>
      </c>
    </row>
    <row r="134" spans="1:14">
      <c r="A134" t="s">
        <v>419</v>
      </c>
      <c r="B134" t="s">
        <v>368</v>
      </c>
      <c r="C134" t="s">
        <v>73</v>
      </c>
      <c r="D134" s="6">
        <v>30</v>
      </c>
      <c r="E134" t="s">
        <v>370</v>
      </c>
      <c r="F134" t="s">
        <v>69</v>
      </c>
      <c r="G134" t="s">
        <v>420</v>
      </c>
      <c r="H134" t="s">
        <v>421</v>
      </c>
      <c r="I134" s="5">
        <v>140025</v>
      </c>
      <c r="K134" s="5">
        <v>25000</v>
      </c>
      <c r="L134" s="5">
        <v>165025</v>
      </c>
      <c r="M134" s="5">
        <v>17681.25</v>
      </c>
      <c r="N134" s="5">
        <v>147343.75</v>
      </c>
    </row>
    <row r="135" spans="1:14">
      <c r="A135" t="s">
        <v>422</v>
      </c>
      <c r="B135" t="s">
        <v>368</v>
      </c>
      <c r="C135" t="s">
        <v>162</v>
      </c>
      <c r="D135" s="6">
        <v>90</v>
      </c>
      <c r="E135" t="s">
        <v>383</v>
      </c>
      <c r="F135" t="s">
        <v>423</v>
      </c>
      <c r="G135" t="s">
        <v>424</v>
      </c>
      <c r="H135" t="s">
        <v>425</v>
      </c>
      <c r="I135" s="5">
        <v>32000</v>
      </c>
      <c r="L135" s="5">
        <v>32000</v>
      </c>
      <c r="M135" s="5">
        <v>3428.57</v>
      </c>
      <c r="N135" s="5">
        <v>28571.43</v>
      </c>
    </row>
    <row r="136" spans="1:14">
      <c r="A136" t="s">
        <v>426</v>
      </c>
      <c r="B136" t="s">
        <v>368</v>
      </c>
      <c r="C136" t="s">
        <v>18</v>
      </c>
      <c r="D136" s="6">
        <v>0</v>
      </c>
      <c r="E136" t="s">
        <v>368</v>
      </c>
      <c r="F136" t="s">
        <v>56</v>
      </c>
      <c r="G136" t="s">
        <v>345</v>
      </c>
      <c r="H136" t="s">
        <v>427</v>
      </c>
      <c r="I136" s="5">
        <v>41107</v>
      </c>
      <c r="L136" s="5">
        <v>41107</v>
      </c>
      <c r="M136" s="5">
        <v>4404.32</v>
      </c>
      <c r="N136" s="5">
        <v>36702.68</v>
      </c>
    </row>
    <row r="137" spans="1:14">
      <c r="A137" t="s">
        <v>428</v>
      </c>
      <c r="B137" t="s">
        <v>368</v>
      </c>
      <c r="C137" t="s">
        <v>237</v>
      </c>
      <c r="D137" s="6">
        <v>60</v>
      </c>
      <c r="E137" t="s">
        <v>376</v>
      </c>
      <c r="F137" t="s">
        <v>19</v>
      </c>
      <c r="G137" t="s">
        <v>389</v>
      </c>
      <c r="H137" t="s">
        <v>429</v>
      </c>
      <c r="I137" s="5">
        <v>97496</v>
      </c>
      <c r="L137" s="5">
        <v>97496</v>
      </c>
      <c r="M137" s="5">
        <v>10446</v>
      </c>
      <c r="N137" s="5">
        <v>87050</v>
      </c>
    </row>
    <row r="138" spans="1:14">
      <c r="A138" t="s">
        <v>430</v>
      </c>
      <c r="B138" t="s">
        <v>368</v>
      </c>
      <c r="C138" t="s">
        <v>237</v>
      </c>
      <c r="D138" s="6">
        <v>60</v>
      </c>
      <c r="E138" t="s">
        <v>376</v>
      </c>
      <c r="F138" t="s">
        <v>19</v>
      </c>
      <c r="G138" t="s">
        <v>389</v>
      </c>
      <c r="H138" t="s">
        <v>431</v>
      </c>
      <c r="I138" s="5">
        <v>99904</v>
      </c>
      <c r="L138" s="5">
        <v>99904</v>
      </c>
      <c r="M138" s="5">
        <v>10704</v>
      </c>
      <c r="N138" s="5">
        <v>89200</v>
      </c>
    </row>
    <row r="139" spans="1:14">
      <c r="A139" t="s">
        <v>432</v>
      </c>
      <c r="B139" t="s">
        <v>368</v>
      </c>
      <c r="C139" t="s">
        <v>73</v>
      </c>
      <c r="D139" s="6">
        <v>30</v>
      </c>
      <c r="E139" t="s">
        <v>370</v>
      </c>
      <c r="F139" t="s">
        <v>270</v>
      </c>
      <c r="G139" t="s">
        <v>271</v>
      </c>
      <c r="H139" t="s">
        <v>433</v>
      </c>
      <c r="I139" s="5">
        <v>55288</v>
      </c>
      <c r="L139" s="5">
        <v>55288</v>
      </c>
      <c r="N139" s="5">
        <v>55288</v>
      </c>
    </row>
    <row r="140" spans="1:14">
      <c r="A140" t="s">
        <v>434</v>
      </c>
      <c r="B140" t="s">
        <v>368</v>
      </c>
      <c r="C140" t="s">
        <v>73</v>
      </c>
      <c r="D140" s="6">
        <v>30</v>
      </c>
      <c r="E140" t="s">
        <v>370</v>
      </c>
      <c r="F140" t="s">
        <v>270</v>
      </c>
      <c r="G140" t="s">
        <v>271</v>
      </c>
      <c r="H140" t="s">
        <v>435</v>
      </c>
      <c r="I140" s="5">
        <v>35234</v>
      </c>
      <c r="L140" s="5">
        <v>35234</v>
      </c>
      <c r="N140" s="5">
        <v>35234</v>
      </c>
    </row>
    <row r="141" spans="1:14">
      <c r="A141" t="s">
        <v>436</v>
      </c>
      <c r="B141" t="s">
        <v>368</v>
      </c>
      <c r="C141" t="s">
        <v>73</v>
      </c>
      <c r="D141" s="6">
        <v>30</v>
      </c>
      <c r="E141" t="s">
        <v>370</v>
      </c>
      <c r="F141" t="s">
        <v>270</v>
      </c>
      <c r="G141" t="s">
        <v>271</v>
      </c>
      <c r="H141" t="s">
        <v>437</v>
      </c>
      <c r="I141" s="5">
        <v>55100</v>
      </c>
      <c r="L141" s="5">
        <v>55100</v>
      </c>
      <c r="N141" s="5">
        <v>55100</v>
      </c>
    </row>
    <row r="142" spans="1:14">
      <c r="A142" t="s">
        <v>438</v>
      </c>
      <c r="B142" t="s">
        <v>368</v>
      </c>
      <c r="C142" t="s">
        <v>73</v>
      </c>
      <c r="D142" s="6">
        <v>30</v>
      </c>
      <c r="E142" t="s">
        <v>370</v>
      </c>
      <c r="F142" t="s">
        <v>270</v>
      </c>
      <c r="G142" t="s">
        <v>271</v>
      </c>
      <c r="H142" t="s">
        <v>439</v>
      </c>
      <c r="I142" s="5">
        <v>40975</v>
      </c>
      <c r="L142" s="5">
        <v>40975</v>
      </c>
      <c r="N142" s="5">
        <v>40975</v>
      </c>
    </row>
    <row r="143" spans="1:14">
      <c r="A143" t="s">
        <v>440</v>
      </c>
      <c r="B143" t="s">
        <v>368</v>
      </c>
      <c r="C143" t="s">
        <v>54</v>
      </c>
      <c r="D143" s="6">
        <v>90</v>
      </c>
      <c r="E143" t="s">
        <v>383</v>
      </c>
      <c r="F143" t="s">
        <v>56</v>
      </c>
      <c r="G143" t="s">
        <v>90</v>
      </c>
      <c r="H143" t="s">
        <v>441</v>
      </c>
      <c r="I143" s="5">
        <v>109220</v>
      </c>
      <c r="L143" s="5">
        <v>109220</v>
      </c>
      <c r="M143" s="5">
        <v>11702.14</v>
      </c>
      <c r="N143" s="5">
        <v>97517.86</v>
      </c>
    </row>
    <row r="144" spans="1:14">
      <c r="A144" t="s">
        <v>442</v>
      </c>
      <c r="B144" t="s">
        <v>368</v>
      </c>
      <c r="C144" t="s">
        <v>60</v>
      </c>
      <c r="D144" s="6">
        <v>0</v>
      </c>
      <c r="E144" t="s">
        <v>368</v>
      </c>
      <c r="F144" t="s">
        <v>56</v>
      </c>
      <c r="G144" t="s">
        <v>412</v>
      </c>
      <c r="H144" t="s">
        <v>443</v>
      </c>
      <c r="I144" s="5">
        <v>158400</v>
      </c>
      <c r="J144" s="4">
        <v>-4752</v>
      </c>
      <c r="L144" s="5">
        <v>153648</v>
      </c>
      <c r="M144" s="5">
        <v>16462.29</v>
      </c>
      <c r="N144" s="5">
        <v>137185.71</v>
      </c>
    </row>
    <row r="145" spans="1:17">
      <c r="A145" t="s">
        <v>444</v>
      </c>
      <c r="B145" t="s">
        <v>368</v>
      </c>
      <c r="C145" t="s">
        <v>60</v>
      </c>
      <c r="D145" s="6">
        <v>0</v>
      </c>
      <c r="E145" t="s">
        <v>368</v>
      </c>
      <c r="F145" t="s">
        <v>56</v>
      </c>
      <c r="G145" t="s">
        <v>412</v>
      </c>
      <c r="H145" t="s">
        <v>443</v>
      </c>
      <c r="I145" s="5">
        <v>158400</v>
      </c>
      <c r="J145" s="4">
        <v>-4752</v>
      </c>
      <c r="L145" s="5">
        <v>153648</v>
      </c>
      <c r="M145" s="5">
        <v>16462.29</v>
      </c>
      <c r="N145" s="5">
        <v>137185.71</v>
      </c>
    </row>
    <row r="146" spans="1:17">
      <c r="A146" t="s">
        <v>445</v>
      </c>
      <c r="B146" t="s">
        <v>368</v>
      </c>
      <c r="C146" t="s">
        <v>73</v>
      </c>
      <c r="D146" s="6">
        <v>30</v>
      </c>
      <c r="E146" t="s">
        <v>370</v>
      </c>
      <c r="F146" t="s">
        <v>56</v>
      </c>
      <c r="G146" t="s">
        <v>244</v>
      </c>
      <c r="H146" t="s">
        <v>446</v>
      </c>
      <c r="I146" s="5">
        <v>384480</v>
      </c>
      <c r="L146" s="5">
        <v>384480</v>
      </c>
      <c r="M146" s="5">
        <v>41194.29</v>
      </c>
      <c r="N146" s="5">
        <v>343285.71</v>
      </c>
    </row>
    <row r="147" spans="1:17" s="10" customFormat="1">
      <c r="A147" s="10" t="s">
        <v>447</v>
      </c>
      <c r="B147" s="10" t="s">
        <v>448</v>
      </c>
      <c r="C147" s="10" t="s">
        <v>60</v>
      </c>
      <c r="D147" s="11">
        <v>0</v>
      </c>
      <c r="E147" s="10" t="s">
        <v>448</v>
      </c>
      <c r="F147" s="10" t="s">
        <v>139</v>
      </c>
      <c r="G147" s="10" t="s">
        <v>449</v>
      </c>
      <c r="H147" s="10" t="s">
        <v>450</v>
      </c>
      <c r="I147" s="9">
        <v>6754.32</v>
      </c>
      <c r="L147" s="9">
        <v>6754.32</v>
      </c>
      <c r="M147" s="12">
        <v>723.68</v>
      </c>
      <c r="N147" s="9">
        <v>6030.64</v>
      </c>
      <c r="P147" s="10" t="s">
        <v>1767</v>
      </c>
    </row>
    <row r="148" spans="1:17" s="10" customFormat="1">
      <c r="A148" s="10" t="s">
        <v>451</v>
      </c>
      <c r="B148" s="10" t="s">
        <v>448</v>
      </c>
      <c r="C148" s="10" t="s">
        <v>60</v>
      </c>
      <c r="D148" s="11">
        <v>0</v>
      </c>
      <c r="E148" s="10" t="s">
        <v>448</v>
      </c>
      <c r="F148" s="10" t="s">
        <v>139</v>
      </c>
      <c r="G148" s="10" t="s">
        <v>449</v>
      </c>
      <c r="H148" s="10" t="s">
        <v>452</v>
      </c>
      <c r="I148" s="9">
        <v>9143.68</v>
      </c>
      <c r="L148" s="9">
        <v>9143.68</v>
      </c>
      <c r="M148" s="12">
        <v>979.68</v>
      </c>
      <c r="N148" s="9">
        <v>8164</v>
      </c>
      <c r="P148" s="10" t="s">
        <v>1767</v>
      </c>
    </row>
    <row r="149" spans="1:17">
      <c r="A149" t="s">
        <v>453</v>
      </c>
      <c r="B149" t="s">
        <v>448</v>
      </c>
      <c r="C149" t="s">
        <v>60</v>
      </c>
      <c r="D149" s="6">
        <v>0</v>
      </c>
      <c r="E149" t="s">
        <v>448</v>
      </c>
      <c r="F149" t="s">
        <v>46</v>
      </c>
      <c r="G149" t="s">
        <v>454</v>
      </c>
      <c r="H149" t="s">
        <v>455</v>
      </c>
      <c r="I149" s="5">
        <v>24000</v>
      </c>
      <c r="L149" s="5">
        <v>24000</v>
      </c>
      <c r="M149" s="5">
        <v>2571.4299999999998</v>
      </c>
      <c r="N149" s="5">
        <v>21428.57</v>
      </c>
    </row>
    <row r="150" spans="1:17">
      <c r="A150" t="s">
        <v>456</v>
      </c>
      <c r="B150" t="s">
        <v>448</v>
      </c>
      <c r="C150" t="s">
        <v>132</v>
      </c>
      <c r="D150" s="6">
        <v>0</v>
      </c>
      <c r="E150" t="s">
        <v>448</v>
      </c>
      <c r="F150" t="s">
        <v>56</v>
      </c>
      <c r="G150" t="s">
        <v>457</v>
      </c>
      <c r="H150" t="s">
        <v>458</v>
      </c>
      <c r="I150" s="5">
        <v>7218</v>
      </c>
      <c r="L150" s="5">
        <v>7218</v>
      </c>
      <c r="M150" s="7">
        <v>773.36</v>
      </c>
      <c r="N150" s="5">
        <v>6444.64</v>
      </c>
    </row>
    <row r="151" spans="1:17" s="10" customFormat="1">
      <c r="A151" s="10" t="s">
        <v>459</v>
      </c>
      <c r="B151" s="10" t="s">
        <v>448</v>
      </c>
      <c r="C151" s="10" t="s">
        <v>18</v>
      </c>
      <c r="D151" s="11">
        <v>0</v>
      </c>
      <c r="E151" s="10" t="s">
        <v>448</v>
      </c>
      <c r="F151" s="10" t="s">
        <v>56</v>
      </c>
      <c r="G151" s="10" t="s">
        <v>457</v>
      </c>
      <c r="H151" s="10" t="s">
        <v>460</v>
      </c>
      <c r="I151" s="9">
        <v>1897500</v>
      </c>
      <c r="L151" s="9">
        <v>1897500</v>
      </c>
      <c r="M151" s="9">
        <v>203303.57</v>
      </c>
      <c r="N151" s="9">
        <v>1694196.43</v>
      </c>
      <c r="P151" s="9">
        <v>60000</v>
      </c>
      <c r="Q151" s="10" t="s">
        <v>1768</v>
      </c>
    </row>
    <row r="152" spans="1:17">
      <c r="A152" t="s">
        <v>461</v>
      </c>
      <c r="B152" t="s">
        <v>448</v>
      </c>
      <c r="C152" t="s">
        <v>60</v>
      </c>
      <c r="D152" s="6">
        <v>0</v>
      </c>
      <c r="E152" t="s">
        <v>448</v>
      </c>
      <c r="F152" t="s">
        <v>19</v>
      </c>
      <c r="G152" t="s">
        <v>462</v>
      </c>
      <c r="H152" t="s">
        <v>463</v>
      </c>
      <c r="I152" s="5">
        <v>9605</v>
      </c>
      <c r="L152" s="5">
        <v>9605</v>
      </c>
      <c r="M152" s="5">
        <v>1029.1099999999999</v>
      </c>
      <c r="N152" s="5">
        <v>8575.89</v>
      </c>
    </row>
    <row r="153" spans="1:17">
      <c r="A153" t="s">
        <v>464</v>
      </c>
      <c r="B153" t="s">
        <v>448</v>
      </c>
      <c r="C153" t="s">
        <v>29</v>
      </c>
      <c r="D153" s="6">
        <v>0</v>
      </c>
      <c r="E153" t="s">
        <v>448</v>
      </c>
      <c r="F153" t="s">
        <v>30</v>
      </c>
      <c r="G153" t="s">
        <v>31</v>
      </c>
      <c r="H153" t="s">
        <v>465</v>
      </c>
      <c r="I153" s="5">
        <v>22500</v>
      </c>
      <c r="L153" s="5">
        <v>22500</v>
      </c>
      <c r="M153" s="5">
        <v>2410.71</v>
      </c>
      <c r="N153" s="5">
        <v>20089.29</v>
      </c>
    </row>
    <row r="154" spans="1:17">
      <c r="A154" t="s">
        <v>466</v>
      </c>
      <c r="B154" t="s">
        <v>448</v>
      </c>
      <c r="C154" t="s">
        <v>29</v>
      </c>
      <c r="D154" s="6">
        <v>0</v>
      </c>
      <c r="E154" t="s">
        <v>448</v>
      </c>
      <c r="F154" t="s">
        <v>30</v>
      </c>
      <c r="G154" t="s">
        <v>31</v>
      </c>
      <c r="H154" t="s">
        <v>467</v>
      </c>
      <c r="I154" s="5">
        <v>17740</v>
      </c>
      <c r="L154" s="5">
        <v>17740</v>
      </c>
      <c r="M154" s="5">
        <v>1900.71</v>
      </c>
      <c r="N154" s="5">
        <v>15839.29</v>
      </c>
    </row>
    <row r="155" spans="1:17">
      <c r="A155" t="s">
        <v>468</v>
      </c>
      <c r="B155" t="s">
        <v>448</v>
      </c>
      <c r="C155" t="s">
        <v>29</v>
      </c>
      <c r="D155" s="6">
        <v>0</v>
      </c>
      <c r="E155" t="s">
        <v>448</v>
      </c>
      <c r="F155" t="s">
        <v>30</v>
      </c>
      <c r="G155" t="s">
        <v>31</v>
      </c>
      <c r="H155" t="s">
        <v>469</v>
      </c>
      <c r="I155" s="5">
        <v>28458</v>
      </c>
      <c r="L155" s="5">
        <v>28458</v>
      </c>
      <c r="M155" s="5">
        <v>3049.07</v>
      </c>
      <c r="N155" s="5">
        <v>25408.93</v>
      </c>
    </row>
    <row r="156" spans="1:17">
      <c r="A156" t="s">
        <v>470</v>
      </c>
      <c r="B156" t="s">
        <v>448</v>
      </c>
      <c r="C156" t="s">
        <v>29</v>
      </c>
      <c r="D156" s="6">
        <v>0</v>
      </c>
      <c r="E156" t="s">
        <v>448</v>
      </c>
      <c r="F156" t="s">
        <v>30</v>
      </c>
      <c r="G156" t="s">
        <v>218</v>
      </c>
      <c r="H156" t="s">
        <v>471</v>
      </c>
      <c r="I156" s="5">
        <v>3038</v>
      </c>
      <c r="J156" s="4">
        <v>-91.14</v>
      </c>
      <c r="L156" s="5">
        <v>2946.86</v>
      </c>
      <c r="M156" s="7">
        <v>315.73</v>
      </c>
      <c r="N156" s="5">
        <v>2631.13</v>
      </c>
    </row>
    <row r="157" spans="1:17">
      <c r="A157" t="s">
        <v>472</v>
      </c>
      <c r="B157" t="s">
        <v>448</v>
      </c>
      <c r="C157" t="s">
        <v>29</v>
      </c>
      <c r="D157" s="6">
        <v>0</v>
      </c>
      <c r="E157" t="s">
        <v>448</v>
      </c>
      <c r="F157" t="s">
        <v>30</v>
      </c>
      <c r="G157" t="s">
        <v>31</v>
      </c>
      <c r="H157" t="s">
        <v>473</v>
      </c>
      <c r="I157" s="5">
        <v>152120</v>
      </c>
      <c r="L157" s="5">
        <v>152120</v>
      </c>
      <c r="M157" s="5">
        <v>16298.57</v>
      </c>
      <c r="N157" s="5">
        <v>135821.43</v>
      </c>
    </row>
    <row r="158" spans="1:17">
      <c r="A158" t="s">
        <v>474</v>
      </c>
      <c r="B158" t="s">
        <v>448</v>
      </c>
      <c r="C158" t="s">
        <v>29</v>
      </c>
      <c r="D158" s="6">
        <v>0</v>
      </c>
      <c r="E158" t="s">
        <v>448</v>
      </c>
      <c r="F158" t="s">
        <v>30</v>
      </c>
      <c r="G158" t="s">
        <v>31</v>
      </c>
      <c r="H158" t="s">
        <v>475</v>
      </c>
      <c r="I158" s="5">
        <v>121248</v>
      </c>
      <c r="L158" s="5">
        <v>121248</v>
      </c>
      <c r="M158" s="5">
        <v>12990.86</v>
      </c>
      <c r="N158" s="5">
        <v>108257.14</v>
      </c>
    </row>
    <row r="159" spans="1:17" s="10" customFormat="1">
      <c r="A159" s="10" t="s">
        <v>476</v>
      </c>
      <c r="B159" s="10" t="s">
        <v>448</v>
      </c>
      <c r="C159" s="10" t="s">
        <v>29</v>
      </c>
      <c r="D159" s="11">
        <v>0</v>
      </c>
      <c r="E159" s="10" t="s">
        <v>448</v>
      </c>
      <c r="F159" s="10" t="s">
        <v>50</v>
      </c>
      <c r="G159" s="10" t="s">
        <v>51</v>
      </c>
      <c r="H159" s="10" t="s">
        <v>477</v>
      </c>
      <c r="I159" s="9">
        <v>11687.4</v>
      </c>
      <c r="L159" s="9">
        <v>11687.4</v>
      </c>
      <c r="M159" s="9">
        <v>1252.22</v>
      </c>
      <c r="N159" s="9">
        <v>10435.18</v>
      </c>
      <c r="P159" s="10" t="s">
        <v>1767</v>
      </c>
    </row>
    <row r="160" spans="1:17">
      <c r="A160" t="s">
        <v>478</v>
      </c>
      <c r="B160" t="s">
        <v>448</v>
      </c>
      <c r="C160" t="s">
        <v>162</v>
      </c>
      <c r="D160" s="6">
        <v>90</v>
      </c>
      <c r="E160" t="s">
        <v>479</v>
      </c>
      <c r="F160" t="s">
        <v>36</v>
      </c>
      <c r="G160" t="s">
        <v>193</v>
      </c>
      <c r="H160" t="s">
        <v>480</v>
      </c>
      <c r="I160" s="5">
        <v>66010</v>
      </c>
      <c r="L160" s="5">
        <v>66010</v>
      </c>
      <c r="M160" s="5">
        <v>7072.5</v>
      </c>
      <c r="N160" s="5">
        <v>58937.5</v>
      </c>
    </row>
    <row r="161" spans="1:14">
      <c r="A161" t="s">
        <v>481</v>
      </c>
      <c r="B161" t="s">
        <v>448</v>
      </c>
      <c r="C161" t="s">
        <v>73</v>
      </c>
      <c r="D161" s="6">
        <v>30</v>
      </c>
      <c r="E161" t="s">
        <v>482</v>
      </c>
      <c r="F161" t="s">
        <v>19</v>
      </c>
      <c r="G161" t="s">
        <v>267</v>
      </c>
      <c r="H161" t="s">
        <v>483</v>
      </c>
      <c r="I161" s="5">
        <v>41200</v>
      </c>
      <c r="K161" s="5">
        <v>10200</v>
      </c>
      <c r="L161" s="5">
        <v>51400</v>
      </c>
      <c r="M161" s="5">
        <v>5507.14</v>
      </c>
      <c r="N161" s="5">
        <v>45892.86</v>
      </c>
    </row>
    <row r="162" spans="1:14">
      <c r="A162" t="s">
        <v>484</v>
      </c>
      <c r="B162" t="s">
        <v>448</v>
      </c>
      <c r="C162" t="s">
        <v>73</v>
      </c>
      <c r="D162" s="6">
        <v>30</v>
      </c>
      <c r="E162" t="s">
        <v>482</v>
      </c>
      <c r="F162" t="s">
        <v>19</v>
      </c>
      <c r="G162" t="s">
        <v>267</v>
      </c>
      <c r="H162" t="s">
        <v>485</v>
      </c>
      <c r="I162" s="5">
        <v>120600</v>
      </c>
      <c r="K162" s="5">
        <v>13600</v>
      </c>
      <c r="L162" s="5">
        <v>134200</v>
      </c>
      <c r="M162" s="5">
        <v>14378.57</v>
      </c>
      <c r="N162" s="5">
        <v>119821.43</v>
      </c>
    </row>
    <row r="163" spans="1:14">
      <c r="A163" t="s">
        <v>486</v>
      </c>
      <c r="B163" t="s">
        <v>448</v>
      </c>
      <c r="C163" t="s">
        <v>18</v>
      </c>
      <c r="D163" s="6">
        <v>0</v>
      </c>
      <c r="E163" t="s">
        <v>448</v>
      </c>
      <c r="F163" t="s">
        <v>270</v>
      </c>
      <c r="G163" t="s">
        <v>487</v>
      </c>
      <c r="H163" t="s">
        <v>488</v>
      </c>
      <c r="I163" s="5">
        <v>272346.90000000002</v>
      </c>
      <c r="L163" s="5">
        <v>272346.90000000002</v>
      </c>
      <c r="M163" s="5">
        <v>29180.02</v>
      </c>
      <c r="N163" s="5">
        <v>243166.88</v>
      </c>
    </row>
    <row r="164" spans="1:14">
      <c r="A164" t="s">
        <v>489</v>
      </c>
      <c r="B164" t="s">
        <v>448</v>
      </c>
      <c r="C164" t="s">
        <v>104</v>
      </c>
      <c r="D164" s="6">
        <v>0</v>
      </c>
      <c r="E164" t="s">
        <v>448</v>
      </c>
      <c r="F164" t="s">
        <v>30</v>
      </c>
      <c r="G164" t="s">
        <v>490</v>
      </c>
      <c r="H164" t="s">
        <v>491</v>
      </c>
      <c r="I164" s="5">
        <v>625460</v>
      </c>
      <c r="L164" s="5">
        <v>625460</v>
      </c>
      <c r="M164" s="5">
        <v>67013.570000000007</v>
      </c>
      <c r="N164" s="5">
        <v>558446.43000000005</v>
      </c>
    </row>
    <row r="165" spans="1:14">
      <c r="A165" t="s">
        <v>492</v>
      </c>
      <c r="B165" t="s">
        <v>448</v>
      </c>
      <c r="C165" t="s">
        <v>167</v>
      </c>
      <c r="D165" s="6">
        <v>90</v>
      </c>
      <c r="E165" t="s">
        <v>479</v>
      </c>
      <c r="F165" t="s">
        <v>56</v>
      </c>
      <c r="G165" t="s">
        <v>190</v>
      </c>
      <c r="H165" t="s">
        <v>493</v>
      </c>
      <c r="I165" s="5">
        <v>270048</v>
      </c>
      <c r="L165" s="5">
        <v>270048</v>
      </c>
      <c r="M165" s="5">
        <v>28933.71</v>
      </c>
      <c r="N165" s="5">
        <v>241114.29</v>
      </c>
    </row>
    <row r="166" spans="1:14">
      <c r="A166" t="s">
        <v>494</v>
      </c>
      <c r="B166" t="s">
        <v>448</v>
      </c>
      <c r="C166" t="s">
        <v>146</v>
      </c>
      <c r="D166" s="6">
        <v>90</v>
      </c>
      <c r="E166" t="s">
        <v>479</v>
      </c>
      <c r="F166" t="s">
        <v>139</v>
      </c>
      <c r="G166" t="s">
        <v>250</v>
      </c>
      <c r="H166" t="s">
        <v>495</v>
      </c>
      <c r="I166" s="5">
        <v>26528</v>
      </c>
      <c r="L166" s="5">
        <v>26528</v>
      </c>
      <c r="M166" s="5">
        <v>2842.29</v>
      </c>
      <c r="N166" s="5">
        <v>23685.71</v>
      </c>
    </row>
    <row r="167" spans="1:14">
      <c r="A167" t="s">
        <v>496</v>
      </c>
      <c r="B167" t="s">
        <v>448</v>
      </c>
      <c r="C167" t="s">
        <v>146</v>
      </c>
      <c r="D167" s="6">
        <v>90</v>
      </c>
      <c r="E167" t="s">
        <v>479</v>
      </c>
      <c r="F167" t="s">
        <v>139</v>
      </c>
      <c r="G167" t="s">
        <v>250</v>
      </c>
      <c r="H167" t="s">
        <v>497</v>
      </c>
      <c r="I167" s="5">
        <v>978432</v>
      </c>
      <c r="L167" s="5">
        <v>978432</v>
      </c>
      <c r="M167" s="5">
        <v>104832</v>
      </c>
      <c r="N167" s="5">
        <v>873600</v>
      </c>
    </row>
    <row r="168" spans="1:14">
      <c r="A168" t="s">
        <v>498</v>
      </c>
      <c r="B168" t="s">
        <v>448</v>
      </c>
      <c r="C168" t="s">
        <v>60</v>
      </c>
      <c r="D168" s="6">
        <v>0</v>
      </c>
      <c r="E168" t="s">
        <v>448</v>
      </c>
      <c r="F168" t="s">
        <v>56</v>
      </c>
      <c r="G168" t="s">
        <v>196</v>
      </c>
      <c r="H168" t="s">
        <v>499</v>
      </c>
      <c r="I168" s="5">
        <v>17000</v>
      </c>
      <c r="L168" s="5">
        <v>17000</v>
      </c>
      <c r="M168" s="5">
        <v>1821.43</v>
      </c>
      <c r="N168" s="5">
        <v>15178.57</v>
      </c>
    </row>
    <row r="169" spans="1:14">
      <c r="A169" t="s">
        <v>500</v>
      </c>
      <c r="B169" t="s">
        <v>448</v>
      </c>
      <c r="C169" t="s">
        <v>60</v>
      </c>
      <c r="D169" s="6">
        <v>0</v>
      </c>
      <c r="E169" t="s">
        <v>448</v>
      </c>
      <c r="F169" t="s">
        <v>56</v>
      </c>
      <c r="G169" t="s">
        <v>196</v>
      </c>
      <c r="H169" t="s">
        <v>501</v>
      </c>
      <c r="I169" s="5">
        <v>104316</v>
      </c>
      <c r="L169" s="5">
        <v>104316</v>
      </c>
      <c r="M169" s="5">
        <v>11176.71</v>
      </c>
      <c r="N169" s="5">
        <v>93139.29</v>
      </c>
    </row>
    <row r="170" spans="1:14">
      <c r="A170" t="s">
        <v>502</v>
      </c>
      <c r="B170" t="s">
        <v>448</v>
      </c>
      <c r="C170" t="s">
        <v>73</v>
      </c>
      <c r="D170" s="6">
        <v>30</v>
      </c>
      <c r="E170" t="s">
        <v>482</v>
      </c>
      <c r="F170" t="s">
        <v>19</v>
      </c>
      <c r="G170" t="s">
        <v>267</v>
      </c>
      <c r="H170" t="s">
        <v>503</v>
      </c>
      <c r="I170" s="5">
        <v>231400</v>
      </c>
      <c r="K170" s="5">
        <v>13950</v>
      </c>
      <c r="L170" s="5">
        <v>245350</v>
      </c>
      <c r="M170" s="5">
        <v>26287.5</v>
      </c>
      <c r="N170" s="5">
        <v>219062.5</v>
      </c>
    </row>
    <row r="171" spans="1:14">
      <c r="A171" t="s">
        <v>504</v>
      </c>
      <c r="B171" t="s">
        <v>505</v>
      </c>
      <c r="C171" t="s">
        <v>132</v>
      </c>
      <c r="D171" s="6">
        <v>0</v>
      </c>
      <c r="E171" t="s">
        <v>505</v>
      </c>
      <c r="F171" t="s">
        <v>56</v>
      </c>
      <c r="G171" t="s">
        <v>506</v>
      </c>
      <c r="H171" t="s">
        <v>507</v>
      </c>
      <c r="I171" s="5">
        <v>2916</v>
      </c>
      <c r="L171" s="5">
        <v>2916</v>
      </c>
      <c r="M171" s="7">
        <v>312.43</v>
      </c>
      <c r="N171" s="5">
        <v>2603.5700000000002</v>
      </c>
    </row>
    <row r="172" spans="1:14">
      <c r="A172" t="s">
        <v>508</v>
      </c>
      <c r="B172" t="s">
        <v>505</v>
      </c>
      <c r="C172" t="s">
        <v>34</v>
      </c>
      <c r="D172" s="6">
        <v>60</v>
      </c>
      <c r="E172" t="s">
        <v>509</v>
      </c>
      <c r="F172" t="s">
        <v>30</v>
      </c>
      <c r="G172" t="s">
        <v>201</v>
      </c>
      <c r="H172" t="s">
        <v>510</v>
      </c>
      <c r="I172" s="5">
        <v>60000</v>
      </c>
      <c r="L172" s="5">
        <v>60000</v>
      </c>
      <c r="M172" s="5">
        <v>6428.57</v>
      </c>
      <c r="N172" s="5">
        <v>53571.43</v>
      </c>
    </row>
    <row r="173" spans="1:14">
      <c r="A173" t="s">
        <v>511</v>
      </c>
      <c r="B173" t="s">
        <v>505</v>
      </c>
      <c r="C173" t="s">
        <v>98</v>
      </c>
      <c r="D173" s="6">
        <v>0</v>
      </c>
      <c r="E173" t="s">
        <v>505</v>
      </c>
      <c r="F173" t="s">
        <v>69</v>
      </c>
      <c r="G173" t="s">
        <v>99</v>
      </c>
      <c r="H173" t="s">
        <v>512</v>
      </c>
      <c r="I173" s="5">
        <v>47500</v>
      </c>
      <c r="J173" s="4">
        <v>-1425</v>
      </c>
      <c r="L173" s="5">
        <v>46075</v>
      </c>
      <c r="M173" s="5">
        <v>4936.6099999999997</v>
      </c>
      <c r="N173" s="5">
        <v>41138.39</v>
      </c>
    </row>
    <row r="174" spans="1:14">
      <c r="A174" t="s">
        <v>513</v>
      </c>
      <c r="B174" t="s">
        <v>505</v>
      </c>
      <c r="C174" t="s">
        <v>98</v>
      </c>
      <c r="D174" s="6">
        <v>0</v>
      </c>
      <c r="E174" t="s">
        <v>505</v>
      </c>
      <c r="F174" t="s">
        <v>69</v>
      </c>
      <c r="G174" t="s">
        <v>99</v>
      </c>
      <c r="H174" t="s">
        <v>514</v>
      </c>
      <c r="I174" s="5">
        <v>348100</v>
      </c>
      <c r="J174" s="4">
        <v>-10443</v>
      </c>
      <c r="L174" s="5">
        <v>337657</v>
      </c>
      <c r="M174" s="5">
        <v>36177.54</v>
      </c>
      <c r="N174" s="5">
        <v>301479.46000000002</v>
      </c>
    </row>
    <row r="175" spans="1:14">
      <c r="A175" t="s">
        <v>515</v>
      </c>
      <c r="B175" t="s">
        <v>505</v>
      </c>
      <c r="C175" t="s">
        <v>98</v>
      </c>
      <c r="D175" s="6">
        <v>0</v>
      </c>
      <c r="E175" t="s">
        <v>505</v>
      </c>
      <c r="F175" t="s">
        <v>69</v>
      </c>
      <c r="G175" t="s">
        <v>99</v>
      </c>
      <c r="H175" t="s">
        <v>516</v>
      </c>
      <c r="I175" s="5">
        <v>51340</v>
      </c>
      <c r="J175" s="4">
        <v>-1540.2</v>
      </c>
      <c r="L175" s="5">
        <v>49799.8</v>
      </c>
      <c r="M175" s="5">
        <v>5335.69</v>
      </c>
      <c r="N175" s="5">
        <v>44464.11</v>
      </c>
    </row>
    <row r="176" spans="1:14">
      <c r="A176" t="s">
        <v>517</v>
      </c>
      <c r="B176" t="s">
        <v>505</v>
      </c>
      <c r="C176" t="s">
        <v>243</v>
      </c>
      <c r="D176" s="6">
        <v>30</v>
      </c>
      <c r="E176" t="s">
        <v>518</v>
      </c>
      <c r="F176" t="s">
        <v>139</v>
      </c>
      <c r="G176" t="s">
        <v>519</v>
      </c>
      <c r="H176" t="s">
        <v>520</v>
      </c>
      <c r="I176" s="5">
        <v>9802</v>
      </c>
      <c r="L176" s="5">
        <v>9802</v>
      </c>
      <c r="M176" s="5">
        <v>1050.21</v>
      </c>
      <c r="N176" s="5">
        <v>8751.7900000000009</v>
      </c>
    </row>
    <row r="177" spans="1:14">
      <c r="A177" t="s">
        <v>521</v>
      </c>
      <c r="B177" t="s">
        <v>505</v>
      </c>
      <c r="C177" t="s">
        <v>73</v>
      </c>
      <c r="D177" s="6">
        <v>30</v>
      </c>
      <c r="E177" t="s">
        <v>518</v>
      </c>
      <c r="F177" t="s">
        <v>46</v>
      </c>
      <c r="G177" t="s">
        <v>522</v>
      </c>
      <c r="H177" t="s">
        <v>523</v>
      </c>
      <c r="I177" s="5">
        <v>86400</v>
      </c>
      <c r="L177" s="5">
        <v>86400</v>
      </c>
      <c r="N177" s="5">
        <v>86400</v>
      </c>
    </row>
    <row r="178" spans="1:14">
      <c r="A178" t="s">
        <v>524</v>
      </c>
      <c r="B178" t="s">
        <v>505</v>
      </c>
      <c r="C178" t="s">
        <v>60</v>
      </c>
      <c r="D178" s="6">
        <v>0</v>
      </c>
      <c r="E178" t="s">
        <v>505</v>
      </c>
      <c r="F178" t="s">
        <v>56</v>
      </c>
      <c r="G178" t="s">
        <v>168</v>
      </c>
      <c r="H178" t="s">
        <v>525</v>
      </c>
      <c r="I178" s="5">
        <v>58172.84</v>
      </c>
      <c r="L178" s="5">
        <v>58172.84</v>
      </c>
      <c r="M178" s="5">
        <v>6232.8</v>
      </c>
      <c r="N178" s="5">
        <v>51940.04</v>
      </c>
    </row>
    <row r="179" spans="1:14">
      <c r="A179" t="s">
        <v>526</v>
      </c>
      <c r="B179" t="s">
        <v>505</v>
      </c>
      <c r="C179" t="s">
        <v>60</v>
      </c>
      <c r="D179" s="6">
        <v>0</v>
      </c>
      <c r="E179" t="s">
        <v>505</v>
      </c>
      <c r="F179" t="s">
        <v>56</v>
      </c>
      <c r="G179" t="s">
        <v>190</v>
      </c>
      <c r="H179" t="s">
        <v>527</v>
      </c>
      <c r="I179" s="5">
        <v>32000</v>
      </c>
      <c r="L179" s="5">
        <v>32000</v>
      </c>
      <c r="M179" s="5">
        <v>3428.57</v>
      </c>
      <c r="N179" s="5">
        <v>28571.43</v>
      </c>
    </row>
    <row r="180" spans="1:14">
      <c r="A180" t="s">
        <v>528</v>
      </c>
      <c r="B180" t="s">
        <v>505</v>
      </c>
      <c r="C180" t="s">
        <v>23</v>
      </c>
      <c r="D180" s="6">
        <v>30</v>
      </c>
      <c r="E180" t="s">
        <v>518</v>
      </c>
      <c r="F180" t="s">
        <v>329</v>
      </c>
      <c r="G180" t="s">
        <v>529</v>
      </c>
      <c r="H180" t="s">
        <v>530</v>
      </c>
      <c r="I180" s="5">
        <v>239276</v>
      </c>
      <c r="J180" s="4">
        <v>-4785.5200000000004</v>
      </c>
      <c r="L180" s="5">
        <v>234490.48</v>
      </c>
      <c r="M180" s="5">
        <v>25123.98</v>
      </c>
      <c r="N180" s="5">
        <v>209366.5</v>
      </c>
    </row>
    <row r="181" spans="1:14">
      <c r="A181" t="s">
        <v>531</v>
      </c>
      <c r="B181" t="s">
        <v>505</v>
      </c>
      <c r="C181" t="s">
        <v>167</v>
      </c>
      <c r="D181" s="6">
        <v>90</v>
      </c>
      <c r="E181" t="s">
        <v>532</v>
      </c>
      <c r="F181" t="s">
        <v>56</v>
      </c>
      <c r="G181" t="s">
        <v>190</v>
      </c>
      <c r="H181" t="s">
        <v>533</v>
      </c>
      <c r="I181" s="5">
        <v>470460</v>
      </c>
      <c r="L181" s="5">
        <v>470460</v>
      </c>
      <c r="M181" s="5">
        <v>50406.43</v>
      </c>
      <c r="N181" s="5">
        <v>420053.57</v>
      </c>
    </row>
    <row r="182" spans="1:14">
      <c r="A182" t="s">
        <v>534</v>
      </c>
      <c r="B182" t="s">
        <v>505</v>
      </c>
      <c r="C182" t="s">
        <v>60</v>
      </c>
      <c r="D182" s="6">
        <v>0</v>
      </c>
      <c r="E182" t="s">
        <v>505</v>
      </c>
      <c r="F182" t="s">
        <v>56</v>
      </c>
      <c r="G182" t="s">
        <v>190</v>
      </c>
      <c r="H182" t="s">
        <v>535</v>
      </c>
      <c r="I182" s="5">
        <v>98552</v>
      </c>
      <c r="L182" s="5">
        <v>98552</v>
      </c>
      <c r="M182" s="5">
        <v>10559.14</v>
      </c>
      <c r="N182" s="5">
        <v>87992.86</v>
      </c>
    </row>
    <row r="183" spans="1:14">
      <c r="A183" t="s">
        <v>536</v>
      </c>
      <c r="B183" t="s">
        <v>505</v>
      </c>
      <c r="C183" t="s">
        <v>60</v>
      </c>
      <c r="D183" s="6">
        <v>0</v>
      </c>
      <c r="E183" t="s">
        <v>505</v>
      </c>
      <c r="F183" t="s">
        <v>56</v>
      </c>
      <c r="G183" t="s">
        <v>190</v>
      </c>
      <c r="H183" t="s">
        <v>537</v>
      </c>
      <c r="I183" s="5">
        <v>78570</v>
      </c>
      <c r="L183" s="5">
        <v>78570</v>
      </c>
      <c r="M183" s="5">
        <v>8418.2099999999991</v>
      </c>
      <c r="N183" s="5">
        <v>70151.789999999994</v>
      </c>
    </row>
    <row r="184" spans="1:14">
      <c r="A184" t="s">
        <v>538</v>
      </c>
      <c r="B184" t="s">
        <v>505</v>
      </c>
      <c r="C184" t="s">
        <v>60</v>
      </c>
      <c r="D184" s="6">
        <v>0</v>
      </c>
      <c r="E184" t="s">
        <v>505</v>
      </c>
      <c r="F184" t="s">
        <v>56</v>
      </c>
      <c r="G184" t="s">
        <v>190</v>
      </c>
      <c r="H184" t="s">
        <v>539</v>
      </c>
      <c r="I184" s="5">
        <v>9506</v>
      </c>
      <c r="L184" s="5">
        <v>9506</v>
      </c>
      <c r="M184" s="5">
        <v>1018.5</v>
      </c>
      <c r="N184" s="5">
        <v>8487.5</v>
      </c>
    </row>
    <row r="185" spans="1:14">
      <c r="A185" t="s">
        <v>540</v>
      </c>
      <c r="B185" t="s">
        <v>505</v>
      </c>
      <c r="C185" t="s">
        <v>34</v>
      </c>
      <c r="D185" s="6">
        <v>60</v>
      </c>
      <c r="E185" t="s">
        <v>509</v>
      </c>
      <c r="F185" t="s">
        <v>329</v>
      </c>
      <c r="G185" t="s">
        <v>330</v>
      </c>
      <c r="H185" t="s">
        <v>541</v>
      </c>
      <c r="I185" s="5">
        <v>360302</v>
      </c>
      <c r="L185" s="5">
        <v>360302</v>
      </c>
      <c r="M185" s="5">
        <v>38603.79</v>
      </c>
      <c r="N185" s="5">
        <v>321698.21000000002</v>
      </c>
    </row>
    <row r="186" spans="1:14">
      <c r="A186" t="s">
        <v>542</v>
      </c>
      <c r="B186" t="s">
        <v>505</v>
      </c>
      <c r="C186" t="s">
        <v>162</v>
      </c>
      <c r="D186" s="6">
        <v>90</v>
      </c>
      <c r="E186" t="s">
        <v>532</v>
      </c>
      <c r="F186" t="s">
        <v>19</v>
      </c>
      <c r="G186" t="s">
        <v>543</v>
      </c>
      <c r="H186" t="s">
        <v>544</v>
      </c>
      <c r="I186" s="5">
        <v>347124</v>
      </c>
      <c r="L186" s="5">
        <v>347124</v>
      </c>
      <c r="M186" s="5">
        <v>37191.86</v>
      </c>
      <c r="N186" s="5">
        <v>309932.14</v>
      </c>
    </row>
    <row r="187" spans="1:14">
      <c r="A187" t="s">
        <v>545</v>
      </c>
      <c r="B187" t="s">
        <v>505</v>
      </c>
      <c r="C187" t="s">
        <v>60</v>
      </c>
      <c r="D187" s="6">
        <v>0</v>
      </c>
      <c r="E187" t="s">
        <v>505</v>
      </c>
      <c r="F187" t="s">
        <v>56</v>
      </c>
      <c r="G187" t="s">
        <v>546</v>
      </c>
      <c r="H187" t="s">
        <v>547</v>
      </c>
      <c r="I187" s="5">
        <v>83454.48</v>
      </c>
      <c r="L187" s="5">
        <v>83454.48</v>
      </c>
      <c r="M187" s="5">
        <v>8941.5499999999993</v>
      </c>
      <c r="N187" s="5">
        <v>74512.929999999993</v>
      </c>
    </row>
    <row r="188" spans="1:14">
      <c r="A188" t="s">
        <v>548</v>
      </c>
      <c r="B188" t="s">
        <v>505</v>
      </c>
      <c r="C188" t="s">
        <v>18</v>
      </c>
      <c r="D188" s="6">
        <v>0</v>
      </c>
      <c r="E188" t="s">
        <v>505</v>
      </c>
      <c r="F188" t="s">
        <v>56</v>
      </c>
      <c r="G188" t="s">
        <v>412</v>
      </c>
      <c r="H188" t="s">
        <v>549</v>
      </c>
      <c r="I188" s="5">
        <v>308052</v>
      </c>
      <c r="J188" s="4">
        <v>-9241.56</v>
      </c>
      <c r="L188" s="5">
        <v>298810.44</v>
      </c>
      <c r="M188" s="5">
        <v>32015.4</v>
      </c>
      <c r="N188" s="5">
        <v>266795.03999999998</v>
      </c>
    </row>
    <row r="189" spans="1:14">
      <c r="A189" t="s">
        <v>550</v>
      </c>
      <c r="B189" t="s">
        <v>505</v>
      </c>
      <c r="C189" t="s">
        <v>68</v>
      </c>
      <c r="D189" s="6">
        <v>60</v>
      </c>
      <c r="E189" t="s">
        <v>509</v>
      </c>
      <c r="F189" t="s">
        <v>69</v>
      </c>
      <c r="G189" t="s">
        <v>70</v>
      </c>
      <c r="H189" t="s">
        <v>551</v>
      </c>
      <c r="I189" s="5">
        <v>2419200</v>
      </c>
      <c r="L189" s="5">
        <v>2419200</v>
      </c>
      <c r="M189" s="5">
        <v>259200</v>
      </c>
      <c r="N189" s="5">
        <v>2160000</v>
      </c>
    </row>
    <row r="190" spans="1:14">
      <c r="A190" t="s">
        <v>552</v>
      </c>
      <c r="B190" t="s">
        <v>505</v>
      </c>
      <c r="C190" t="s">
        <v>73</v>
      </c>
      <c r="D190" s="6">
        <v>30</v>
      </c>
      <c r="E190" t="s">
        <v>518</v>
      </c>
      <c r="F190" t="s">
        <v>19</v>
      </c>
      <c r="G190" t="s">
        <v>553</v>
      </c>
      <c r="H190" t="s">
        <v>554</v>
      </c>
      <c r="I190" s="5">
        <v>89266</v>
      </c>
      <c r="L190" s="5">
        <v>89266</v>
      </c>
      <c r="M190" s="5">
        <v>9564.2099999999991</v>
      </c>
      <c r="N190" s="5">
        <v>79701.789999999994</v>
      </c>
    </row>
    <row r="191" spans="1:14">
      <c r="A191" t="s">
        <v>555</v>
      </c>
      <c r="B191" t="s">
        <v>505</v>
      </c>
      <c r="C191" t="s">
        <v>73</v>
      </c>
      <c r="D191" s="6">
        <v>30</v>
      </c>
      <c r="E191" t="s">
        <v>518</v>
      </c>
      <c r="F191" t="s">
        <v>19</v>
      </c>
      <c r="G191" t="s">
        <v>553</v>
      </c>
      <c r="H191" t="s">
        <v>556</v>
      </c>
      <c r="I191" s="5">
        <v>120774</v>
      </c>
      <c r="L191" s="5">
        <v>120774</v>
      </c>
      <c r="M191" s="5">
        <v>12940.07</v>
      </c>
      <c r="N191" s="5">
        <v>107833.93</v>
      </c>
    </row>
    <row r="192" spans="1:14">
      <c r="A192" t="s">
        <v>557</v>
      </c>
      <c r="B192" t="s">
        <v>505</v>
      </c>
      <c r="C192" t="s">
        <v>94</v>
      </c>
      <c r="D192" s="6">
        <v>0</v>
      </c>
      <c r="E192" t="s">
        <v>505</v>
      </c>
      <c r="F192" t="s">
        <v>46</v>
      </c>
      <c r="G192" t="s">
        <v>558</v>
      </c>
      <c r="H192" t="s">
        <v>559</v>
      </c>
      <c r="I192" s="5">
        <v>250000</v>
      </c>
      <c r="L192" s="5">
        <v>250000</v>
      </c>
      <c r="M192" s="5">
        <v>26785.71</v>
      </c>
      <c r="N192" s="5">
        <v>223214.29</v>
      </c>
    </row>
    <row r="193" spans="1:14">
      <c r="A193" t="s">
        <v>560</v>
      </c>
      <c r="B193" t="s">
        <v>505</v>
      </c>
      <c r="C193" t="s">
        <v>94</v>
      </c>
      <c r="D193" s="6">
        <v>0</v>
      </c>
      <c r="E193" t="s">
        <v>505</v>
      </c>
      <c r="F193" t="s">
        <v>46</v>
      </c>
      <c r="G193" t="s">
        <v>558</v>
      </c>
      <c r="H193" t="s">
        <v>561</v>
      </c>
      <c r="I193" s="5">
        <v>250000</v>
      </c>
      <c r="L193" s="5">
        <v>250000</v>
      </c>
      <c r="M193" s="5">
        <v>26785.71</v>
      </c>
      <c r="N193" s="5">
        <v>223214.29</v>
      </c>
    </row>
    <row r="194" spans="1:14">
      <c r="A194" t="s">
        <v>562</v>
      </c>
      <c r="B194" t="s">
        <v>505</v>
      </c>
      <c r="C194" t="s">
        <v>29</v>
      </c>
      <c r="D194" s="6">
        <v>0</v>
      </c>
      <c r="E194" t="s">
        <v>505</v>
      </c>
      <c r="F194" t="s">
        <v>139</v>
      </c>
      <c r="G194" t="s">
        <v>140</v>
      </c>
      <c r="H194" t="s">
        <v>563</v>
      </c>
      <c r="I194" s="5">
        <v>12142</v>
      </c>
      <c r="L194" s="5">
        <v>12142</v>
      </c>
      <c r="M194" s="5">
        <v>1300.93</v>
      </c>
      <c r="N194" s="5">
        <v>10841.07</v>
      </c>
    </row>
    <row r="195" spans="1:14">
      <c r="A195" t="s">
        <v>564</v>
      </c>
      <c r="B195" t="s">
        <v>505</v>
      </c>
      <c r="C195" t="s">
        <v>73</v>
      </c>
      <c r="D195" s="6">
        <v>30</v>
      </c>
      <c r="E195" t="s">
        <v>518</v>
      </c>
      <c r="F195" t="s">
        <v>19</v>
      </c>
      <c r="G195" t="s">
        <v>267</v>
      </c>
      <c r="H195" t="s">
        <v>485</v>
      </c>
      <c r="I195" s="5">
        <v>120600</v>
      </c>
      <c r="L195" s="5">
        <v>120600</v>
      </c>
      <c r="M195" s="5">
        <v>12921.43</v>
      </c>
      <c r="N195" s="5">
        <v>107678.57</v>
      </c>
    </row>
    <row r="196" spans="1:14">
      <c r="A196" t="s">
        <v>565</v>
      </c>
      <c r="B196" t="s">
        <v>505</v>
      </c>
      <c r="C196" t="s">
        <v>29</v>
      </c>
      <c r="D196" s="6">
        <v>0</v>
      </c>
      <c r="E196" t="s">
        <v>505</v>
      </c>
      <c r="F196" t="s">
        <v>30</v>
      </c>
      <c r="G196" t="s">
        <v>31</v>
      </c>
      <c r="H196" t="s">
        <v>566</v>
      </c>
      <c r="I196" s="5">
        <v>41600</v>
      </c>
      <c r="L196" s="5">
        <v>41600</v>
      </c>
      <c r="M196" s="5">
        <v>4457.1400000000003</v>
      </c>
      <c r="N196" s="5">
        <v>37142.86</v>
      </c>
    </row>
    <row r="197" spans="1:14">
      <c r="A197" t="s">
        <v>567</v>
      </c>
      <c r="B197" t="s">
        <v>505</v>
      </c>
      <c r="C197" t="s">
        <v>29</v>
      </c>
      <c r="D197" s="6">
        <v>0</v>
      </c>
      <c r="E197" t="s">
        <v>505</v>
      </c>
      <c r="F197" t="s">
        <v>30</v>
      </c>
      <c r="G197" t="s">
        <v>155</v>
      </c>
      <c r="H197" t="s">
        <v>568</v>
      </c>
      <c r="I197" s="5">
        <v>100352</v>
      </c>
      <c r="L197" s="5">
        <v>100352</v>
      </c>
      <c r="M197" s="5">
        <v>10752</v>
      </c>
      <c r="N197" s="5">
        <v>89600</v>
      </c>
    </row>
    <row r="198" spans="1:14">
      <c r="A198" t="s">
        <v>569</v>
      </c>
      <c r="B198" t="s">
        <v>505</v>
      </c>
      <c r="C198" t="s">
        <v>29</v>
      </c>
      <c r="D198" s="6">
        <v>0</v>
      </c>
      <c r="E198" t="s">
        <v>505</v>
      </c>
      <c r="F198" t="s">
        <v>30</v>
      </c>
      <c r="G198" t="s">
        <v>31</v>
      </c>
      <c r="H198" t="s">
        <v>570</v>
      </c>
      <c r="I198" s="5">
        <v>99186</v>
      </c>
      <c r="L198" s="5">
        <v>99186</v>
      </c>
      <c r="M198" s="5">
        <v>10627.07</v>
      </c>
      <c r="N198" s="5">
        <v>88558.93</v>
      </c>
    </row>
    <row r="199" spans="1:14">
      <c r="A199" t="s">
        <v>571</v>
      </c>
      <c r="B199" t="s">
        <v>505</v>
      </c>
      <c r="C199" t="s">
        <v>167</v>
      </c>
      <c r="D199" s="6">
        <v>90</v>
      </c>
      <c r="E199" t="s">
        <v>532</v>
      </c>
      <c r="F199" t="s">
        <v>56</v>
      </c>
      <c r="G199" t="s">
        <v>190</v>
      </c>
      <c r="H199" t="s">
        <v>572</v>
      </c>
      <c r="I199" s="5">
        <v>260736</v>
      </c>
      <c r="L199" s="5">
        <v>260736</v>
      </c>
      <c r="M199" s="5">
        <v>27936</v>
      </c>
      <c r="N199" s="5">
        <v>232800</v>
      </c>
    </row>
    <row r="200" spans="1:14">
      <c r="A200" t="s">
        <v>573</v>
      </c>
      <c r="B200" t="s">
        <v>505</v>
      </c>
      <c r="C200" t="s">
        <v>68</v>
      </c>
      <c r="D200" s="6">
        <v>60</v>
      </c>
      <c r="E200" t="s">
        <v>509</v>
      </c>
      <c r="F200" t="s">
        <v>69</v>
      </c>
      <c r="G200" t="s">
        <v>574</v>
      </c>
      <c r="H200" t="s">
        <v>575</v>
      </c>
      <c r="I200" s="5">
        <v>988600</v>
      </c>
      <c r="L200" s="5">
        <v>988600</v>
      </c>
      <c r="M200" s="5">
        <v>105921.43</v>
      </c>
      <c r="N200" s="5">
        <v>882678.57</v>
      </c>
    </row>
    <row r="201" spans="1:14">
      <c r="A201" t="s">
        <v>576</v>
      </c>
      <c r="B201" t="s">
        <v>505</v>
      </c>
      <c r="C201" t="s">
        <v>68</v>
      </c>
      <c r="D201" s="6">
        <v>60</v>
      </c>
      <c r="E201" t="s">
        <v>509</v>
      </c>
      <c r="F201" t="s">
        <v>577</v>
      </c>
      <c r="G201" t="s">
        <v>578</v>
      </c>
      <c r="H201" t="s">
        <v>579</v>
      </c>
      <c r="I201" s="5">
        <v>1978634</v>
      </c>
      <c r="L201" s="5">
        <v>1978634</v>
      </c>
      <c r="M201" s="5">
        <v>211996.5</v>
      </c>
      <c r="N201" s="5">
        <v>1766637.5</v>
      </c>
    </row>
    <row r="202" spans="1:14">
      <c r="A202" t="s">
        <v>580</v>
      </c>
      <c r="B202" t="s">
        <v>505</v>
      </c>
      <c r="C202" t="s">
        <v>18</v>
      </c>
      <c r="D202" s="6">
        <v>0</v>
      </c>
      <c r="E202" t="s">
        <v>505</v>
      </c>
      <c r="F202" t="s">
        <v>30</v>
      </c>
      <c r="G202" t="s">
        <v>581</v>
      </c>
      <c r="H202" t="s">
        <v>582</v>
      </c>
      <c r="I202" s="5">
        <v>151200</v>
      </c>
      <c r="L202" s="5">
        <v>151200</v>
      </c>
      <c r="M202" s="5">
        <v>16200</v>
      </c>
      <c r="N202" s="5">
        <v>135000</v>
      </c>
    </row>
    <row r="203" spans="1:14">
      <c r="A203" t="s">
        <v>583</v>
      </c>
      <c r="B203" t="s">
        <v>505</v>
      </c>
      <c r="C203" t="s">
        <v>18</v>
      </c>
      <c r="D203" s="6">
        <v>0</v>
      </c>
      <c r="E203" t="s">
        <v>505</v>
      </c>
      <c r="F203" t="s">
        <v>30</v>
      </c>
      <c r="G203" t="s">
        <v>581</v>
      </c>
      <c r="H203" t="s">
        <v>584</v>
      </c>
      <c r="I203" s="5">
        <v>23800</v>
      </c>
      <c r="L203" s="5">
        <v>23800</v>
      </c>
      <c r="M203" s="5">
        <v>2550</v>
      </c>
      <c r="N203" s="5">
        <v>21250</v>
      </c>
    </row>
    <row r="204" spans="1:14">
      <c r="A204" t="s">
        <v>585</v>
      </c>
      <c r="B204" t="s">
        <v>505</v>
      </c>
      <c r="C204" t="s">
        <v>18</v>
      </c>
      <c r="D204" s="6">
        <v>0</v>
      </c>
      <c r="E204" t="s">
        <v>505</v>
      </c>
      <c r="F204" t="s">
        <v>30</v>
      </c>
      <c r="G204" t="s">
        <v>586</v>
      </c>
      <c r="H204" t="s">
        <v>587</v>
      </c>
      <c r="I204" s="5">
        <v>140000</v>
      </c>
      <c r="L204" s="5">
        <v>140000</v>
      </c>
      <c r="M204" s="5">
        <v>15000</v>
      </c>
      <c r="N204" s="5">
        <v>125000</v>
      </c>
    </row>
    <row r="205" spans="1:14">
      <c r="A205" t="s">
        <v>588</v>
      </c>
      <c r="B205" t="s">
        <v>505</v>
      </c>
      <c r="C205" t="s">
        <v>146</v>
      </c>
      <c r="D205" s="6">
        <v>90</v>
      </c>
      <c r="E205" t="s">
        <v>532</v>
      </c>
      <c r="F205" t="s">
        <v>139</v>
      </c>
      <c r="G205" t="s">
        <v>589</v>
      </c>
      <c r="H205" t="s">
        <v>590</v>
      </c>
      <c r="I205" s="5">
        <v>533750</v>
      </c>
      <c r="L205" s="5">
        <v>533750</v>
      </c>
      <c r="M205" s="5">
        <v>57187.5</v>
      </c>
      <c r="N205" s="5">
        <v>476562.5</v>
      </c>
    </row>
    <row r="206" spans="1:14">
      <c r="A206" t="s">
        <v>591</v>
      </c>
      <c r="B206" t="s">
        <v>505</v>
      </c>
      <c r="C206" t="s">
        <v>68</v>
      </c>
      <c r="D206" s="6">
        <v>60</v>
      </c>
      <c r="E206" t="s">
        <v>509</v>
      </c>
      <c r="F206" t="s">
        <v>69</v>
      </c>
      <c r="G206" t="s">
        <v>574</v>
      </c>
      <c r="H206" t="s">
        <v>592</v>
      </c>
      <c r="I206" s="5">
        <v>70510</v>
      </c>
      <c r="L206" s="5">
        <v>70510</v>
      </c>
      <c r="M206" s="5">
        <v>7554.64</v>
      </c>
      <c r="N206" s="5">
        <v>62955.360000000001</v>
      </c>
    </row>
    <row r="207" spans="1:14">
      <c r="A207" t="s">
        <v>593</v>
      </c>
      <c r="B207" t="s">
        <v>505</v>
      </c>
      <c r="C207" t="s">
        <v>68</v>
      </c>
      <c r="D207" s="6">
        <v>60</v>
      </c>
      <c r="E207" t="s">
        <v>509</v>
      </c>
      <c r="F207" t="s">
        <v>69</v>
      </c>
      <c r="G207" t="s">
        <v>574</v>
      </c>
      <c r="H207" t="s">
        <v>594</v>
      </c>
      <c r="I207" s="5">
        <v>2221065</v>
      </c>
      <c r="L207" s="5">
        <v>2221065</v>
      </c>
      <c r="M207" s="5">
        <v>237971.25</v>
      </c>
      <c r="N207" s="5">
        <v>1983093.75</v>
      </c>
    </row>
    <row r="208" spans="1:14">
      <c r="A208" t="s">
        <v>595</v>
      </c>
      <c r="B208" t="s">
        <v>596</v>
      </c>
      <c r="C208" t="s">
        <v>146</v>
      </c>
      <c r="D208" s="6">
        <v>90</v>
      </c>
      <c r="E208" t="s">
        <v>597</v>
      </c>
      <c r="F208" t="s">
        <v>270</v>
      </c>
      <c r="G208" t="s">
        <v>598</v>
      </c>
      <c r="H208" t="s">
        <v>599</v>
      </c>
      <c r="I208" s="5">
        <v>53721</v>
      </c>
      <c r="L208" s="5">
        <v>53721</v>
      </c>
      <c r="M208" s="5">
        <v>5755.82</v>
      </c>
      <c r="N208" s="5">
        <v>47965.18</v>
      </c>
    </row>
    <row r="209" spans="1:14">
      <c r="A209" t="s">
        <v>600</v>
      </c>
      <c r="B209" t="s">
        <v>596</v>
      </c>
      <c r="C209" t="s">
        <v>98</v>
      </c>
      <c r="D209" s="6">
        <v>0</v>
      </c>
      <c r="E209" t="s">
        <v>596</v>
      </c>
      <c r="F209" t="s">
        <v>46</v>
      </c>
      <c r="G209" t="s">
        <v>392</v>
      </c>
      <c r="H209" t="s">
        <v>601</v>
      </c>
      <c r="I209" s="5">
        <v>340975</v>
      </c>
      <c r="L209" s="5">
        <v>340975</v>
      </c>
      <c r="M209" s="5">
        <v>36533.040000000001</v>
      </c>
      <c r="N209" s="5">
        <v>304441.96000000002</v>
      </c>
    </row>
    <row r="210" spans="1:14">
      <c r="A210" t="s">
        <v>602</v>
      </c>
      <c r="B210" t="s">
        <v>596</v>
      </c>
      <c r="C210" t="s">
        <v>167</v>
      </c>
      <c r="D210" s="6">
        <v>90</v>
      </c>
      <c r="E210" t="s">
        <v>597</v>
      </c>
      <c r="F210" t="s">
        <v>56</v>
      </c>
      <c r="G210" t="s">
        <v>190</v>
      </c>
      <c r="H210" t="s">
        <v>603</v>
      </c>
      <c r="I210" s="5">
        <v>313116</v>
      </c>
      <c r="L210" s="5">
        <v>313116</v>
      </c>
      <c r="M210" s="5">
        <v>33548.14</v>
      </c>
      <c r="N210" s="5">
        <v>279567.86</v>
      </c>
    </row>
    <row r="211" spans="1:14">
      <c r="A211" t="s">
        <v>604</v>
      </c>
      <c r="B211" t="s">
        <v>596</v>
      </c>
      <c r="C211" t="s">
        <v>60</v>
      </c>
      <c r="D211" s="6">
        <v>0</v>
      </c>
      <c r="E211" t="s">
        <v>596</v>
      </c>
      <c r="F211" t="s">
        <v>56</v>
      </c>
      <c r="G211" t="s">
        <v>605</v>
      </c>
      <c r="H211" t="s">
        <v>606</v>
      </c>
      <c r="I211" s="5">
        <v>117620</v>
      </c>
      <c r="L211" s="5">
        <v>117620</v>
      </c>
      <c r="M211" s="5">
        <v>12602.14</v>
      </c>
      <c r="N211" s="5">
        <v>105017.86</v>
      </c>
    </row>
    <row r="212" spans="1:14">
      <c r="A212" t="s">
        <v>607</v>
      </c>
      <c r="B212" t="s">
        <v>596</v>
      </c>
      <c r="C212" t="s">
        <v>60</v>
      </c>
      <c r="D212" s="6">
        <v>0</v>
      </c>
      <c r="E212" t="s">
        <v>596</v>
      </c>
      <c r="F212" t="s">
        <v>329</v>
      </c>
      <c r="G212" t="s">
        <v>608</v>
      </c>
      <c r="H212" t="s">
        <v>609</v>
      </c>
      <c r="I212" s="5">
        <v>142360</v>
      </c>
      <c r="J212" s="4">
        <v>-2847.2</v>
      </c>
      <c r="L212" s="5">
        <v>139512.79999999999</v>
      </c>
      <c r="M212" s="5">
        <v>14947.8</v>
      </c>
      <c r="N212" s="5">
        <v>124565</v>
      </c>
    </row>
    <row r="213" spans="1:14">
      <c r="A213" t="s">
        <v>610</v>
      </c>
      <c r="B213" t="s">
        <v>596</v>
      </c>
      <c r="C213" t="s">
        <v>60</v>
      </c>
      <c r="D213" s="6">
        <v>0</v>
      </c>
      <c r="E213" t="s">
        <v>596</v>
      </c>
      <c r="F213" t="s">
        <v>329</v>
      </c>
      <c r="G213" t="s">
        <v>608</v>
      </c>
      <c r="H213" t="s">
        <v>611</v>
      </c>
      <c r="I213" s="5">
        <v>31906</v>
      </c>
      <c r="J213" s="4">
        <v>-638.12</v>
      </c>
      <c r="L213" s="5">
        <v>31267.88</v>
      </c>
      <c r="M213" s="5">
        <v>3350.13</v>
      </c>
      <c r="N213" s="5">
        <v>27917.75</v>
      </c>
    </row>
    <row r="214" spans="1:14">
      <c r="A214" t="s">
        <v>612</v>
      </c>
      <c r="B214" t="s">
        <v>596</v>
      </c>
      <c r="C214" t="s">
        <v>151</v>
      </c>
      <c r="D214" s="6">
        <v>60</v>
      </c>
      <c r="E214" t="s">
        <v>613</v>
      </c>
      <c r="F214" t="s">
        <v>30</v>
      </c>
      <c r="G214" t="s">
        <v>614</v>
      </c>
      <c r="H214" t="s">
        <v>615</v>
      </c>
      <c r="I214" s="5">
        <v>75600</v>
      </c>
      <c r="L214" s="5">
        <v>75600</v>
      </c>
      <c r="M214" s="5">
        <v>8100</v>
      </c>
      <c r="N214" s="5">
        <v>67500</v>
      </c>
    </row>
    <row r="215" spans="1:14">
      <c r="A215" t="s">
        <v>616</v>
      </c>
      <c r="B215" t="s">
        <v>596</v>
      </c>
      <c r="C215" t="s">
        <v>162</v>
      </c>
      <c r="D215" s="6">
        <v>90</v>
      </c>
      <c r="E215" t="s">
        <v>597</v>
      </c>
      <c r="F215" t="s">
        <v>204</v>
      </c>
      <c r="G215" t="s">
        <v>399</v>
      </c>
      <c r="H215" t="s">
        <v>617</v>
      </c>
      <c r="I215" s="5">
        <v>24500</v>
      </c>
      <c r="L215" s="5">
        <v>24500</v>
      </c>
      <c r="M215" s="5">
        <v>2625</v>
      </c>
      <c r="N215" s="5">
        <v>21875</v>
      </c>
    </row>
    <row r="216" spans="1:14">
      <c r="A216" t="s">
        <v>618</v>
      </c>
      <c r="B216" t="s">
        <v>596</v>
      </c>
      <c r="C216" t="s">
        <v>243</v>
      </c>
      <c r="D216" s="6">
        <v>30</v>
      </c>
      <c r="E216" t="s">
        <v>619</v>
      </c>
      <c r="F216" t="s">
        <v>139</v>
      </c>
      <c r="G216" t="s">
        <v>620</v>
      </c>
      <c r="H216" t="s">
        <v>621</v>
      </c>
      <c r="I216" s="5">
        <v>91230</v>
      </c>
      <c r="L216" s="5">
        <v>91230</v>
      </c>
      <c r="M216" s="5">
        <v>9774.64</v>
      </c>
      <c r="N216" s="5">
        <v>81455.360000000001</v>
      </c>
    </row>
    <row r="217" spans="1:14" s="10" customFormat="1">
      <c r="A217" s="10" t="s">
        <v>622</v>
      </c>
      <c r="B217" s="10" t="s">
        <v>596</v>
      </c>
      <c r="C217" s="10" t="s">
        <v>29</v>
      </c>
      <c r="D217" s="11">
        <v>0</v>
      </c>
      <c r="E217" s="10" t="s">
        <v>596</v>
      </c>
      <c r="F217" s="10" t="s">
        <v>50</v>
      </c>
      <c r="G217" s="10" t="s">
        <v>51</v>
      </c>
      <c r="H217" s="10" t="s">
        <v>623</v>
      </c>
      <c r="I217" s="9">
        <v>11657.2</v>
      </c>
      <c r="L217" s="9">
        <v>11657.2</v>
      </c>
      <c r="M217" s="9">
        <v>1248.99</v>
      </c>
      <c r="N217" s="9">
        <v>10408.209999999999</v>
      </c>
    </row>
    <row r="218" spans="1:14">
      <c r="A218" t="s">
        <v>624</v>
      </c>
      <c r="B218" t="s">
        <v>596</v>
      </c>
      <c r="C218" t="s">
        <v>243</v>
      </c>
      <c r="D218" s="6">
        <v>30</v>
      </c>
      <c r="E218" t="s">
        <v>619</v>
      </c>
      <c r="F218" t="s">
        <v>625</v>
      </c>
      <c r="G218" t="s">
        <v>626</v>
      </c>
      <c r="H218" t="s">
        <v>627</v>
      </c>
      <c r="I218" s="5">
        <v>4900</v>
      </c>
      <c r="L218" s="5">
        <v>4900</v>
      </c>
      <c r="M218" s="7">
        <v>525</v>
      </c>
      <c r="N218" s="5">
        <v>4375</v>
      </c>
    </row>
    <row r="219" spans="1:14">
      <c r="A219" t="s">
        <v>628</v>
      </c>
      <c r="B219" t="s">
        <v>596</v>
      </c>
      <c r="C219" t="s">
        <v>167</v>
      </c>
      <c r="D219" s="6">
        <v>90</v>
      </c>
      <c r="E219" t="s">
        <v>597</v>
      </c>
      <c r="F219" t="s">
        <v>56</v>
      </c>
      <c r="G219" t="s">
        <v>168</v>
      </c>
      <c r="H219" t="s">
        <v>629</v>
      </c>
      <c r="I219" s="5">
        <v>52800</v>
      </c>
      <c r="L219" s="5">
        <v>52800</v>
      </c>
      <c r="M219" s="5">
        <v>5657.14</v>
      </c>
      <c r="N219" s="5">
        <v>47142.86</v>
      </c>
    </row>
    <row r="220" spans="1:14">
      <c r="A220" t="s">
        <v>630</v>
      </c>
      <c r="B220" t="s">
        <v>596</v>
      </c>
      <c r="C220" t="s">
        <v>68</v>
      </c>
      <c r="D220" s="6">
        <v>60</v>
      </c>
      <c r="E220" t="s">
        <v>613</v>
      </c>
      <c r="F220" t="s">
        <v>69</v>
      </c>
      <c r="G220" t="s">
        <v>70</v>
      </c>
      <c r="H220" t="s">
        <v>631</v>
      </c>
      <c r="I220" s="5">
        <v>2419200</v>
      </c>
      <c r="L220" s="5">
        <v>2419200</v>
      </c>
      <c r="M220" s="5">
        <v>259200</v>
      </c>
      <c r="N220" s="5">
        <v>2160000</v>
      </c>
    </row>
    <row r="221" spans="1:14">
      <c r="A221" t="s">
        <v>632</v>
      </c>
      <c r="B221" t="s">
        <v>596</v>
      </c>
      <c r="C221" t="s">
        <v>162</v>
      </c>
      <c r="D221" s="6">
        <v>90</v>
      </c>
      <c r="E221" t="s">
        <v>597</v>
      </c>
      <c r="F221" t="s">
        <v>36</v>
      </c>
      <c r="G221" t="s">
        <v>193</v>
      </c>
      <c r="H221" t="s">
        <v>633</v>
      </c>
      <c r="I221" s="5">
        <v>44000</v>
      </c>
      <c r="L221" s="5">
        <v>44000</v>
      </c>
      <c r="M221" s="5">
        <v>4714.29</v>
      </c>
      <c r="N221" s="5">
        <v>39285.71</v>
      </c>
    </row>
    <row r="222" spans="1:14">
      <c r="A222" t="s">
        <v>634</v>
      </c>
      <c r="B222" t="s">
        <v>596</v>
      </c>
      <c r="C222" t="s">
        <v>146</v>
      </c>
      <c r="D222" s="6">
        <v>90</v>
      </c>
      <c r="E222" t="s">
        <v>597</v>
      </c>
      <c r="F222" t="s">
        <v>19</v>
      </c>
      <c r="G222" t="s">
        <v>543</v>
      </c>
      <c r="H222" t="s">
        <v>635</v>
      </c>
      <c r="I222" s="5">
        <v>199515</v>
      </c>
      <c r="L222" s="5">
        <v>199515</v>
      </c>
      <c r="M222" s="5">
        <v>21376.61</v>
      </c>
      <c r="N222" s="5">
        <v>178138.39</v>
      </c>
    </row>
    <row r="223" spans="1:14">
      <c r="A223" t="s">
        <v>636</v>
      </c>
      <c r="B223" t="s">
        <v>637</v>
      </c>
      <c r="C223" t="s">
        <v>73</v>
      </c>
      <c r="D223" s="6">
        <v>30</v>
      </c>
      <c r="E223" t="s">
        <v>638</v>
      </c>
      <c r="F223" t="s">
        <v>56</v>
      </c>
      <c r="G223" t="s">
        <v>126</v>
      </c>
      <c r="H223" t="s">
        <v>639</v>
      </c>
      <c r="I223" s="5">
        <v>19600</v>
      </c>
      <c r="L223" s="5">
        <v>19600</v>
      </c>
      <c r="M223" s="5">
        <v>2100</v>
      </c>
      <c r="N223" s="5">
        <v>17500</v>
      </c>
    </row>
    <row r="224" spans="1:14">
      <c r="A224" t="s">
        <v>640</v>
      </c>
      <c r="B224" t="s">
        <v>637</v>
      </c>
      <c r="C224" t="s">
        <v>117</v>
      </c>
      <c r="D224" s="6">
        <v>120</v>
      </c>
      <c r="E224" t="s">
        <v>641</v>
      </c>
      <c r="F224" t="s">
        <v>56</v>
      </c>
      <c r="G224" t="s">
        <v>642</v>
      </c>
      <c r="H224" t="s">
        <v>643</v>
      </c>
      <c r="I224" s="5">
        <v>490500</v>
      </c>
      <c r="L224" s="5">
        <v>490500</v>
      </c>
      <c r="M224" s="5">
        <v>52553.57</v>
      </c>
      <c r="N224" s="5">
        <v>437946.43</v>
      </c>
    </row>
    <row r="225" spans="1:14">
      <c r="A225" t="s">
        <v>644</v>
      </c>
      <c r="B225" t="s">
        <v>637</v>
      </c>
      <c r="C225" t="s">
        <v>29</v>
      </c>
      <c r="D225" s="6">
        <v>0</v>
      </c>
      <c r="E225" t="s">
        <v>637</v>
      </c>
      <c r="F225" t="s">
        <v>30</v>
      </c>
      <c r="G225" t="s">
        <v>31</v>
      </c>
      <c r="H225" t="s">
        <v>645</v>
      </c>
      <c r="I225" s="5">
        <v>62535</v>
      </c>
      <c r="L225" s="5">
        <v>62535</v>
      </c>
      <c r="M225" s="5">
        <v>6700.18</v>
      </c>
      <c r="N225" s="5">
        <v>55834.82</v>
      </c>
    </row>
    <row r="226" spans="1:14">
      <c r="A226" t="s">
        <v>646</v>
      </c>
      <c r="B226" t="s">
        <v>637</v>
      </c>
      <c r="C226" t="s">
        <v>29</v>
      </c>
      <c r="D226" s="6">
        <v>0</v>
      </c>
      <c r="E226" t="s">
        <v>637</v>
      </c>
      <c r="F226" t="s">
        <v>30</v>
      </c>
      <c r="G226" t="s">
        <v>31</v>
      </c>
      <c r="H226" t="s">
        <v>647</v>
      </c>
      <c r="I226" s="5">
        <v>31800</v>
      </c>
      <c r="L226" s="5">
        <v>31800</v>
      </c>
      <c r="M226" s="5">
        <v>3407.14</v>
      </c>
      <c r="N226" s="5">
        <v>28392.86</v>
      </c>
    </row>
    <row r="227" spans="1:14">
      <c r="A227" t="s">
        <v>648</v>
      </c>
      <c r="B227" t="s">
        <v>637</v>
      </c>
      <c r="C227" t="s">
        <v>29</v>
      </c>
      <c r="D227" s="6">
        <v>0</v>
      </c>
      <c r="E227" t="s">
        <v>637</v>
      </c>
      <c r="F227" t="s">
        <v>30</v>
      </c>
      <c r="G227" t="s">
        <v>31</v>
      </c>
      <c r="H227" t="s">
        <v>649</v>
      </c>
      <c r="I227" s="5">
        <v>6400</v>
      </c>
      <c r="L227" s="5">
        <v>6400</v>
      </c>
      <c r="M227" s="7">
        <v>685.71</v>
      </c>
      <c r="N227" s="5">
        <v>5714.29</v>
      </c>
    </row>
    <row r="228" spans="1:14">
      <c r="A228" t="s">
        <v>650</v>
      </c>
      <c r="B228" t="s">
        <v>637</v>
      </c>
      <c r="C228" t="s">
        <v>29</v>
      </c>
      <c r="D228" s="6">
        <v>0</v>
      </c>
      <c r="E228" t="s">
        <v>637</v>
      </c>
      <c r="F228" t="s">
        <v>30</v>
      </c>
      <c r="G228" t="s">
        <v>31</v>
      </c>
      <c r="H228" t="s">
        <v>651</v>
      </c>
      <c r="I228" s="5">
        <v>142800</v>
      </c>
      <c r="L228" s="5">
        <v>142800</v>
      </c>
      <c r="M228" s="5">
        <v>15300</v>
      </c>
      <c r="N228" s="5">
        <v>127500</v>
      </c>
    </row>
    <row r="229" spans="1:14">
      <c r="A229" t="s">
        <v>652</v>
      </c>
      <c r="B229" t="s">
        <v>637</v>
      </c>
      <c r="C229" t="s">
        <v>73</v>
      </c>
      <c r="D229" s="6">
        <v>30</v>
      </c>
      <c r="E229" t="s">
        <v>638</v>
      </c>
      <c r="F229" t="s">
        <v>56</v>
      </c>
      <c r="G229" t="s">
        <v>244</v>
      </c>
      <c r="H229" t="s">
        <v>653</v>
      </c>
      <c r="I229" s="5">
        <v>190560</v>
      </c>
      <c r="L229" s="5">
        <v>190560</v>
      </c>
      <c r="M229" s="5">
        <v>20417.14</v>
      </c>
      <c r="N229" s="5">
        <v>170142.86</v>
      </c>
    </row>
    <row r="230" spans="1:14">
      <c r="A230" t="s">
        <v>654</v>
      </c>
      <c r="B230" t="s">
        <v>637</v>
      </c>
      <c r="C230" t="s">
        <v>167</v>
      </c>
      <c r="D230" s="6">
        <v>90</v>
      </c>
      <c r="E230" t="s">
        <v>655</v>
      </c>
      <c r="F230" t="s">
        <v>56</v>
      </c>
      <c r="G230" t="s">
        <v>190</v>
      </c>
      <c r="H230" t="s">
        <v>656</v>
      </c>
      <c r="I230" s="5">
        <v>205540</v>
      </c>
      <c r="L230" s="5">
        <v>205540</v>
      </c>
      <c r="M230" s="5">
        <v>22022.14</v>
      </c>
      <c r="N230" s="5">
        <v>183517.86</v>
      </c>
    </row>
    <row r="231" spans="1:14">
      <c r="A231" t="s">
        <v>657</v>
      </c>
      <c r="B231" t="s">
        <v>637</v>
      </c>
      <c r="C231" t="s">
        <v>658</v>
      </c>
      <c r="D231" s="6">
        <v>60</v>
      </c>
      <c r="E231" t="s">
        <v>659</v>
      </c>
      <c r="F231" t="s">
        <v>46</v>
      </c>
      <c r="G231" t="s">
        <v>660</v>
      </c>
      <c r="H231" t="s">
        <v>661</v>
      </c>
      <c r="I231" s="5">
        <v>42000</v>
      </c>
      <c r="L231" s="5">
        <v>42000</v>
      </c>
      <c r="M231" s="5">
        <v>4500</v>
      </c>
      <c r="N231" s="5">
        <v>37500</v>
      </c>
    </row>
    <row r="232" spans="1:14">
      <c r="A232" t="s">
        <v>662</v>
      </c>
      <c r="B232" t="s">
        <v>637</v>
      </c>
      <c r="C232" t="s">
        <v>146</v>
      </c>
      <c r="D232" s="6">
        <v>90</v>
      </c>
      <c r="E232" t="s">
        <v>655</v>
      </c>
      <c r="F232" t="s">
        <v>69</v>
      </c>
      <c r="G232" t="s">
        <v>663</v>
      </c>
      <c r="H232" t="s">
        <v>664</v>
      </c>
      <c r="I232" s="5">
        <v>643242.6</v>
      </c>
      <c r="L232" s="5">
        <v>643242.6</v>
      </c>
      <c r="M232" s="5">
        <v>68918.850000000006</v>
      </c>
      <c r="N232" s="5">
        <v>574323.75</v>
      </c>
    </row>
    <row r="233" spans="1:14">
      <c r="A233" t="s">
        <v>665</v>
      </c>
      <c r="B233" t="s">
        <v>637</v>
      </c>
      <c r="C233" t="s">
        <v>146</v>
      </c>
      <c r="D233" s="6">
        <v>90</v>
      </c>
      <c r="E233" t="s">
        <v>655</v>
      </c>
      <c r="F233" t="s">
        <v>56</v>
      </c>
      <c r="G233" t="s">
        <v>666</v>
      </c>
      <c r="H233" t="s">
        <v>667</v>
      </c>
      <c r="I233" s="5">
        <v>710170</v>
      </c>
      <c r="L233" s="5">
        <v>710170</v>
      </c>
      <c r="M233" s="5">
        <v>76089.64</v>
      </c>
      <c r="N233" s="5">
        <v>634080.36</v>
      </c>
    </row>
    <row r="234" spans="1:14">
      <c r="A234" t="s">
        <v>668</v>
      </c>
      <c r="B234" t="s">
        <v>637</v>
      </c>
      <c r="C234" t="s">
        <v>151</v>
      </c>
      <c r="D234" s="6">
        <v>60</v>
      </c>
      <c r="E234" t="s">
        <v>659</v>
      </c>
      <c r="F234" t="s">
        <v>56</v>
      </c>
      <c r="G234" t="s">
        <v>669</v>
      </c>
      <c r="H234" t="s">
        <v>670</v>
      </c>
      <c r="I234" s="5">
        <v>23500</v>
      </c>
      <c r="L234" s="5">
        <v>23500</v>
      </c>
      <c r="M234" s="5">
        <v>2517.86</v>
      </c>
      <c r="N234" s="5">
        <v>20982.14</v>
      </c>
    </row>
    <row r="235" spans="1:14">
      <c r="A235" t="s">
        <v>671</v>
      </c>
      <c r="B235" t="s">
        <v>637</v>
      </c>
      <c r="C235" t="s">
        <v>162</v>
      </c>
      <c r="D235" s="6">
        <v>90</v>
      </c>
      <c r="E235" t="s">
        <v>655</v>
      </c>
      <c r="F235" t="s">
        <v>19</v>
      </c>
      <c r="G235" t="s">
        <v>672</v>
      </c>
      <c r="H235" t="s">
        <v>673</v>
      </c>
      <c r="I235" s="5">
        <v>11760</v>
      </c>
      <c r="L235" s="5">
        <v>11760</v>
      </c>
      <c r="M235" s="5">
        <v>1260</v>
      </c>
      <c r="N235" s="5">
        <v>10500</v>
      </c>
    </row>
    <row r="236" spans="1:14">
      <c r="A236" t="s">
        <v>674</v>
      </c>
      <c r="B236" t="s">
        <v>637</v>
      </c>
      <c r="C236" t="s">
        <v>162</v>
      </c>
      <c r="D236" s="6">
        <v>90</v>
      </c>
      <c r="E236" t="s">
        <v>655</v>
      </c>
      <c r="F236" t="s">
        <v>19</v>
      </c>
      <c r="G236" t="s">
        <v>672</v>
      </c>
      <c r="H236" t="s">
        <v>673</v>
      </c>
      <c r="I236" s="5">
        <v>11760</v>
      </c>
      <c r="L236" s="5">
        <v>11760</v>
      </c>
      <c r="M236" s="5">
        <v>1260</v>
      </c>
      <c r="N236" s="5">
        <v>10500</v>
      </c>
    </row>
    <row r="237" spans="1:14">
      <c r="A237" t="s">
        <v>675</v>
      </c>
      <c r="B237" t="s">
        <v>637</v>
      </c>
      <c r="C237" t="s">
        <v>162</v>
      </c>
      <c r="D237" s="6">
        <v>90</v>
      </c>
      <c r="E237" t="s">
        <v>655</v>
      </c>
      <c r="F237" t="s">
        <v>423</v>
      </c>
      <c r="G237" t="s">
        <v>424</v>
      </c>
      <c r="H237" t="s">
        <v>676</v>
      </c>
      <c r="I237" s="5">
        <v>88200</v>
      </c>
      <c r="L237" s="5">
        <v>88200</v>
      </c>
      <c r="M237" s="5">
        <v>9450</v>
      </c>
      <c r="N237" s="5">
        <v>78750</v>
      </c>
    </row>
    <row r="238" spans="1:14">
      <c r="A238" t="s">
        <v>677</v>
      </c>
      <c r="B238" t="s">
        <v>637</v>
      </c>
      <c r="C238" t="s">
        <v>151</v>
      </c>
      <c r="D238" s="6">
        <v>60</v>
      </c>
      <c r="E238" t="s">
        <v>659</v>
      </c>
      <c r="F238" t="s">
        <v>19</v>
      </c>
      <c r="G238" t="s">
        <v>678</v>
      </c>
      <c r="H238" t="s">
        <v>679</v>
      </c>
      <c r="I238" s="5">
        <v>162500</v>
      </c>
      <c r="L238" s="5">
        <v>162500</v>
      </c>
      <c r="M238" s="5">
        <v>17410.71</v>
      </c>
      <c r="N238" s="5">
        <v>145089.29</v>
      </c>
    </row>
    <row r="239" spans="1:14">
      <c r="A239" t="s">
        <v>680</v>
      </c>
      <c r="B239" t="s">
        <v>637</v>
      </c>
      <c r="C239" t="s">
        <v>681</v>
      </c>
      <c r="D239" s="6">
        <v>0</v>
      </c>
      <c r="E239" t="s">
        <v>637</v>
      </c>
      <c r="F239" t="s">
        <v>46</v>
      </c>
      <c r="G239" t="s">
        <v>682</v>
      </c>
      <c r="H239" t="s">
        <v>683</v>
      </c>
      <c r="I239" s="5">
        <v>7455</v>
      </c>
      <c r="L239" s="5">
        <v>7455</v>
      </c>
      <c r="M239" s="7">
        <v>798.75</v>
      </c>
      <c r="N239" s="5">
        <v>6656.25</v>
      </c>
    </row>
    <row r="240" spans="1:14">
      <c r="A240" t="s">
        <v>684</v>
      </c>
      <c r="B240" t="s">
        <v>637</v>
      </c>
      <c r="C240" t="s">
        <v>681</v>
      </c>
      <c r="D240" s="6">
        <v>0</v>
      </c>
      <c r="E240" t="s">
        <v>637</v>
      </c>
      <c r="F240" t="s">
        <v>46</v>
      </c>
      <c r="G240" t="s">
        <v>682</v>
      </c>
      <c r="H240" t="s">
        <v>685</v>
      </c>
      <c r="I240" s="5">
        <v>8452</v>
      </c>
      <c r="L240" s="5">
        <v>8452</v>
      </c>
      <c r="M240" s="7">
        <v>905.57</v>
      </c>
      <c r="N240" s="5">
        <v>7546.43</v>
      </c>
    </row>
    <row r="241" spans="1:14">
      <c r="A241" t="s">
        <v>686</v>
      </c>
      <c r="B241" t="s">
        <v>637</v>
      </c>
      <c r="C241" t="s">
        <v>73</v>
      </c>
      <c r="D241" s="6">
        <v>30</v>
      </c>
      <c r="E241" t="s">
        <v>638</v>
      </c>
      <c r="F241" t="s">
        <v>19</v>
      </c>
      <c r="G241" t="s">
        <v>267</v>
      </c>
      <c r="H241" t="s">
        <v>687</v>
      </c>
      <c r="I241" s="5">
        <v>223360</v>
      </c>
      <c r="K241" s="5">
        <v>14000</v>
      </c>
      <c r="L241" s="5">
        <v>237360</v>
      </c>
      <c r="M241" s="5">
        <v>25431.43</v>
      </c>
      <c r="N241" s="5">
        <v>211928.57</v>
      </c>
    </row>
    <row r="242" spans="1:14">
      <c r="A242" t="s">
        <v>688</v>
      </c>
      <c r="B242" t="s">
        <v>689</v>
      </c>
      <c r="C242" t="s">
        <v>60</v>
      </c>
      <c r="D242" s="6">
        <v>0</v>
      </c>
      <c r="E242" t="s">
        <v>689</v>
      </c>
      <c r="F242" t="s">
        <v>56</v>
      </c>
      <c r="G242" t="s">
        <v>293</v>
      </c>
      <c r="H242" t="s">
        <v>690</v>
      </c>
      <c r="I242" s="5">
        <v>34500</v>
      </c>
      <c r="L242" s="5">
        <v>34500</v>
      </c>
      <c r="M242" s="5">
        <v>3696.43</v>
      </c>
      <c r="N242" s="5">
        <v>30803.57</v>
      </c>
    </row>
    <row r="243" spans="1:14">
      <c r="A243" t="s">
        <v>691</v>
      </c>
      <c r="B243" t="s">
        <v>689</v>
      </c>
      <c r="C243" t="s">
        <v>151</v>
      </c>
      <c r="D243" s="6">
        <v>60</v>
      </c>
      <c r="E243" t="s">
        <v>692</v>
      </c>
      <c r="F243" t="s">
        <v>139</v>
      </c>
      <c r="G243" t="s">
        <v>264</v>
      </c>
      <c r="H243" t="s">
        <v>693</v>
      </c>
      <c r="I243" s="5">
        <v>29016</v>
      </c>
      <c r="L243" s="5">
        <v>29016</v>
      </c>
      <c r="M243" s="5">
        <v>3108.86</v>
      </c>
      <c r="N243" s="5">
        <v>25907.14</v>
      </c>
    </row>
    <row r="244" spans="1:14">
      <c r="A244" t="s">
        <v>694</v>
      </c>
      <c r="B244" t="s">
        <v>689</v>
      </c>
      <c r="C244" t="s">
        <v>151</v>
      </c>
      <c r="D244" s="6">
        <v>60</v>
      </c>
      <c r="E244" t="s">
        <v>692</v>
      </c>
      <c r="F244" t="s">
        <v>139</v>
      </c>
      <c r="G244" t="s">
        <v>264</v>
      </c>
      <c r="H244" t="s">
        <v>695</v>
      </c>
      <c r="I244" s="5">
        <v>2768</v>
      </c>
      <c r="L244" s="5">
        <v>2768</v>
      </c>
      <c r="M244" s="7">
        <v>296.57</v>
      </c>
      <c r="N244" s="5">
        <v>2471.4299999999998</v>
      </c>
    </row>
    <row r="245" spans="1:14">
      <c r="A245" t="s">
        <v>696</v>
      </c>
      <c r="B245" t="s">
        <v>689</v>
      </c>
      <c r="C245" t="s">
        <v>34</v>
      </c>
      <c r="D245" s="6">
        <v>60</v>
      </c>
      <c r="E245" t="s">
        <v>692</v>
      </c>
      <c r="F245" t="s">
        <v>69</v>
      </c>
      <c r="G245" t="s">
        <v>697</v>
      </c>
      <c r="H245" t="s">
        <v>698</v>
      </c>
      <c r="I245" s="5">
        <v>167725</v>
      </c>
      <c r="L245" s="5">
        <v>167725</v>
      </c>
      <c r="M245" s="5">
        <v>17970.54</v>
      </c>
      <c r="N245" s="5">
        <v>149754.46</v>
      </c>
    </row>
    <row r="246" spans="1:14">
      <c r="A246" t="s">
        <v>699</v>
      </c>
      <c r="B246" t="s">
        <v>689</v>
      </c>
      <c r="C246" t="s">
        <v>60</v>
      </c>
      <c r="D246" s="6">
        <v>0</v>
      </c>
      <c r="E246" t="s">
        <v>689</v>
      </c>
      <c r="F246" t="s">
        <v>56</v>
      </c>
      <c r="G246" t="s">
        <v>196</v>
      </c>
      <c r="H246" t="s">
        <v>700</v>
      </c>
      <c r="I246" s="5">
        <v>321457</v>
      </c>
      <c r="L246" s="5">
        <v>321457</v>
      </c>
      <c r="M246" s="5">
        <v>34441.82</v>
      </c>
      <c r="N246" s="5">
        <v>287015.18</v>
      </c>
    </row>
    <row r="247" spans="1:14">
      <c r="A247" t="s">
        <v>701</v>
      </c>
      <c r="B247" t="s">
        <v>689</v>
      </c>
      <c r="C247" t="s">
        <v>60</v>
      </c>
      <c r="D247" s="6">
        <v>0</v>
      </c>
      <c r="E247" t="s">
        <v>689</v>
      </c>
      <c r="F247" t="s">
        <v>56</v>
      </c>
      <c r="G247" t="s">
        <v>196</v>
      </c>
      <c r="H247" t="s">
        <v>702</v>
      </c>
      <c r="I247" s="5">
        <v>168063</v>
      </c>
      <c r="L247" s="5">
        <v>168063</v>
      </c>
      <c r="M247" s="5">
        <v>18006.75</v>
      </c>
      <c r="N247" s="5">
        <v>150056.25</v>
      </c>
    </row>
    <row r="248" spans="1:14">
      <c r="A248" t="s">
        <v>703</v>
      </c>
      <c r="B248" t="s">
        <v>689</v>
      </c>
      <c r="C248" t="s">
        <v>73</v>
      </c>
      <c r="D248" s="6">
        <v>30</v>
      </c>
      <c r="E248" t="s">
        <v>704</v>
      </c>
      <c r="F248" t="s">
        <v>270</v>
      </c>
      <c r="G248" t="s">
        <v>705</v>
      </c>
      <c r="H248" t="s">
        <v>706</v>
      </c>
      <c r="I248" s="5">
        <v>88200</v>
      </c>
      <c r="L248" s="5">
        <v>88200</v>
      </c>
      <c r="M248" s="5">
        <v>9450</v>
      </c>
      <c r="N248" s="5">
        <v>78750</v>
      </c>
    </row>
    <row r="249" spans="1:14">
      <c r="A249" t="s">
        <v>707</v>
      </c>
      <c r="B249" t="s">
        <v>689</v>
      </c>
      <c r="C249" t="s">
        <v>104</v>
      </c>
      <c r="D249" s="6">
        <v>0</v>
      </c>
      <c r="E249" t="s">
        <v>689</v>
      </c>
      <c r="F249" t="s">
        <v>69</v>
      </c>
      <c r="G249" t="s">
        <v>277</v>
      </c>
      <c r="H249" t="s">
        <v>708</v>
      </c>
      <c r="I249" s="5">
        <v>191660</v>
      </c>
      <c r="L249" s="5">
        <v>191660</v>
      </c>
      <c r="M249" s="5">
        <v>20535</v>
      </c>
      <c r="N249" s="5">
        <v>171125</v>
      </c>
    </row>
    <row r="250" spans="1:14">
      <c r="A250" t="s">
        <v>709</v>
      </c>
      <c r="B250" t="s">
        <v>689</v>
      </c>
      <c r="C250" t="s">
        <v>34</v>
      </c>
      <c r="D250" s="6">
        <v>60</v>
      </c>
      <c r="E250" t="s">
        <v>692</v>
      </c>
      <c r="F250" t="s">
        <v>30</v>
      </c>
      <c r="G250" t="s">
        <v>201</v>
      </c>
      <c r="H250" t="s">
        <v>710</v>
      </c>
      <c r="I250" s="5">
        <v>9540</v>
      </c>
      <c r="L250" s="5">
        <v>9540</v>
      </c>
      <c r="M250" s="5">
        <v>1022.14</v>
      </c>
      <c r="N250" s="5">
        <v>8517.86</v>
      </c>
    </row>
    <row r="251" spans="1:14">
      <c r="A251" t="s">
        <v>711</v>
      </c>
      <c r="B251" t="s">
        <v>689</v>
      </c>
      <c r="C251" t="s">
        <v>104</v>
      </c>
      <c r="D251" s="6">
        <v>0</v>
      </c>
      <c r="E251" t="s">
        <v>689</v>
      </c>
      <c r="F251" t="s">
        <v>30</v>
      </c>
      <c r="G251" t="s">
        <v>712</v>
      </c>
      <c r="H251" t="s">
        <v>713</v>
      </c>
      <c r="I251" s="5">
        <v>397768</v>
      </c>
      <c r="L251" s="5">
        <v>397768</v>
      </c>
      <c r="M251" s="5">
        <v>42618</v>
      </c>
      <c r="N251" s="5">
        <v>355150</v>
      </c>
    </row>
    <row r="252" spans="1:14">
      <c r="A252" t="s">
        <v>714</v>
      </c>
      <c r="B252" t="s">
        <v>689</v>
      </c>
      <c r="C252" t="s">
        <v>104</v>
      </c>
      <c r="D252" s="6">
        <v>0</v>
      </c>
      <c r="E252" t="s">
        <v>689</v>
      </c>
      <c r="F252" t="s">
        <v>30</v>
      </c>
      <c r="G252" t="s">
        <v>712</v>
      </c>
      <c r="H252" t="s">
        <v>715</v>
      </c>
      <c r="I252" s="5">
        <v>38400</v>
      </c>
      <c r="L252" s="5">
        <v>38400</v>
      </c>
      <c r="M252" s="5">
        <v>4114.29</v>
      </c>
      <c r="N252" s="5">
        <v>34285.71</v>
      </c>
    </row>
    <row r="253" spans="1:14">
      <c r="A253" t="s">
        <v>716</v>
      </c>
      <c r="B253" t="s">
        <v>689</v>
      </c>
      <c r="C253" t="s">
        <v>104</v>
      </c>
      <c r="D253" s="6">
        <v>0</v>
      </c>
      <c r="E253" t="s">
        <v>689</v>
      </c>
      <c r="F253" t="s">
        <v>30</v>
      </c>
      <c r="G253" t="s">
        <v>712</v>
      </c>
      <c r="H253" t="s">
        <v>717</v>
      </c>
      <c r="I253" s="5">
        <v>47488</v>
      </c>
      <c r="L253" s="5">
        <v>47488</v>
      </c>
      <c r="M253" s="5">
        <v>5088</v>
      </c>
      <c r="N253" s="5">
        <v>42400</v>
      </c>
    </row>
    <row r="254" spans="1:14">
      <c r="A254" t="s">
        <v>718</v>
      </c>
      <c r="B254" t="s">
        <v>689</v>
      </c>
      <c r="C254" t="s">
        <v>60</v>
      </c>
      <c r="D254" s="6">
        <v>0</v>
      </c>
      <c r="E254" t="s">
        <v>689</v>
      </c>
      <c r="F254" t="s">
        <v>56</v>
      </c>
      <c r="G254" t="s">
        <v>196</v>
      </c>
      <c r="H254" t="s">
        <v>719</v>
      </c>
      <c r="I254" s="5">
        <v>86505</v>
      </c>
      <c r="L254" s="5">
        <v>86505</v>
      </c>
      <c r="M254" s="5">
        <v>9268.39</v>
      </c>
      <c r="N254" s="5">
        <v>77236.61</v>
      </c>
    </row>
    <row r="255" spans="1:14">
      <c r="A255" t="s">
        <v>720</v>
      </c>
      <c r="B255" t="s">
        <v>689</v>
      </c>
      <c r="C255" t="s">
        <v>23</v>
      </c>
      <c r="D255" s="6">
        <v>30</v>
      </c>
      <c r="E255" t="s">
        <v>704</v>
      </c>
      <c r="F255" t="s">
        <v>180</v>
      </c>
      <c r="G255" t="s">
        <v>224</v>
      </c>
      <c r="H255" t="s">
        <v>721</v>
      </c>
      <c r="I255" s="5">
        <v>22900</v>
      </c>
      <c r="L255" s="5">
        <v>22900</v>
      </c>
      <c r="M255" s="5">
        <v>2453.5700000000002</v>
      </c>
      <c r="N255" s="5">
        <v>20446.43</v>
      </c>
    </row>
    <row r="256" spans="1:14">
      <c r="A256" t="s">
        <v>722</v>
      </c>
      <c r="B256" t="s">
        <v>689</v>
      </c>
      <c r="C256" t="s">
        <v>23</v>
      </c>
      <c r="D256" s="6">
        <v>30</v>
      </c>
      <c r="E256" t="s">
        <v>704</v>
      </c>
      <c r="F256" t="s">
        <v>180</v>
      </c>
      <c r="G256" t="s">
        <v>224</v>
      </c>
      <c r="H256" t="s">
        <v>723</v>
      </c>
      <c r="I256" s="5">
        <v>57200</v>
      </c>
      <c r="L256" s="5">
        <v>57200</v>
      </c>
      <c r="M256" s="5">
        <v>6128.57</v>
      </c>
      <c r="N256" s="5">
        <v>51071.43</v>
      </c>
    </row>
    <row r="257" spans="1:14">
      <c r="A257" t="s">
        <v>724</v>
      </c>
      <c r="B257" t="s">
        <v>689</v>
      </c>
      <c r="C257" t="s">
        <v>23</v>
      </c>
      <c r="D257" s="6">
        <v>30</v>
      </c>
      <c r="E257" t="s">
        <v>704</v>
      </c>
      <c r="F257" t="s">
        <v>180</v>
      </c>
      <c r="G257" t="s">
        <v>224</v>
      </c>
      <c r="H257" t="s">
        <v>725</v>
      </c>
      <c r="I257" s="5">
        <v>22900</v>
      </c>
      <c r="L257" s="5">
        <v>22900</v>
      </c>
      <c r="M257" s="5">
        <v>2453.5700000000002</v>
      </c>
      <c r="N257" s="5">
        <v>20446.43</v>
      </c>
    </row>
    <row r="258" spans="1:14">
      <c r="A258" t="s">
        <v>726</v>
      </c>
      <c r="B258" t="s">
        <v>689</v>
      </c>
      <c r="C258" t="s">
        <v>151</v>
      </c>
      <c r="D258" s="6">
        <v>60</v>
      </c>
      <c r="E258" t="s">
        <v>692</v>
      </c>
      <c r="F258" t="s">
        <v>727</v>
      </c>
      <c r="G258" t="s">
        <v>728</v>
      </c>
      <c r="H258" t="s">
        <v>729</v>
      </c>
      <c r="I258" s="5">
        <v>113168</v>
      </c>
      <c r="L258" s="5">
        <v>113168</v>
      </c>
      <c r="M258" s="5">
        <v>12125.14</v>
      </c>
      <c r="N258" s="5">
        <v>101042.86</v>
      </c>
    </row>
    <row r="259" spans="1:14">
      <c r="A259" t="s">
        <v>730</v>
      </c>
      <c r="B259" t="s">
        <v>689</v>
      </c>
      <c r="C259" t="s">
        <v>151</v>
      </c>
      <c r="D259" s="6">
        <v>60</v>
      </c>
      <c r="E259" t="s">
        <v>692</v>
      </c>
      <c r="F259" t="s">
        <v>727</v>
      </c>
      <c r="G259" t="s">
        <v>728</v>
      </c>
      <c r="H259" t="s">
        <v>731</v>
      </c>
      <c r="I259" s="5">
        <v>686000</v>
      </c>
      <c r="L259" s="5">
        <v>686000</v>
      </c>
      <c r="M259" s="5">
        <v>73500</v>
      </c>
      <c r="N259" s="5">
        <v>612500</v>
      </c>
    </row>
    <row r="260" spans="1:14">
      <c r="A260" t="s">
        <v>732</v>
      </c>
      <c r="B260" t="s">
        <v>689</v>
      </c>
      <c r="C260" t="s">
        <v>151</v>
      </c>
      <c r="D260" s="6">
        <v>60</v>
      </c>
      <c r="E260" t="s">
        <v>692</v>
      </c>
      <c r="F260" t="s">
        <v>727</v>
      </c>
      <c r="G260" t="s">
        <v>728</v>
      </c>
      <c r="H260" t="s">
        <v>733</v>
      </c>
      <c r="I260" s="5">
        <v>313000</v>
      </c>
      <c r="L260" s="5">
        <v>313000</v>
      </c>
      <c r="M260" s="5">
        <v>33535.71</v>
      </c>
      <c r="N260" s="5">
        <v>279464.28999999998</v>
      </c>
    </row>
    <row r="261" spans="1:14">
      <c r="A261" t="s">
        <v>734</v>
      </c>
      <c r="B261" t="s">
        <v>689</v>
      </c>
      <c r="C261" t="s">
        <v>151</v>
      </c>
      <c r="D261" s="6">
        <v>60</v>
      </c>
      <c r="E261" t="s">
        <v>692</v>
      </c>
      <c r="F261" t="s">
        <v>727</v>
      </c>
      <c r="G261" t="s">
        <v>728</v>
      </c>
      <c r="H261" t="s">
        <v>735</v>
      </c>
      <c r="I261" s="5">
        <v>111830</v>
      </c>
      <c r="L261" s="5">
        <v>111830</v>
      </c>
      <c r="M261" s="5">
        <v>11981.79</v>
      </c>
      <c r="N261" s="5">
        <v>99848.21</v>
      </c>
    </row>
    <row r="262" spans="1:14">
      <c r="A262" t="s">
        <v>736</v>
      </c>
      <c r="B262" t="s">
        <v>689</v>
      </c>
      <c r="C262" t="s">
        <v>151</v>
      </c>
      <c r="D262" s="6">
        <v>60</v>
      </c>
      <c r="E262" t="s">
        <v>692</v>
      </c>
      <c r="F262" t="s">
        <v>727</v>
      </c>
      <c r="G262" t="s">
        <v>728</v>
      </c>
      <c r="H262" t="s">
        <v>737</v>
      </c>
      <c r="I262" s="5">
        <v>313000</v>
      </c>
      <c r="L262" s="5">
        <v>313000</v>
      </c>
      <c r="M262" s="5">
        <v>33535.71</v>
      </c>
      <c r="N262" s="5">
        <v>279464.28999999998</v>
      </c>
    </row>
    <row r="263" spans="1:14">
      <c r="A263" t="s">
        <v>738</v>
      </c>
      <c r="B263" t="s">
        <v>689</v>
      </c>
      <c r="C263" t="s">
        <v>60</v>
      </c>
      <c r="D263" s="6">
        <v>0</v>
      </c>
      <c r="E263" t="s">
        <v>689</v>
      </c>
      <c r="F263" t="s">
        <v>56</v>
      </c>
      <c r="G263" t="s">
        <v>546</v>
      </c>
      <c r="H263" t="s">
        <v>739</v>
      </c>
      <c r="I263" s="5">
        <v>46363.6</v>
      </c>
      <c r="L263" s="5">
        <v>46363.6</v>
      </c>
      <c r="M263" s="5">
        <v>4967.53</v>
      </c>
      <c r="N263" s="5">
        <v>41396.07</v>
      </c>
    </row>
    <row r="264" spans="1:14">
      <c r="A264" t="s">
        <v>740</v>
      </c>
      <c r="B264" t="s">
        <v>689</v>
      </c>
      <c r="C264" t="s">
        <v>104</v>
      </c>
      <c r="D264" s="6">
        <v>0</v>
      </c>
      <c r="E264" t="s">
        <v>689</v>
      </c>
      <c r="F264" t="s">
        <v>30</v>
      </c>
      <c r="G264" t="s">
        <v>490</v>
      </c>
      <c r="H264" t="s">
        <v>741</v>
      </c>
      <c r="I264" s="5">
        <v>770100</v>
      </c>
      <c r="L264" s="5">
        <v>770100</v>
      </c>
      <c r="M264" s="5">
        <v>82510.710000000006</v>
      </c>
      <c r="N264" s="5">
        <v>687589.29</v>
      </c>
    </row>
    <row r="265" spans="1:14">
      <c r="A265" t="s">
        <v>742</v>
      </c>
      <c r="B265" t="s">
        <v>689</v>
      </c>
      <c r="C265" t="s">
        <v>29</v>
      </c>
      <c r="D265" s="6">
        <v>0</v>
      </c>
      <c r="E265" t="s">
        <v>689</v>
      </c>
      <c r="F265" t="s">
        <v>30</v>
      </c>
      <c r="G265" t="s">
        <v>218</v>
      </c>
      <c r="H265" t="s">
        <v>743</v>
      </c>
      <c r="I265" s="5">
        <v>22936</v>
      </c>
      <c r="J265" s="4">
        <v>-688.08</v>
      </c>
      <c r="L265" s="5">
        <v>22247.919999999998</v>
      </c>
      <c r="M265" s="5">
        <v>2383.71</v>
      </c>
      <c r="N265" s="5">
        <v>19864.21</v>
      </c>
    </row>
    <row r="266" spans="1:14">
      <c r="A266" t="s">
        <v>744</v>
      </c>
      <c r="B266" t="s">
        <v>689</v>
      </c>
      <c r="C266" t="s">
        <v>29</v>
      </c>
      <c r="D266" s="6">
        <v>0</v>
      </c>
      <c r="E266" t="s">
        <v>689</v>
      </c>
      <c r="F266" t="s">
        <v>30</v>
      </c>
      <c r="G266" t="s">
        <v>218</v>
      </c>
      <c r="H266" t="s">
        <v>745</v>
      </c>
      <c r="I266" s="5">
        <v>61692</v>
      </c>
      <c r="J266" s="4">
        <v>-1850.76</v>
      </c>
      <c r="L266" s="5">
        <v>59841.24</v>
      </c>
      <c r="M266" s="5">
        <v>6411.56</v>
      </c>
      <c r="N266" s="5">
        <v>53429.68</v>
      </c>
    </row>
    <row r="267" spans="1:14">
      <c r="A267" t="s">
        <v>746</v>
      </c>
      <c r="B267" t="s">
        <v>689</v>
      </c>
      <c r="C267" t="s">
        <v>151</v>
      </c>
      <c r="D267" s="6">
        <v>60</v>
      </c>
      <c r="E267" t="s">
        <v>692</v>
      </c>
      <c r="F267" t="s">
        <v>727</v>
      </c>
      <c r="G267" t="s">
        <v>728</v>
      </c>
      <c r="H267" t="s">
        <v>747</v>
      </c>
      <c r="I267" s="5">
        <v>408480</v>
      </c>
      <c r="L267" s="5">
        <v>408480</v>
      </c>
      <c r="M267" s="5">
        <v>43765.71</v>
      </c>
      <c r="N267" s="5">
        <v>364714.29</v>
      </c>
    </row>
    <row r="268" spans="1:14">
      <c r="A268" t="s">
        <v>748</v>
      </c>
      <c r="B268" t="s">
        <v>689</v>
      </c>
      <c r="C268" t="s">
        <v>151</v>
      </c>
      <c r="D268" s="6">
        <v>60</v>
      </c>
      <c r="E268" t="s">
        <v>692</v>
      </c>
      <c r="F268" t="s">
        <v>727</v>
      </c>
      <c r="G268" t="s">
        <v>728</v>
      </c>
      <c r="H268" t="s">
        <v>749</v>
      </c>
      <c r="I268" s="5">
        <v>250400</v>
      </c>
      <c r="L268" s="5">
        <v>250400</v>
      </c>
      <c r="M268" s="5">
        <v>26828.57</v>
      </c>
      <c r="N268" s="5">
        <v>223571.43</v>
      </c>
    </row>
    <row r="269" spans="1:14">
      <c r="A269" t="s">
        <v>750</v>
      </c>
      <c r="B269" t="s">
        <v>689</v>
      </c>
      <c r="C269" t="s">
        <v>162</v>
      </c>
      <c r="D269" s="6">
        <v>90</v>
      </c>
      <c r="E269" t="s">
        <v>751</v>
      </c>
      <c r="F269" t="s">
        <v>36</v>
      </c>
      <c r="G269" t="s">
        <v>193</v>
      </c>
      <c r="H269" t="s">
        <v>752</v>
      </c>
      <c r="I269" s="5">
        <v>8216</v>
      </c>
      <c r="L269" s="5">
        <v>8216</v>
      </c>
      <c r="M269" s="7">
        <v>880.29</v>
      </c>
      <c r="N269" s="5">
        <v>7335.71</v>
      </c>
    </row>
    <row r="270" spans="1:14">
      <c r="A270" t="s">
        <v>753</v>
      </c>
      <c r="B270" t="s">
        <v>689</v>
      </c>
      <c r="C270" t="s">
        <v>162</v>
      </c>
      <c r="D270" s="6">
        <v>90</v>
      </c>
      <c r="E270" t="s">
        <v>751</v>
      </c>
      <c r="F270" t="s">
        <v>36</v>
      </c>
      <c r="G270" t="s">
        <v>754</v>
      </c>
      <c r="H270" t="s">
        <v>755</v>
      </c>
      <c r="I270" s="5">
        <v>18780</v>
      </c>
      <c r="L270" s="5">
        <v>18780</v>
      </c>
      <c r="M270" s="5">
        <v>2012.14</v>
      </c>
      <c r="N270" s="5">
        <v>16767.86</v>
      </c>
    </row>
    <row r="271" spans="1:14">
      <c r="A271" t="s">
        <v>756</v>
      </c>
      <c r="B271" t="s">
        <v>689</v>
      </c>
      <c r="C271" t="s">
        <v>68</v>
      </c>
      <c r="D271" s="6">
        <v>60</v>
      </c>
      <c r="E271" t="s">
        <v>692</v>
      </c>
      <c r="F271" t="s">
        <v>69</v>
      </c>
      <c r="G271" t="s">
        <v>70</v>
      </c>
      <c r="H271" t="s">
        <v>757</v>
      </c>
      <c r="I271" s="5">
        <v>2419200</v>
      </c>
      <c r="L271" s="5">
        <v>2419200</v>
      </c>
      <c r="M271" s="5">
        <v>259200</v>
      </c>
      <c r="N271" s="5">
        <v>2160000</v>
      </c>
    </row>
    <row r="272" spans="1:14">
      <c r="A272" t="s">
        <v>758</v>
      </c>
      <c r="B272" t="s">
        <v>689</v>
      </c>
      <c r="C272" t="s">
        <v>237</v>
      </c>
      <c r="D272" s="6">
        <v>60</v>
      </c>
      <c r="E272" t="s">
        <v>692</v>
      </c>
      <c r="F272" t="s">
        <v>759</v>
      </c>
      <c r="G272" t="s">
        <v>760</v>
      </c>
      <c r="H272" t="s">
        <v>761</v>
      </c>
      <c r="I272" s="5">
        <v>89550</v>
      </c>
      <c r="L272" s="5">
        <v>89550</v>
      </c>
      <c r="M272" s="5">
        <v>9594.64</v>
      </c>
      <c r="N272" s="5">
        <v>79955.360000000001</v>
      </c>
    </row>
    <row r="273" spans="1:14">
      <c r="A273" t="s">
        <v>762</v>
      </c>
      <c r="B273" t="s">
        <v>689</v>
      </c>
      <c r="C273" t="s">
        <v>146</v>
      </c>
      <c r="D273" s="6">
        <v>90</v>
      </c>
      <c r="E273" t="s">
        <v>751</v>
      </c>
      <c r="F273" t="s">
        <v>759</v>
      </c>
      <c r="G273" t="s">
        <v>763</v>
      </c>
      <c r="H273" t="s">
        <v>764</v>
      </c>
      <c r="I273" s="5">
        <v>49500</v>
      </c>
      <c r="L273" s="5">
        <v>49500</v>
      </c>
      <c r="M273" s="5">
        <v>5303.57</v>
      </c>
      <c r="N273" s="5">
        <v>44196.43</v>
      </c>
    </row>
    <row r="274" spans="1:14">
      <c r="A274" t="s">
        <v>765</v>
      </c>
      <c r="B274" t="s">
        <v>689</v>
      </c>
      <c r="C274" t="s">
        <v>146</v>
      </c>
      <c r="D274" s="6">
        <v>90</v>
      </c>
      <c r="E274" t="s">
        <v>751</v>
      </c>
      <c r="F274" t="s">
        <v>759</v>
      </c>
      <c r="G274" t="s">
        <v>766</v>
      </c>
      <c r="H274" t="s">
        <v>767</v>
      </c>
      <c r="I274" s="5">
        <v>89550</v>
      </c>
      <c r="L274" s="5">
        <v>89550</v>
      </c>
      <c r="M274" s="5">
        <v>9594.64</v>
      </c>
      <c r="N274" s="5">
        <v>79955.360000000001</v>
      </c>
    </row>
    <row r="275" spans="1:14">
      <c r="A275" t="s">
        <v>768</v>
      </c>
      <c r="B275" t="s">
        <v>769</v>
      </c>
      <c r="C275" t="s">
        <v>237</v>
      </c>
      <c r="D275" s="6">
        <v>60</v>
      </c>
      <c r="E275" t="s">
        <v>770</v>
      </c>
      <c r="F275" t="s">
        <v>69</v>
      </c>
      <c r="G275" t="s">
        <v>303</v>
      </c>
      <c r="H275" t="s">
        <v>771</v>
      </c>
      <c r="I275" s="5">
        <v>113650</v>
      </c>
      <c r="L275" s="5">
        <v>113650</v>
      </c>
      <c r="M275" s="5">
        <v>12176.79</v>
      </c>
      <c r="N275" s="5">
        <v>101473.21</v>
      </c>
    </row>
    <row r="276" spans="1:14">
      <c r="A276" t="s">
        <v>772</v>
      </c>
      <c r="B276" t="s">
        <v>769</v>
      </c>
      <c r="C276" t="s">
        <v>237</v>
      </c>
      <c r="D276" s="6">
        <v>60</v>
      </c>
      <c r="E276" t="s">
        <v>770</v>
      </c>
      <c r="F276" t="s">
        <v>69</v>
      </c>
      <c r="G276" t="s">
        <v>303</v>
      </c>
      <c r="H276" t="s">
        <v>773</v>
      </c>
      <c r="I276" s="5">
        <v>113650</v>
      </c>
      <c r="L276" s="5">
        <v>113650</v>
      </c>
      <c r="M276" s="5">
        <v>12176.79</v>
      </c>
      <c r="N276" s="5">
        <v>101473.21</v>
      </c>
    </row>
    <row r="277" spans="1:14">
      <c r="A277" t="s">
        <v>774</v>
      </c>
      <c r="B277" t="s">
        <v>769</v>
      </c>
      <c r="C277" t="s">
        <v>237</v>
      </c>
      <c r="D277" s="6">
        <v>60</v>
      </c>
      <c r="E277" t="s">
        <v>770</v>
      </c>
      <c r="F277" t="s">
        <v>69</v>
      </c>
      <c r="G277" t="s">
        <v>303</v>
      </c>
      <c r="H277" t="s">
        <v>775</v>
      </c>
      <c r="I277" s="5">
        <v>154053</v>
      </c>
      <c r="L277" s="5">
        <v>154053</v>
      </c>
      <c r="M277" s="5">
        <v>16505.68</v>
      </c>
      <c r="N277" s="5">
        <v>137547.32</v>
      </c>
    </row>
    <row r="278" spans="1:14">
      <c r="A278" t="s">
        <v>776</v>
      </c>
      <c r="B278" t="s">
        <v>769</v>
      </c>
      <c r="C278" t="s">
        <v>60</v>
      </c>
      <c r="D278" s="6">
        <v>0</v>
      </c>
      <c r="E278" t="s">
        <v>769</v>
      </c>
      <c r="F278" t="s">
        <v>30</v>
      </c>
      <c r="G278" t="s">
        <v>184</v>
      </c>
      <c r="H278" t="s">
        <v>777</v>
      </c>
      <c r="I278" s="5">
        <v>205000</v>
      </c>
      <c r="L278" s="5">
        <v>205000</v>
      </c>
      <c r="M278" s="5">
        <v>21964.29</v>
      </c>
      <c r="N278" s="5">
        <v>183035.71</v>
      </c>
    </row>
    <row r="279" spans="1:14">
      <c r="A279" t="s">
        <v>778</v>
      </c>
      <c r="B279" t="s">
        <v>769</v>
      </c>
      <c r="C279" t="s">
        <v>779</v>
      </c>
      <c r="D279" s="6">
        <v>0</v>
      </c>
      <c r="E279" t="s">
        <v>769</v>
      </c>
      <c r="F279" t="s">
        <v>69</v>
      </c>
      <c r="G279" t="s">
        <v>780</v>
      </c>
      <c r="H279" t="s">
        <v>781</v>
      </c>
      <c r="I279" s="5">
        <v>443290</v>
      </c>
      <c r="L279" s="5">
        <v>443290</v>
      </c>
      <c r="M279" s="5">
        <v>47495.360000000001</v>
      </c>
      <c r="N279" s="5">
        <v>395794.64</v>
      </c>
    </row>
    <row r="280" spans="1:14">
      <c r="A280" t="s">
        <v>782</v>
      </c>
      <c r="B280" t="s">
        <v>769</v>
      </c>
      <c r="C280" t="s">
        <v>779</v>
      </c>
      <c r="D280" s="6">
        <v>0</v>
      </c>
      <c r="E280" t="s">
        <v>769</v>
      </c>
      <c r="F280" t="s">
        <v>69</v>
      </c>
      <c r="G280" t="s">
        <v>780</v>
      </c>
      <c r="H280" t="s">
        <v>783</v>
      </c>
      <c r="I280" s="5">
        <v>353465</v>
      </c>
      <c r="L280" s="5">
        <v>353465</v>
      </c>
      <c r="M280" s="5">
        <v>37871.25</v>
      </c>
      <c r="N280" s="5">
        <v>315593.75</v>
      </c>
    </row>
    <row r="281" spans="1:14">
      <c r="A281" t="s">
        <v>784</v>
      </c>
      <c r="B281" t="s">
        <v>769</v>
      </c>
      <c r="C281" t="s">
        <v>779</v>
      </c>
      <c r="D281" s="6">
        <v>0</v>
      </c>
      <c r="E281" t="s">
        <v>769</v>
      </c>
      <c r="F281" t="s">
        <v>69</v>
      </c>
      <c r="G281" t="s">
        <v>780</v>
      </c>
      <c r="H281" t="s">
        <v>785</v>
      </c>
      <c r="I281" s="5">
        <v>94498</v>
      </c>
      <c r="L281" s="5">
        <v>94498</v>
      </c>
      <c r="M281" s="5">
        <v>10124.790000000001</v>
      </c>
      <c r="N281" s="5">
        <v>84373.21</v>
      </c>
    </row>
    <row r="282" spans="1:14">
      <c r="A282" t="s">
        <v>786</v>
      </c>
      <c r="B282" t="s">
        <v>769</v>
      </c>
      <c r="C282" t="s">
        <v>658</v>
      </c>
      <c r="D282" s="6">
        <v>60</v>
      </c>
      <c r="E282" t="s">
        <v>770</v>
      </c>
      <c r="F282" t="s">
        <v>46</v>
      </c>
      <c r="G282" t="s">
        <v>787</v>
      </c>
      <c r="H282" t="s">
        <v>788</v>
      </c>
      <c r="I282" s="5">
        <v>94080</v>
      </c>
      <c r="L282" s="5">
        <v>94080</v>
      </c>
      <c r="M282" s="5">
        <v>10080</v>
      </c>
      <c r="N282" s="5">
        <v>84000</v>
      </c>
    </row>
    <row r="283" spans="1:14">
      <c r="A283" t="s">
        <v>789</v>
      </c>
      <c r="B283" t="s">
        <v>769</v>
      </c>
      <c r="C283" t="s">
        <v>60</v>
      </c>
      <c r="D283" s="6">
        <v>0</v>
      </c>
      <c r="E283" t="s">
        <v>769</v>
      </c>
      <c r="F283" t="s">
        <v>56</v>
      </c>
      <c r="G283" t="s">
        <v>790</v>
      </c>
      <c r="H283" t="s">
        <v>791</v>
      </c>
      <c r="I283" s="5">
        <v>53782.400000000001</v>
      </c>
      <c r="L283" s="5">
        <v>53782.400000000001</v>
      </c>
      <c r="M283" s="5">
        <v>5762.4</v>
      </c>
      <c r="N283" s="5">
        <v>48020</v>
      </c>
    </row>
    <row r="284" spans="1:14">
      <c r="A284" t="s">
        <v>792</v>
      </c>
      <c r="B284" t="s">
        <v>769</v>
      </c>
      <c r="C284" t="s">
        <v>34</v>
      </c>
      <c r="D284" s="6">
        <v>60</v>
      </c>
      <c r="E284" t="s">
        <v>770</v>
      </c>
      <c r="F284" t="s">
        <v>625</v>
      </c>
      <c r="G284" t="s">
        <v>793</v>
      </c>
      <c r="H284" t="s">
        <v>794</v>
      </c>
      <c r="I284" s="5">
        <v>48003</v>
      </c>
      <c r="L284" s="5">
        <v>48003</v>
      </c>
      <c r="M284" s="5">
        <v>5143.18</v>
      </c>
      <c r="N284" s="5">
        <v>42859.82</v>
      </c>
    </row>
    <row r="285" spans="1:14">
      <c r="A285" t="s">
        <v>795</v>
      </c>
      <c r="B285" t="s">
        <v>769</v>
      </c>
      <c r="C285" t="s">
        <v>60</v>
      </c>
      <c r="D285" s="6">
        <v>0</v>
      </c>
      <c r="E285" t="s">
        <v>769</v>
      </c>
      <c r="F285" t="s">
        <v>46</v>
      </c>
      <c r="G285" t="s">
        <v>796</v>
      </c>
      <c r="H285" t="s">
        <v>797</v>
      </c>
      <c r="I285" s="5">
        <v>4580</v>
      </c>
      <c r="L285" s="5">
        <v>4580</v>
      </c>
      <c r="M285" s="7">
        <v>490.71</v>
      </c>
      <c r="N285" s="5">
        <v>4089.29</v>
      </c>
    </row>
    <row r="286" spans="1:14">
      <c r="A286" t="s">
        <v>798</v>
      </c>
      <c r="B286" t="s">
        <v>769</v>
      </c>
      <c r="C286" t="s">
        <v>29</v>
      </c>
      <c r="D286" s="6">
        <v>0</v>
      </c>
      <c r="E286" t="s">
        <v>769</v>
      </c>
      <c r="F286" t="s">
        <v>30</v>
      </c>
      <c r="G286" t="s">
        <v>155</v>
      </c>
      <c r="H286" t="s">
        <v>799</v>
      </c>
      <c r="I286" s="5">
        <v>103537</v>
      </c>
      <c r="L286" s="5">
        <v>103537</v>
      </c>
      <c r="M286" s="5">
        <v>11093.25</v>
      </c>
      <c r="N286" s="5">
        <v>92443.75</v>
      </c>
    </row>
    <row r="287" spans="1:14">
      <c r="A287" t="s">
        <v>800</v>
      </c>
      <c r="B287" t="s">
        <v>769</v>
      </c>
      <c r="C287" t="s">
        <v>29</v>
      </c>
      <c r="D287" s="6">
        <v>0</v>
      </c>
      <c r="E287" t="s">
        <v>769</v>
      </c>
      <c r="F287" t="s">
        <v>30</v>
      </c>
      <c r="G287" t="s">
        <v>155</v>
      </c>
      <c r="H287" t="s">
        <v>801</v>
      </c>
      <c r="I287" s="5">
        <v>58800</v>
      </c>
      <c r="L287" s="5">
        <v>58800</v>
      </c>
      <c r="M287" s="5">
        <v>6300</v>
      </c>
      <c r="N287" s="5">
        <v>52500</v>
      </c>
    </row>
    <row r="288" spans="1:14">
      <c r="A288" t="s">
        <v>802</v>
      </c>
      <c r="B288" t="s">
        <v>769</v>
      </c>
      <c r="C288" t="s">
        <v>29</v>
      </c>
      <c r="D288" s="6">
        <v>0</v>
      </c>
      <c r="E288" t="s">
        <v>769</v>
      </c>
      <c r="F288" t="s">
        <v>30</v>
      </c>
      <c r="G288" t="s">
        <v>155</v>
      </c>
      <c r="H288" t="s">
        <v>803</v>
      </c>
      <c r="I288" s="5">
        <v>8400</v>
      </c>
      <c r="L288" s="5">
        <v>8400</v>
      </c>
      <c r="M288" s="7">
        <v>900</v>
      </c>
      <c r="N288" s="5">
        <v>7500</v>
      </c>
    </row>
    <row r="289" spans="1:14">
      <c r="A289" t="s">
        <v>804</v>
      </c>
      <c r="B289" t="s">
        <v>769</v>
      </c>
      <c r="C289" t="s">
        <v>73</v>
      </c>
      <c r="D289" s="6">
        <v>30</v>
      </c>
      <c r="E289" t="s">
        <v>805</v>
      </c>
      <c r="F289" t="s">
        <v>139</v>
      </c>
      <c r="G289" t="s">
        <v>806</v>
      </c>
      <c r="H289" t="s">
        <v>807</v>
      </c>
      <c r="I289" s="5">
        <v>146000</v>
      </c>
      <c r="L289" s="5">
        <v>146000</v>
      </c>
      <c r="M289" s="5">
        <v>15642.86</v>
      </c>
      <c r="N289" s="5">
        <v>130357.14</v>
      </c>
    </row>
    <row r="290" spans="1:14">
      <c r="A290" t="s">
        <v>808</v>
      </c>
      <c r="B290" t="s">
        <v>769</v>
      </c>
      <c r="C290" t="s">
        <v>18</v>
      </c>
      <c r="D290" s="6">
        <v>0</v>
      </c>
      <c r="E290" t="s">
        <v>769</v>
      </c>
      <c r="F290" t="s">
        <v>329</v>
      </c>
      <c r="G290" t="s">
        <v>809</v>
      </c>
      <c r="H290" t="s">
        <v>810</v>
      </c>
      <c r="I290" s="5">
        <v>65238</v>
      </c>
      <c r="J290" s="4">
        <v>-1304.76</v>
      </c>
      <c r="L290" s="5">
        <v>63933.24</v>
      </c>
      <c r="M290" s="5">
        <v>6849.99</v>
      </c>
      <c r="N290" s="5">
        <v>57083.25</v>
      </c>
    </row>
    <row r="291" spans="1:14">
      <c r="A291" t="s">
        <v>811</v>
      </c>
      <c r="B291" t="s">
        <v>769</v>
      </c>
      <c r="C291" t="s">
        <v>73</v>
      </c>
      <c r="D291" s="6">
        <v>30</v>
      </c>
      <c r="E291" t="s">
        <v>805</v>
      </c>
      <c r="F291" t="s">
        <v>56</v>
      </c>
      <c r="G291" t="s">
        <v>812</v>
      </c>
      <c r="H291" t="s">
        <v>813</v>
      </c>
      <c r="I291" s="5">
        <v>966395</v>
      </c>
      <c r="L291" s="5">
        <v>966395</v>
      </c>
      <c r="M291" s="5">
        <v>103542.32</v>
      </c>
      <c r="N291" s="5">
        <v>862852.68</v>
      </c>
    </row>
    <row r="292" spans="1:14">
      <c r="A292" t="s">
        <v>814</v>
      </c>
      <c r="B292" t="s">
        <v>769</v>
      </c>
      <c r="C292" t="s">
        <v>162</v>
      </c>
      <c r="D292" s="6">
        <v>90</v>
      </c>
      <c r="E292" t="s">
        <v>815</v>
      </c>
      <c r="F292" t="s">
        <v>46</v>
      </c>
      <c r="G292" t="s">
        <v>816</v>
      </c>
      <c r="H292" t="s">
        <v>817</v>
      </c>
      <c r="I292" s="5">
        <v>38020</v>
      </c>
      <c r="L292" s="5">
        <v>38020</v>
      </c>
      <c r="M292" s="5">
        <v>4073.57</v>
      </c>
      <c r="N292" s="5">
        <v>33946.43</v>
      </c>
    </row>
    <row r="293" spans="1:14">
      <c r="A293" t="s">
        <v>818</v>
      </c>
      <c r="B293" t="s">
        <v>769</v>
      </c>
      <c r="C293" t="s">
        <v>104</v>
      </c>
      <c r="D293" s="6">
        <v>0</v>
      </c>
      <c r="E293" t="s">
        <v>769</v>
      </c>
      <c r="F293" t="s">
        <v>69</v>
      </c>
      <c r="G293" t="s">
        <v>277</v>
      </c>
      <c r="H293" t="s">
        <v>819</v>
      </c>
      <c r="I293" s="5">
        <v>2179150</v>
      </c>
      <c r="L293" s="5">
        <v>2179150</v>
      </c>
      <c r="M293" s="5">
        <v>233480.36</v>
      </c>
      <c r="N293" s="5">
        <v>1945669.64</v>
      </c>
    </row>
    <row r="294" spans="1:14">
      <c r="A294" t="s">
        <v>820</v>
      </c>
      <c r="B294" t="s">
        <v>769</v>
      </c>
      <c r="C294" t="s">
        <v>237</v>
      </c>
      <c r="D294" s="6">
        <v>60</v>
      </c>
      <c r="E294" t="s">
        <v>770</v>
      </c>
      <c r="F294" t="s">
        <v>139</v>
      </c>
      <c r="G294" t="s">
        <v>821</v>
      </c>
      <c r="H294" t="s">
        <v>822</v>
      </c>
      <c r="I294" s="5">
        <v>94096</v>
      </c>
      <c r="L294" s="5">
        <v>94096</v>
      </c>
      <c r="M294" s="5">
        <v>10081.709999999999</v>
      </c>
      <c r="N294" s="5">
        <v>84014.29</v>
      </c>
    </row>
    <row r="295" spans="1:14">
      <c r="A295" t="s">
        <v>823</v>
      </c>
      <c r="B295" t="s">
        <v>769</v>
      </c>
      <c r="C295" t="s">
        <v>60</v>
      </c>
      <c r="D295" s="6">
        <v>0</v>
      </c>
      <c r="E295" t="s">
        <v>769</v>
      </c>
      <c r="F295" t="s">
        <v>50</v>
      </c>
      <c r="G295" t="s">
        <v>824</v>
      </c>
      <c r="H295" t="s">
        <v>825</v>
      </c>
      <c r="I295" s="5">
        <v>300075</v>
      </c>
      <c r="L295" s="5">
        <v>300075</v>
      </c>
      <c r="M295" s="5">
        <v>32150.89</v>
      </c>
      <c r="N295" s="5">
        <v>267924.11</v>
      </c>
    </row>
    <row r="296" spans="1:14">
      <c r="A296" t="s">
        <v>826</v>
      </c>
      <c r="B296" t="s">
        <v>769</v>
      </c>
      <c r="C296" t="s">
        <v>237</v>
      </c>
      <c r="D296" s="6">
        <v>60</v>
      </c>
      <c r="E296" t="s">
        <v>770</v>
      </c>
      <c r="F296" t="s">
        <v>139</v>
      </c>
      <c r="G296" t="s">
        <v>821</v>
      </c>
      <c r="H296" t="s">
        <v>827</v>
      </c>
      <c r="I296" s="5">
        <v>91154</v>
      </c>
      <c r="L296" s="5">
        <v>91154</v>
      </c>
      <c r="M296" s="5">
        <v>9766.5</v>
      </c>
      <c r="N296" s="5">
        <v>81387.5</v>
      </c>
    </row>
    <row r="297" spans="1:14">
      <c r="A297" t="s">
        <v>828</v>
      </c>
      <c r="B297" t="s">
        <v>769</v>
      </c>
      <c r="C297" t="s">
        <v>60</v>
      </c>
      <c r="D297" s="6">
        <v>0</v>
      </c>
      <c r="E297" t="s">
        <v>769</v>
      </c>
      <c r="F297" t="s">
        <v>50</v>
      </c>
      <c r="G297" t="s">
        <v>824</v>
      </c>
      <c r="H297" t="s">
        <v>829</v>
      </c>
      <c r="I297" s="5">
        <v>56749</v>
      </c>
      <c r="L297" s="5">
        <v>56749</v>
      </c>
      <c r="M297" s="5">
        <v>6080.25</v>
      </c>
      <c r="N297" s="5">
        <v>50668.75</v>
      </c>
    </row>
    <row r="298" spans="1:14">
      <c r="A298" t="s">
        <v>830</v>
      </c>
      <c r="B298" t="s">
        <v>769</v>
      </c>
      <c r="C298" t="s">
        <v>237</v>
      </c>
      <c r="D298" s="6">
        <v>60</v>
      </c>
      <c r="E298" t="s">
        <v>770</v>
      </c>
      <c r="F298" t="s">
        <v>139</v>
      </c>
      <c r="G298" t="s">
        <v>821</v>
      </c>
      <c r="H298" t="s">
        <v>831</v>
      </c>
      <c r="I298" s="5">
        <v>16800</v>
      </c>
      <c r="L298" s="5">
        <v>16800</v>
      </c>
      <c r="M298" s="5">
        <v>1800</v>
      </c>
      <c r="N298" s="5">
        <v>15000</v>
      </c>
    </row>
    <row r="299" spans="1:14">
      <c r="A299" t="s">
        <v>832</v>
      </c>
      <c r="B299" t="s">
        <v>769</v>
      </c>
      <c r="C299" t="s">
        <v>237</v>
      </c>
      <c r="D299" s="6">
        <v>60</v>
      </c>
      <c r="E299" t="s">
        <v>770</v>
      </c>
      <c r="F299" t="s">
        <v>139</v>
      </c>
      <c r="G299" t="s">
        <v>821</v>
      </c>
      <c r="H299" t="s">
        <v>833</v>
      </c>
      <c r="I299" s="5">
        <v>14406</v>
      </c>
      <c r="L299" s="5">
        <v>14406</v>
      </c>
      <c r="M299" s="5">
        <v>1543.5</v>
      </c>
      <c r="N299" s="5">
        <v>12862.5</v>
      </c>
    </row>
    <row r="300" spans="1:14">
      <c r="A300" t="s">
        <v>834</v>
      </c>
      <c r="B300" t="s">
        <v>769</v>
      </c>
      <c r="C300" t="s">
        <v>237</v>
      </c>
      <c r="D300" s="6">
        <v>60</v>
      </c>
      <c r="E300" t="s">
        <v>770</v>
      </c>
      <c r="F300" t="s">
        <v>139</v>
      </c>
      <c r="G300" t="s">
        <v>821</v>
      </c>
      <c r="H300" t="s">
        <v>835</v>
      </c>
      <c r="I300" s="5">
        <v>14002</v>
      </c>
      <c r="L300" s="5">
        <v>14002</v>
      </c>
      <c r="M300" s="5">
        <v>1500.21</v>
      </c>
      <c r="N300" s="5">
        <v>12501.79</v>
      </c>
    </row>
    <row r="301" spans="1:14">
      <c r="A301" t="s">
        <v>836</v>
      </c>
      <c r="B301" t="s">
        <v>769</v>
      </c>
      <c r="C301" t="s">
        <v>237</v>
      </c>
      <c r="D301" s="6">
        <v>60</v>
      </c>
      <c r="E301" t="s">
        <v>770</v>
      </c>
      <c r="F301" t="s">
        <v>139</v>
      </c>
      <c r="G301" t="s">
        <v>821</v>
      </c>
      <c r="H301" t="s">
        <v>837</v>
      </c>
      <c r="I301" s="5">
        <v>68892</v>
      </c>
      <c r="L301" s="5">
        <v>68892</v>
      </c>
      <c r="M301" s="5">
        <v>7381.29</v>
      </c>
      <c r="N301" s="5">
        <v>61510.71</v>
      </c>
    </row>
    <row r="302" spans="1:14">
      <c r="A302" t="s">
        <v>838</v>
      </c>
      <c r="B302" t="s">
        <v>769</v>
      </c>
      <c r="C302" t="s">
        <v>237</v>
      </c>
      <c r="D302" s="6">
        <v>60</v>
      </c>
      <c r="E302" t="s">
        <v>770</v>
      </c>
      <c r="F302" t="s">
        <v>139</v>
      </c>
      <c r="G302" t="s">
        <v>821</v>
      </c>
      <c r="H302" t="s">
        <v>839</v>
      </c>
      <c r="I302" s="5">
        <v>7840</v>
      </c>
      <c r="L302" s="5">
        <v>7840</v>
      </c>
      <c r="M302" s="7">
        <v>840</v>
      </c>
      <c r="N302" s="5">
        <v>7000</v>
      </c>
    </row>
    <row r="303" spans="1:14">
      <c r="A303" t="s">
        <v>840</v>
      </c>
      <c r="B303" t="s">
        <v>769</v>
      </c>
      <c r="C303" t="s">
        <v>60</v>
      </c>
      <c r="D303" s="6">
        <v>0</v>
      </c>
      <c r="E303" t="s">
        <v>769</v>
      </c>
      <c r="F303" t="s">
        <v>56</v>
      </c>
      <c r="G303" t="s">
        <v>841</v>
      </c>
      <c r="H303" t="s">
        <v>842</v>
      </c>
      <c r="I303" s="5">
        <v>1117</v>
      </c>
      <c r="L303" s="5">
        <v>1117</v>
      </c>
      <c r="M303" s="7">
        <v>119.68</v>
      </c>
      <c r="N303" s="7">
        <v>997.32</v>
      </c>
    </row>
    <row r="304" spans="1:14">
      <c r="A304" t="s">
        <v>843</v>
      </c>
      <c r="B304" t="s">
        <v>769</v>
      </c>
      <c r="C304" t="s">
        <v>104</v>
      </c>
      <c r="D304" s="6">
        <v>0</v>
      </c>
      <c r="E304" t="s">
        <v>769</v>
      </c>
      <c r="F304" t="s">
        <v>30</v>
      </c>
      <c r="G304" t="s">
        <v>490</v>
      </c>
      <c r="H304" t="s">
        <v>844</v>
      </c>
      <c r="I304" s="5">
        <v>302472</v>
      </c>
      <c r="L304" s="5">
        <v>302472</v>
      </c>
      <c r="M304" s="5">
        <v>32407.71</v>
      </c>
      <c r="N304" s="5">
        <v>270064.28999999998</v>
      </c>
    </row>
    <row r="305" spans="1:14">
      <c r="A305" t="s">
        <v>845</v>
      </c>
      <c r="B305" t="s">
        <v>769</v>
      </c>
      <c r="C305" t="s">
        <v>73</v>
      </c>
      <c r="D305" s="6">
        <v>30</v>
      </c>
      <c r="E305" t="s">
        <v>805</v>
      </c>
      <c r="F305" t="s">
        <v>56</v>
      </c>
      <c r="G305" t="s">
        <v>846</v>
      </c>
      <c r="H305" t="s">
        <v>847</v>
      </c>
      <c r="I305" s="5">
        <v>360296</v>
      </c>
      <c r="L305" s="5">
        <v>360296</v>
      </c>
      <c r="M305" s="5">
        <v>38603.14</v>
      </c>
      <c r="N305" s="5">
        <v>321692.86</v>
      </c>
    </row>
    <row r="306" spans="1:14">
      <c r="A306" t="s">
        <v>848</v>
      </c>
      <c r="B306" t="s">
        <v>769</v>
      </c>
      <c r="C306" t="s">
        <v>73</v>
      </c>
      <c r="D306" s="6">
        <v>30</v>
      </c>
      <c r="E306" t="s">
        <v>805</v>
      </c>
      <c r="F306" t="s">
        <v>56</v>
      </c>
      <c r="G306" t="s">
        <v>812</v>
      </c>
      <c r="H306" t="s">
        <v>849</v>
      </c>
      <c r="I306" s="5">
        <v>127702</v>
      </c>
      <c r="L306" s="5">
        <v>127702</v>
      </c>
      <c r="M306" s="5">
        <v>13682.36</v>
      </c>
      <c r="N306" s="5">
        <v>114019.64</v>
      </c>
    </row>
    <row r="307" spans="1:14">
      <c r="A307" t="s">
        <v>850</v>
      </c>
      <c r="B307" t="s">
        <v>769</v>
      </c>
      <c r="C307" t="s">
        <v>68</v>
      </c>
      <c r="D307" s="6">
        <v>60</v>
      </c>
      <c r="E307" t="s">
        <v>770</v>
      </c>
      <c r="F307" t="s">
        <v>69</v>
      </c>
      <c r="G307" t="s">
        <v>70</v>
      </c>
      <c r="H307" t="s">
        <v>851</v>
      </c>
      <c r="I307" s="5">
        <v>1209600</v>
      </c>
      <c r="L307" s="5">
        <v>1209600</v>
      </c>
      <c r="M307" s="5">
        <v>129600</v>
      </c>
      <c r="N307" s="5">
        <v>1080000</v>
      </c>
    </row>
    <row r="308" spans="1:14">
      <c r="A308" t="s">
        <v>852</v>
      </c>
      <c r="B308" t="s">
        <v>769</v>
      </c>
      <c r="C308" t="s">
        <v>162</v>
      </c>
      <c r="D308" s="6">
        <v>90</v>
      </c>
      <c r="E308" t="s">
        <v>815</v>
      </c>
      <c r="F308" t="s">
        <v>69</v>
      </c>
      <c r="G308" t="s">
        <v>853</v>
      </c>
      <c r="H308" t="s">
        <v>854</v>
      </c>
      <c r="I308" s="5">
        <v>586795</v>
      </c>
      <c r="L308" s="5">
        <v>586795</v>
      </c>
      <c r="M308" s="5">
        <v>62870.89</v>
      </c>
      <c r="N308" s="5">
        <v>523924.11</v>
      </c>
    </row>
    <row r="309" spans="1:14">
      <c r="A309" t="s">
        <v>855</v>
      </c>
      <c r="B309" t="s">
        <v>769</v>
      </c>
      <c r="C309" t="s">
        <v>68</v>
      </c>
      <c r="D309" s="6">
        <v>60</v>
      </c>
      <c r="E309" t="s">
        <v>770</v>
      </c>
      <c r="F309" t="s">
        <v>856</v>
      </c>
      <c r="G309" t="s">
        <v>857</v>
      </c>
      <c r="H309" t="s">
        <v>858</v>
      </c>
      <c r="I309" s="5">
        <v>84296</v>
      </c>
      <c r="L309" s="5">
        <v>84296</v>
      </c>
      <c r="M309" s="5">
        <v>9031.7099999999991</v>
      </c>
      <c r="N309" s="5">
        <v>75264.289999999994</v>
      </c>
    </row>
    <row r="310" spans="1:14">
      <c r="A310" t="s">
        <v>859</v>
      </c>
      <c r="B310" t="s">
        <v>769</v>
      </c>
      <c r="C310" t="s">
        <v>29</v>
      </c>
      <c r="D310" s="6">
        <v>0</v>
      </c>
      <c r="E310" t="s">
        <v>769</v>
      </c>
      <c r="F310" t="s">
        <v>30</v>
      </c>
      <c r="G310" t="s">
        <v>31</v>
      </c>
      <c r="H310" t="s">
        <v>860</v>
      </c>
      <c r="I310" s="5">
        <v>26190</v>
      </c>
      <c r="L310" s="5">
        <v>26190</v>
      </c>
      <c r="M310" s="5">
        <v>2806.07</v>
      </c>
      <c r="N310" s="5">
        <v>23383.93</v>
      </c>
    </row>
    <row r="311" spans="1:14">
      <c r="A311" t="s">
        <v>861</v>
      </c>
      <c r="B311" t="s">
        <v>769</v>
      </c>
      <c r="C311" t="s">
        <v>29</v>
      </c>
      <c r="D311" s="6">
        <v>0</v>
      </c>
      <c r="E311" t="s">
        <v>769</v>
      </c>
      <c r="F311" t="s">
        <v>30</v>
      </c>
      <c r="G311" t="s">
        <v>31</v>
      </c>
      <c r="H311" t="s">
        <v>862</v>
      </c>
      <c r="I311" s="5">
        <v>81120</v>
      </c>
      <c r="L311" s="5">
        <v>81120</v>
      </c>
      <c r="M311" s="5">
        <v>8691.43</v>
      </c>
      <c r="N311" s="5">
        <v>72428.570000000007</v>
      </c>
    </row>
    <row r="312" spans="1:14">
      <c r="A312" t="s">
        <v>863</v>
      </c>
      <c r="B312" t="s">
        <v>769</v>
      </c>
      <c r="C312" t="s">
        <v>29</v>
      </c>
      <c r="D312" s="6">
        <v>0</v>
      </c>
      <c r="E312" t="s">
        <v>769</v>
      </c>
      <c r="F312" t="s">
        <v>30</v>
      </c>
      <c r="G312" t="s">
        <v>31</v>
      </c>
      <c r="H312" t="s">
        <v>864</v>
      </c>
      <c r="I312" s="5">
        <v>13320</v>
      </c>
      <c r="L312" s="5">
        <v>13320</v>
      </c>
      <c r="M312" s="5">
        <v>1427.14</v>
      </c>
      <c r="N312" s="5">
        <v>11892.86</v>
      </c>
    </row>
    <row r="313" spans="1:14">
      <c r="A313" t="s">
        <v>865</v>
      </c>
      <c r="B313" t="s">
        <v>866</v>
      </c>
      <c r="C313" t="s">
        <v>94</v>
      </c>
      <c r="D313" s="6">
        <v>0</v>
      </c>
      <c r="E313" t="s">
        <v>866</v>
      </c>
      <c r="F313" t="s">
        <v>46</v>
      </c>
      <c r="G313" t="s">
        <v>95</v>
      </c>
      <c r="H313" t="s">
        <v>867</v>
      </c>
      <c r="I313" s="5">
        <v>289520</v>
      </c>
      <c r="L313" s="5">
        <v>289520</v>
      </c>
      <c r="M313" s="5">
        <v>31020</v>
      </c>
      <c r="N313" s="5">
        <v>258500</v>
      </c>
    </row>
    <row r="314" spans="1:14">
      <c r="A314" t="s">
        <v>868</v>
      </c>
      <c r="B314" t="s">
        <v>866</v>
      </c>
      <c r="C314" t="s">
        <v>98</v>
      </c>
      <c r="D314" s="6">
        <v>0</v>
      </c>
      <c r="E314" t="s">
        <v>866</v>
      </c>
      <c r="F314" t="s">
        <v>69</v>
      </c>
      <c r="G314" t="s">
        <v>99</v>
      </c>
      <c r="H314" t="s">
        <v>869</v>
      </c>
      <c r="I314" s="5">
        <v>256700</v>
      </c>
      <c r="J314" s="4">
        <v>-7701</v>
      </c>
      <c r="L314" s="5">
        <v>248999</v>
      </c>
      <c r="M314" s="5">
        <v>26678.46</v>
      </c>
      <c r="N314" s="5">
        <v>222320.54</v>
      </c>
    </row>
    <row r="315" spans="1:14">
      <c r="A315" t="s">
        <v>870</v>
      </c>
      <c r="B315" t="s">
        <v>866</v>
      </c>
      <c r="C315" t="s">
        <v>104</v>
      </c>
      <c r="D315" s="6">
        <v>0</v>
      </c>
      <c r="E315" t="s">
        <v>866</v>
      </c>
      <c r="F315" t="s">
        <v>46</v>
      </c>
      <c r="G315" t="s">
        <v>392</v>
      </c>
      <c r="H315" t="s">
        <v>871</v>
      </c>
      <c r="I315" s="5">
        <v>340975</v>
      </c>
      <c r="L315" s="5">
        <v>340975</v>
      </c>
      <c r="M315" s="5">
        <v>36533.040000000001</v>
      </c>
      <c r="N315" s="5">
        <v>304441.96000000002</v>
      </c>
    </row>
    <row r="316" spans="1:14">
      <c r="A316" t="s">
        <v>872</v>
      </c>
      <c r="B316" t="s">
        <v>866</v>
      </c>
      <c r="C316" t="s">
        <v>176</v>
      </c>
      <c r="D316" s="6">
        <v>60</v>
      </c>
      <c r="E316" t="s">
        <v>873</v>
      </c>
      <c r="F316" t="s">
        <v>69</v>
      </c>
      <c r="G316" t="s">
        <v>177</v>
      </c>
      <c r="H316" t="s">
        <v>874</v>
      </c>
      <c r="I316" s="5">
        <v>480000</v>
      </c>
      <c r="L316" s="5">
        <v>480000</v>
      </c>
      <c r="M316" s="5">
        <v>51428.57</v>
      </c>
      <c r="N316" s="5">
        <v>428571.43</v>
      </c>
    </row>
    <row r="317" spans="1:14">
      <c r="A317" t="s">
        <v>875</v>
      </c>
      <c r="B317" t="s">
        <v>866</v>
      </c>
      <c r="C317" t="s">
        <v>176</v>
      </c>
      <c r="D317" s="6">
        <v>60</v>
      </c>
      <c r="E317" t="s">
        <v>873</v>
      </c>
      <c r="F317" t="s">
        <v>69</v>
      </c>
      <c r="G317" t="s">
        <v>177</v>
      </c>
      <c r="H317" t="s">
        <v>876</v>
      </c>
      <c r="I317" s="5">
        <v>72000</v>
      </c>
      <c r="L317" s="5">
        <v>72000</v>
      </c>
      <c r="M317" s="5">
        <v>7714.29</v>
      </c>
      <c r="N317" s="5">
        <v>64285.71</v>
      </c>
    </row>
    <row r="318" spans="1:14">
      <c r="A318" t="s">
        <v>877</v>
      </c>
      <c r="B318" t="s">
        <v>866</v>
      </c>
      <c r="C318" t="s">
        <v>176</v>
      </c>
      <c r="D318" s="6">
        <v>60</v>
      </c>
      <c r="E318" t="s">
        <v>873</v>
      </c>
      <c r="F318" t="s">
        <v>69</v>
      </c>
      <c r="G318" t="s">
        <v>177</v>
      </c>
      <c r="H318" t="s">
        <v>878</v>
      </c>
      <c r="I318" s="5">
        <v>96000</v>
      </c>
      <c r="L318" s="5">
        <v>96000</v>
      </c>
      <c r="M318" s="5">
        <v>10285.709999999999</v>
      </c>
      <c r="N318" s="5">
        <v>85714.29</v>
      </c>
    </row>
    <row r="319" spans="1:14">
      <c r="A319" t="s">
        <v>879</v>
      </c>
      <c r="B319" t="s">
        <v>866</v>
      </c>
      <c r="C319" t="s">
        <v>369</v>
      </c>
      <c r="D319" s="6">
        <v>30</v>
      </c>
      <c r="E319" t="s">
        <v>880</v>
      </c>
      <c r="F319" t="s">
        <v>139</v>
      </c>
      <c r="G319" t="s">
        <v>371</v>
      </c>
      <c r="H319" t="s">
        <v>881</v>
      </c>
      <c r="I319" s="5">
        <v>128240</v>
      </c>
      <c r="L319" s="5">
        <v>128240</v>
      </c>
      <c r="M319" s="5">
        <v>13740</v>
      </c>
      <c r="N319" s="5">
        <v>114500</v>
      </c>
    </row>
    <row r="320" spans="1:14">
      <c r="A320" t="s">
        <v>882</v>
      </c>
      <c r="B320" t="s">
        <v>866</v>
      </c>
      <c r="C320" t="s">
        <v>60</v>
      </c>
      <c r="D320" s="6">
        <v>0</v>
      </c>
      <c r="E320" t="s">
        <v>866</v>
      </c>
      <c r="F320" t="s">
        <v>56</v>
      </c>
      <c r="G320" t="s">
        <v>196</v>
      </c>
      <c r="H320" t="s">
        <v>883</v>
      </c>
      <c r="I320" s="5">
        <v>4000</v>
      </c>
      <c r="L320" s="5">
        <v>4000</v>
      </c>
      <c r="M320" s="7">
        <v>428.57</v>
      </c>
      <c r="N320" s="5">
        <v>3571.43</v>
      </c>
    </row>
    <row r="321" spans="1:14">
      <c r="A321" t="s">
        <v>884</v>
      </c>
      <c r="B321" t="s">
        <v>866</v>
      </c>
      <c r="C321" t="s">
        <v>146</v>
      </c>
      <c r="D321" s="6">
        <v>90</v>
      </c>
      <c r="E321" t="s">
        <v>885</v>
      </c>
      <c r="F321" t="s">
        <v>69</v>
      </c>
      <c r="G321" t="s">
        <v>886</v>
      </c>
      <c r="H321" t="s">
        <v>887</v>
      </c>
      <c r="I321" s="5">
        <v>169280</v>
      </c>
      <c r="L321" s="5">
        <v>169280</v>
      </c>
      <c r="M321" s="5">
        <v>18137.14</v>
      </c>
      <c r="N321" s="5">
        <v>151142.85999999999</v>
      </c>
    </row>
    <row r="322" spans="1:14">
      <c r="A322" t="s">
        <v>888</v>
      </c>
      <c r="B322" t="s">
        <v>866</v>
      </c>
      <c r="C322" t="s">
        <v>68</v>
      </c>
      <c r="D322" s="6">
        <v>60</v>
      </c>
      <c r="E322" t="s">
        <v>873</v>
      </c>
      <c r="F322" t="s">
        <v>69</v>
      </c>
      <c r="G322" t="s">
        <v>574</v>
      </c>
      <c r="H322" t="s">
        <v>889</v>
      </c>
      <c r="I322" s="5">
        <v>2539560</v>
      </c>
      <c r="L322" s="5">
        <v>2539560</v>
      </c>
      <c r="M322" s="5">
        <v>272095.71000000002</v>
      </c>
      <c r="N322" s="5">
        <v>2267464.29</v>
      </c>
    </row>
    <row r="323" spans="1:14">
      <c r="A323" t="s">
        <v>890</v>
      </c>
      <c r="B323" t="s">
        <v>866</v>
      </c>
      <c r="C323" t="s">
        <v>73</v>
      </c>
      <c r="D323" s="6">
        <v>30</v>
      </c>
      <c r="E323" t="s">
        <v>880</v>
      </c>
      <c r="F323" t="s">
        <v>270</v>
      </c>
      <c r="G323" t="s">
        <v>891</v>
      </c>
      <c r="H323" t="s">
        <v>892</v>
      </c>
      <c r="I323" s="5">
        <v>528502</v>
      </c>
      <c r="L323" s="5">
        <v>528502</v>
      </c>
      <c r="M323" s="5">
        <v>56625.21</v>
      </c>
      <c r="N323" s="5">
        <v>471876.79</v>
      </c>
    </row>
    <row r="324" spans="1:14">
      <c r="A324" t="s">
        <v>893</v>
      </c>
      <c r="B324" t="s">
        <v>866</v>
      </c>
      <c r="C324" t="s">
        <v>146</v>
      </c>
      <c r="D324" s="6">
        <v>90</v>
      </c>
      <c r="E324" t="s">
        <v>885</v>
      </c>
      <c r="F324" t="s">
        <v>30</v>
      </c>
      <c r="G324" t="s">
        <v>384</v>
      </c>
      <c r="H324" t="s">
        <v>894</v>
      </c>
      <c r="I324" s="5">
        <v>1315800</v>
      </c>
      <c r="L324" s="5">
        <v>1315800</v>
      </c>
      <c r="M324" s="5">
        <v>140978.57</v>
      </c>
      <c r="N324" s="5">
        <v>1174821.43</v>
      </c>
    </row>
    <row r="325" spans="1:14">
      <c r="A325" t="s">
        <v>895</v>
      </c>
      <c r="B325" t="s">
        <v>866</v>
      </c>
      <c r="C325" t="s">
        <v>60</v>
      </c>
      <c r="D325" s="6">
        <v>0</v>
      </c>
      <c r="E325" t="s">
        <v>866</v>
      </c>
      <c r="F325" t="s">
        <v>56</v>
      </c>
      <c r="G325" t="s">
        <v>196</v>
      </c>
      <c r="H325" t="s">
        <v>896</v>
      </c>
      <c r="I325" s="5">
        <v>313966</v>
      </c>
      <c r="L325" s="5">
        <v>313966</v>
      </c>
      <c r="M325" s="5">
        <v>33639.21</v>
      </c>
      <c r="N325" s="5">
        <v>280326.78999999998</v>
      </c>
    </row>
    <row r="326" spans="1:14">
      <c r="A326" t="s">
        <v>897</v>
      </c>
      <c r="B326" t="s">
        <v>866</v>
      </c>
      <c r="C326" t="s">
        <v>60</v>
      </c>
      <c r="D326" s="6">
        <v>0</v>
      </c>
      <c r="E326" t="s">
        <v>866</v>
      </c>
      <c r="F326" t="s">
        <v>56</v>
      </c>
      <c r="G326" t="s">
        <v>196</v>
      </c>
      <c r="H326" t="s">
        <v>898</v>
      </c>
      <c r="I326" s="5">
        <v>81908</v>
      </c>
      <c r="L326" s="5">
        <v>81908</v>
      </c>
      <c r="M326" s="5">
        <v>8775.86</v>
      </c>
      <c r="N326" s="5">
        <v>73132.14</v>
      </c>
    </row>
    <row r="327" spans="1:14">
      <c r="A327" t="s">
        <v>899</v>
      </c>
      <c r="B327" t="s">
        <v>866</v>
      </c>
      <c r="C327" t="s">
        <v>162</v>
      </c>
      <c r="D327" s="6">
        <v>90</v>
      </c>
      <c r="E327" t="s">
        <v>885</v>
      </c>
      <c r="F327" t="s">
        <v>36</v>
      </c>
      <c r="G327" t="s">
        <v>193</v>
      </c>
      <c r="H327" t="s">
        <v>900</v>
      </c>
      <c r="I327" s="5">
        <v>37150</v>
      </c>
      <c r="L327" s="5">
        <v>37150</v>
      </c>
      <c r="M327" s="5">
        <v>3980.36</v>
      </c>
      <c r="N327" s="5">
        <v>33169.64</v>
      </c>
    </row>
    <row r="328" spans="1:14">
      <c r="A328" t="s">
        <v>901</v>
      </c>
      <c r="B328" t="s">
        <v>866</v>
      </c>
      <c r="C328" t="s">
        <v>162</v>
      </c>
      <c r="D328" s="6">
        <v>90</v>
      </c>
      <c r="E328" t="s">
        <v>885</v>
      </c>
      <c r="F328" t="s">
        <v>36</v>
      </c>
      <c r="G328" t="s">
        <v>193</v>
      </c>
      <c r="H328" t="s">
        <v>902</v>
      </c>
      <c r="I328" s="5">
        <v>51430</v>
      </c>
      <c r="L328" s="5">
        <v>51430</v>
      </c>
      <c r="M328" s="5">
        <v>5510.36</v>
      </c>
      <c r="N328" s="5">
        <v>45919.64</v>
      </c>
    </row>
    <row r="329" spans="1:14">
      <c r="A329" t="s">
        <v>903</v>
      </c>
      <c r="B329" t="s">
        <v>866</v>
      </c>
      <c r="C329" t="s">
        <v>162</v>
      </c>
      <c r="D329" s="6">
        <v>90</v>
      </c>
      <c r="E329" t="s">
        <v>885</v>
      </c>
      <c r="F329" t="s">
        <v>204</v>
      </c>
      <c r="G329" t="s">
        <v>904</v>
      </c>
      <c r="H329" t="s">
        <v>905</v>
      </c>
      <c r="I329" s="5">
        <v>80432</v>
      </c>
      <c r="L329" s="5">
        <v>80432</v>
      </c>
      <c r="M329" s="5">
        <v>8617.7099999999991</v>
      </c>
      <c r="N329" s="5">
        <v>71814.289999999994</v>
      </c>
    </row>
    <row r="330" spans="1:14">
      <c r="A330" t="s">
        <v>906</v>
      </c>
      <c r="B330" t="s">
        <v>866</v>
      </c>
      <c r="C330" t="s">
        <v>146</v>
      </c>
      <c r="D330" s="6">
        <v>90</v>
      </c>
      <c r="E330" t="s">
        <v>885</v>
      </c>
      <c r="F330" t="s">
        <v>25</v>
      </c>
      <c r="G330" t="s">
        <v>907</v>
      </c>
      <c r="H330" t="s">
        <v>908</v>
      </c>
      <c r="I330" s="5">
        <v>133902</v>
      </c>
      <c r="L330" s="5">
        <v>133902</v>
      </c>
      <c r="M330" s="5">
        <v>14346.64</v>
      </c>
      <c r="N330" s="5">
        <v>119555.36</v>
      </c>
    </row>
    <row r="331" spans="1:14">
      <c r="A331" t="s">
        <v>909</v>
      </c>
      <c r="B331" t="s">
        <v>866</v>
      </c>
      <c r="C331" t="s">
        <v>60</v>
      </c>
      <c r="D331" s="6">
        <v>0</v>
      </c>
      <c r="E331" t="s">
        <v>866</v>
      </c>
      <c r="F331" t="s">
        <v>105</v>
      </c>
      <c r="G331" t="s">
        <v>910</v>
      </c>
      <c r="H331" t="s">
        <v>911</v>
      </c>
      <c r="I331" s="5">
        <v>8800</v>
      </c>
      <c r="L331" s="5">
        <v>8800</v>
      </c>
      <c r="M331" s="7">
        <v>942.86</v>
      </c>
      <c r="N331" s="5">
        <v>7857.14</v>
      </c>
    </row>
    <row r="332" spans="1:14">
      <c r="A332" t="s">
        <v>912</v>
      </c>
      <c r="B332" t="s">
        <v>866</v>
      </c>
      <c r="C332" t="s">
        <v>29</v>
      </c>
      <c r="D332" s="6">
        <v>0</v>
      </c>
      <c r="E332" t="s">
        <v>866</v>
      </c>
      <c r="F332" t="s">
        <v>30</v>
      </c>
      <c r="G332" t="s">
        <v>218</v>
      </c>
      <c r="H332" t="s">
        <v>913</v>
      </c>
      <c r="I332" s="5">
        <v>32004</v>
      </c>
      <c r="J332" s="4">
        <v>-960.12</v>
      </c>
      <c r="L332" s="5">
        <v>31043.88</v>
      </c>
      <c r="M332" s="5">
        <v>3326.13</v>
      </c>
      <c r="N332" s="5">
        <v>27717.75</v>
      </c>
    </row>
    <row r="333" spans="1:14">
      <c r="A333" t="s">
        <v>914</v>
      </c>
      <c r="B333" t="s">
        <v>915</v>
      </c>
      <c r="C333" t="s">
        <v>73</v>
      </c>
      <c r="D333" s="6">
        <v>30</v>
      </c>
      <c r="E333" t="s">
        <v>916</v>
      </c>
      <c r="F333" t="s">
        <v>56</v>
      </c>
      <c r="G333" t="s">
        <v>812</v>
      </c>
      <c r="H333" t="s">
        <v>849</v>
      </c>
      <c r="I333" s="5">
        <v>127702</v>
      </c>
      <c r="L333" s="5">
        <v>127702</v>
      </c>
      <c r="M333" s="5">
        <v>13682.36</v>
      </c>
      <c r="N333" s="5">
        <v>114019.64</v>
      </c>
    </row>
    <row r="334" spans="1:14">
      <c r="A334" t="s">
        <v>917</v>
      </c>
      <c r="B334" t="s">
        <v>915</v>
      </c>
      <c r="C334" t="s">
        <v>151</v>
      </c>
      <c r="D334" s="6">
        <v>60</v>
      </c>
      <c r="E334" t="s">
        <v>918</v>
      </c>
      <c r="F334" t="s">
        <v>30</v>
      </c>
      <c r="G334" t="s">
        <v>614</v>
      </c>
      <c r="H334" t="s">
        <v>919</v>
      </c>
      <c r="I334" s="5">
        <v>48720</v>
      </c>
      <c r="L334" s="5">
        <v>48720</v>
      </c>
      <c r="M334" s="5">
        <v>5220</v>
      </c>
      <c r="N334" s="5">
        <v>43500</v>
      </c>
    </row>
    <row r="335" spans="1:14">
      <c r="A335" t="s">
        <v>920</v>
      </c>
      <c r="B335" t="s">
        <v>915</v>
      </c>
      <c r="C335" t="s">
        <v>73</v>
      </c>
      <c r="D335" s="6">
        <v>30</v>
      </c>
      <c r="E335" t="s">
        <v>916</v>
      </c>
      <c r="F335" t="s">
        <v>139</v>
      </c>
      <c r="G335" t="s">
        <v>921</v>
      </c>
      <c r="H335" t="s">
        <v>922</v>
      </c>
      <c r="I335" s="5">
        <v>348834</v>
      </c>
      <c r="L335" s="5">
        <v>348834</v>
      </c>
      <c r="M335" s="5">
        <v>37375.07</v>
      </c>
      <c r="N335" s="5">
        <v>311458.93</v>
      </c>
    </row>
    <row r="336" spans="1:14">
      <c r="A336" t="s">
        <v>923</v>
      </c>
      <c r="B336" t="s">
        <v>915</v>
      </c>
      <c r="C336" t="s">
        <v>146</v>
      </c>
      <c r="D336" s="6">
        <v>90</v>
      </c>
      <c r="E336" t="s">
        <v>924</v>
      </c>
      <c r="F336" t="s">
        <v>759</v>
      </c>
      <c r="G336" t="s">
        <v>766</v>
      </c>
      <c r="H336" t="s">
        <v>925</v>
      </c>
      <c r="I336" s="5">
        <v>242361</v>
      </c>
      <c r="L336" s="5">
        <v>242361</v>
      </c>
      <c r="M336" s="5">
        <v>25967.25</v>
      </c>
      <c r="N336" s="5">
        <v>216393.75</v>
      </c>
    </row>
    <row r="337" spans="1:16">
      <c r="A337" t="s">
        <v>926</v>
      </c>
      <c r="B337" t="s">
        <v>915</v>
      </c>
      <c r="C337" t="s">
        <v>73</v>
      </c>
      <c r="D337" s="6">
        <v>30</v>
      </c>
      <c r="E337" t="s">
        <v>916</v>
      </c>
      <c r="F337" t="s">
        <v>19</v>
      </c>
      <c r="G337" t="s">
        <v>267</v>
      </c>
      <c r="H337" t="s">
        <v>927</v>
      </c>
      <c r="I337" s="5">
        <v>7952</v>
      </c>
      <c r="L337" s="5">
        <v>7952</v>
      </c>
      <c r="M337" s="7">
        <v>852</v>
      </c>
      <c r="N337" s="5">
        <v>7100</v>
      </c>
    </row>
    <row r="338" spans="1:16">
      <c r="A338" t="s">
        <v>928</v>
      </c>
      <c r="B338" t="s">
        <v>915</v>
      </c>
      <c r="C338" t="s">
        <v>73</v>
      </c>
      <c r="D338" s="6">
        <v>30</v>
      </c>
      <c r="E338" t="s">
        <v>916</v>
      </c>
      <c r="F338" t="s">
        <v>19</v>
      </c>
      <c r="G338" t="s">
        <v>267</v>
      </c>
      <c r="H338" t="s">
        <v>929</v>
      </c>
      <c r="I338" s="5">
        <v>19890</v>
      </c>
      <c r="L338" s="5">
        <v>19890</v>
      </c>
      <c r="M338" s="5">
        <v>2131.0700000000002</v>
      </c>
      <c r="N338" s="5">
        <v>17758.93</v>
      </c>
    </row>
    <row r="339" spans="1:16">
      <c r="A339" t="s">
        <v>930</v>
      </c>
      <c r="B339" t="s">
        <v>915</v>
      </c>
      <c r="C339" t="s">
        <v>73</v>
      </c>
      <c r="D339" s="6">
        <v>30</v>
      </c>
      <c r="E339" t="s">
        <v>916</v>
      </c>
      <c r="F339" t="s">
        <v>19</v>
      </c>
      <c r="G339" t="s">
        <v>267</v>
      </c>
      <c r="H339" t="s">
        <v>931</v>
      </c>
      <c r="I339" s="5">
        <v>9180</v>
      </c>
      <c r="L339" s="5">
        <v>9180</v>
      </c>
      <c r="M339" s="7">
        <v>983.57</v>
      </c>
      <c r="N339" s="5">
        <v>8196.43</v>
      </c>
    </row>
    <row r="340" spans="1:16">
      <c r="A340" t="s">
        <v>932</v>
      </c>
      <c r="B340" t="s">
        <v>915</v>
      </c>
      <c r="C340" t="s">
        <v>73</v>
      </c>
      <c r="D340" s="6">
        <v>30</v>
      </c>
      <c r="E340" t="s">
        <v>916</v>
      </c>
      <c r="F340" t="s">
        <v>19</v>
      </c>
      <c r="G340" t="s">
        <v>267</v>
      </c>
      <c r="H340" t="s">
        <v>933</v>
      </c>
      <c r="I340" s="5">
        <v>8274</v>
      </c>
      <c r="L340" s="5">
        <v>8274</v>
      </c>
      <c r="M340" s="7">
        <v>886.5</v>
      </c>
      <c r="N340" s="5">
        <v>7387.5</v>
      </c>
    </row>
    <row r="341" spans="1:16">
      <c r="A341" t="s">
        <v>934</v>
      </c>
      <c r="B341" t="s">
        <v>915</v>
      </c>
      <c r="C341" t="s">
        <v>237</v>
      </c>
      <c r="D341" s="6">
        <v>60</v>
      </c>
      <c r="E341" t="s">
        <v>918</v>
      </c>
      <c r="F341" t="s">
        <v>180</v>
      </c>
      <c r="G341" t="s">
        <v>238</v>
      </c>
      <c r="H341" t="s">
        <v>935</v>
      </c>
      <c r="I341" s="5">
        <v>151350</v>
      </c>
      <c r="L341" s="5">
        <v>151350</v>
      </c>
      <c r="M341" s="5">
        <v>16216.07</v>
      </c>
      <c r="N341" s="5">
        <v>135133.93</v>
      </c>
    </row>
    <row r="342" spans="1:16">
      <c r="A342" t="s">
        <v>936</v>
      </c>
      <c r="B342" t="s">
        <v>915</v>
      </c>
      <c r="C342" t="s">
        <v>54</v>
      </c>
      <c r="D342" s="6">
        <v>90</v>
      </c>
      <c r="E342" t="s">
        <v>924</v>
      </c>
      <c r="F342" t="s">
        <v>19</v>
      </c>
      <c r="G342" t="s">
        <v>937</v>
      </c>
      <c r="H342" t="s">
        <v>938</v>
      </c>
      <c r="I342" s="5">
        <v>430000</v>
      </c>
      <c r="L342" s="5">
        <v>430000</v>
      </c>
      <c r="M342" s="5">
        <v>46071.43</v>
      </c>
      <c r="N342" s="5">
        <v>383928.57</v>
      </c>
    </row>
    <row r="343" spans="1:16">
      <c r="A343" t="s">
        <v>939</v>
      </c>
      <c r="B343" t="s">
        <v>915</v>
      </c>
      <c r="C343" t="s">
        <v>34</v>
      </c>
      <c r="D343" s="6">
        <v>60</v>
      </c>
      <c r="E343" t="s">
        <v>918</v>
      </c>
      <c r="F343" t="s">
        <v>19</v>
      </c>
      <c r="G343" t="s">
        <v>940</v>
      </c>
      <c r="H343" t="s">
        <v>941</v>
      </c>
      <c r="I343" s="5">
        <v>19604</v>
      </c>
      <c r="L343" s="5">
        <v>19604</v>
      </c>
      <c r="M343" s="5">
        <v>2100.4299999999998</v>
      </c>
      <c r="N343" s="5">
        <v>17503.57</v>
      </c>
    </row>
    <row r="344" spans="1:16" s="10" customFormat="1">
      <c r="A344" s="10" t="s">
        <v>942</v>
      </c>
      <c r="B344" s="10" t="s">
        <v>915</v>
      </c>
      <c r="C344" s="10" t="s">
        <v>104</v>
      </c>
      <c r="D344" s="11">
        <v>0</v>
      </c>
      <c r="E344" s="10" t="s">
        <v>915</v>
      </c>
      <c r="F344" s="10" t="s">
        <v>25</v>
      </c>
      <c r="G344" s="10" t="s">
        <v>943</v>
      </c>
      <c r="H344" s="10" t="s">
        <v>944</v>
      </c>
      <c r="I344" s="9">
        <v>7500</v>
      </c>
      <c r="L344" s="9">
        <v>7500</v>
      </c>
      <c r="N344" s="9">
        <v>7500</v>
      </c>
      <c r="P344" s="10" t="s">
        <v>1768</v>
      </c>
    </row>
    <row r="345" spans="1:16">
      <c r="A345" t="s">
        <v>945</v>
      </c>
      <c r="B345" t="s">
        <v>915</v>
      </c>
      <c r="C345" t="s">
        <v>162</v>
      </c>
      <c r="D345" s="6">
        <v>90</v>
      </c>
      <c r="E345" t="s">
        <v>924</v>
      </c>
      <c r="F345" t="s">
        <v>204</v>
      </c>
      <c r="G345" t="s">
        <v>904</v>
      </c>
      <c r="H345" t="s">
        <v>946</v>
      </c>
      <c r="I345" s="5">
        <v>41100</v>
      </c>
      <c r="L345" s="5">
        <v>41100</v>
      </c>
      <c r="M345" s="5">
        <v>4403.57</v>
      </c>
      <c r="N345" s="5">
        <v>36696.43</v>
      </c>
    </row>
    <row r="346" spans="1:16">
      <c r="A346" t="s">
        <v>947</v>
      </c>
      <c r="B346" t="s">
        <v>915</v>
      </c>
      <c r="C346" t="s">
        <v>34</v>
      </c>
      <c r="D346" s="6">
        <v>60</v>
      </c>
      <c r="E346" t="s">
        <v>918</v>
      </c>
      <c r="F346" t="s">
        <v>30</v>
      </c>
      <c r="G346" t="s">
        <v>201</v>
      </c>
      <c r="H346" t="s">
        <v>948</v>
      </c>
      <c r="I346" s="5">
        <v>14400</v>
      </c>
      <c r="L346" s="5">
        <v>14400</v>
      </c>
      <c r="M346" s="5">
        <v>1542.86</v>
      </c>
      <c r="N346" s="5">
        <v>12857.14</v>
      </c>
    </row>
    <row r="347" spans="1:16">
      <c r="A347" t="s">
        <v>949</v>
      </c>
      <c r="B347" t="s">
        <v>915</v>
      </c>
      <c r="C347" t="s">
        <v>60</v>
      </c>
      <c r="D347" s="6">
        <v>0</v>
      </c>
      <c r="E347" t="s">
        <v>915</v>
      </c>
      <c r="F347" t="s">
        <v>56</v>
      </c>
      <c r="G347" t="s">
        <v>190</v>
      </c>
      <c r="H347" t="s">
        <v>950</v>
      </c>
      <c r="I347" s="5">
        <v>27760</v>
      </c>
      <c r="L347" s="5">
        <v>27760</v>
      </c>
      <c r="M347" s="5">
        <v>2974.29</v>
      </c>
      <c r="N347" s="5">
        <v>24785.71</v>
      </c>
    </row>
    <row r="348" spans="1:16">
      <c r="A348" t="s">
        <v>951</v>
      </c>
      <c r="B348" t="s">
        <v>915</v>
      </c>
      <c r="C348" t="s">
        <v>151</v>
      </c>
      <c r="D348" s="6">
        <v>60</v>
      </c>
      <c r="E348" t="s">
        <v>918</v>
      </c>
      <c r="F348" t="s">
        <v>139</v>
      </c>
      <c r="G348" t="s">
        <v>264</v>
      </c>
      <c r="H348" t="s">
        <v>952</v>
      </c>
      <c r="I348" s="5">
        <v>13520</v>
      </c>
      <c r="L348" s="5">
        <v>13520</v>
      </c>
      <c r="M348" s="5">
        <v>1448.57</v>
      </c>
      <c r="N348" s="5">
        <v>12071.43</v>
      </c>
    </row>
    <row r="349" spans="1:16">
      <c r="A349" t="s">
        <v>953</v>
      </c>
      <c r="B349" t="s">
        <v>915</v>
      </c>
      <c r="C349" t="s">
        <v>29</v>
      </c>
      <c r="D349" s="6">
        <v>0</v>
      </c>
      <c r="E349" t="s">
        <v>915</v>
      </c>
      <c r="F349" t="s">
        <v>30</v>
      </c>
      <c r="G349" t="s">
        <v>31</v>
      </c>
      <c r="H349" t="s">
        <v>954</v>
      </c>
      <c r="I349" s="5">
        <v>5460</v>
      </c>
      <c r="L349" s="5">
        <v>5460</v>
      </c>
      <c r="M349" s="7">
        <v>585</v>
      </c>
      <c r="N349" s="5">
        <v>4875</v>
      </c>
    </row>
    <row r="350" spans="1:16">
      <c r="A350" t="s">
        <v>955</v>
      </c>
      <c r="B350" t="s">
        <v>915</v>
      </c>
      <c r="C350" t="s">
        <v>29</v>
      </c>
      <c r="D350" s="6">
        <v>0</v>
      </c>
      <c r="E350" t="s">
        <v>915</v>
      </c>
      <c r="F350" t="s">
        <v>30</v>
      </c>
      <c r="G350" t="s">
        <v>31</v>
      </c>
      <c r="H350" t="s">
        <v>956</v>
      </c>
      <c r="I350" s="5">
        <v>13144</v>
      </c>
      <c r="L350" s="5">
        <v>13144</v>
      </c>
      <c r="M350" s="5">
        <v>1408.29</v>
      </c>
      <c r="N350" s="5">
        <v>11735.71</v>
      </c>
    </row>
    <row r="351" spans="1:16">
      <c r="A351" t="s">
        <v>957</v>
      </c>
      <c r="B351" t="s">
        <v>915</v>
      </c>
      <c r="C351" t="s">
        <v>60</v>
      </c>
      <c r="D351" s="6">
        <v>0</v>
      </c>
      <c r="E351" t="s">
        <v>915</v>
      </c>
      <c r="F351" t="s">
        <v>139</v>
      </c>
      <c r="G351" t="s">
        <v>958</v>
      </c>
      <c r="H351" t="s">
        <v>959</v>
      </c>
      <c r="I351" s="5">
        <v>588000</v>
      </c>
      <c r="J351" s="4">
        <v>-17640</v>
      </c>
      <c r="L351" s="5">
        <v>570360</v>
      </c>
      <c r="M351" s="5">
        <v>61110</v>
      </c>
      <c r="N351" s="5">
        <v>509250</v>
      </c>
    </row>
    <row r="352" spans="1:16">
      <c r="A352" t="s">
        <v>960</v>
      </c>
      <c r="B352" t="s">
        <v>915</v>
      </c>
      <c r="C352" t="s">
        <v>60</v>
      </c>
      <c r="D352" s="6">
        <v>0</v>
      </c>
      <c r="E352" t="s">
        <v>915</v>
      </c>
      <c r="F352" t="s">
        <v>139</v>
      </c>
      <c r="G352" t="s">
        <v>958</v>
      </c>
      <c r="H352" t="s">
        <v>961</v>
      </c>
      <c r="I352" s="5">
        <v>395135</v>
      </c>
      <c r="J352" s="4">
        <v>-11854.05</v>
      </c>
      <c r="L352" s="5">
        <v>383280.95</v>
      </c>
      <c r="M352" s="5">
        <v>41065.82</v>
      </c>
      <c r="N352" s="5">
        <v>342215.13</v>
      </c>
    </row>
    <row r="353" spans="1:14">
      <c r="A353" t="s">
        <v>962</v>
      </c>
      <c r="B353" t="s">
        <v>915</v>
      </c>
      <c r="C353" t="s">
        <v>162</v>
      </c>
      <c r="D353" s="6">
        <v>90</v>
      </c>
      <c r="E353" t="s">
        <v>924</v>
      </c>
      <c r="F353" t="s">
        <v>36</v>
      </c>
      <c r="G353" t="s">
        <v>754</v>
      </c>
      <c r="H353" t="s">
        <v>963</v>
      </c>
      <c r="I353" s="5">
        <v>150500</v>
      </c>
      <c r="L353" s="5">
        <v>150500</v>
      </c>
      <c r="M353" s="5">
        <v>16125</v>
      </c>
      <c r="N353" s="5">
        <v>134375</v>
      </c>
    </row>
    <row r="354" spans="1:14">
      <c r="A354" t="s">
        <v>964</v>
      </c>
      <c r="B354" t="s">
        <v>915</v>
      </c>
      <c r="C354" t="s">
        <v>18</v>
      </c>
      <c r="D354" s="6">
        <v>0</v>
      </c>
      <c r="E354" t="s">
        <v>915</v>
      </c>
      <c r="F354" t="s">
        <v>180</v>
      </c>
      <c r="G354" t="s">
        <v>319</v>
      </c>
      <c r="H354" t="s">
        <v>965</v>
      </c>
      <c r="I354" s="5">
        <v>88000</v>
      </c>
      <c r="L354" s="5">
        <v>88000</v>
      </c>
      <c r="M354" s="5">
        <v>9428.57</v>
      </c>
      <c r="N354" s="5">
        <v>78571.429999999993</v>
      </c>
    </row>
    <row r="355" spans="1:14">
      <c r="A355" t="s">
        <v>966</v>
      </c>
      <c r="B355" t="s">
        <v>915</v>
      </c>
      <c r="C355" t="s">
        <v>18</v>
      </c>
      <c r="D355" s="6">
        <v>0</v>
      </c>
      <c r="E355" t="s">
        <v>915</v>
      </c>
      <c r="F355" t="s">
        <v>180</v>
      </c>
      <c r="G355" t="s">
        <v>319</v>
      </c>
      <c r="H355" t="s">
        <v>967</v>
      </c>
      <c r="I355" s="5">
        <v>241500</v>
      </c>
      <c r="L355" s="5">
        <v>241500</v>
      </c>
      <c r="M355" s="5">
        <v>25875</v>
      </c>
      <c r="N355" s="5">
        <v>215625</v>
      </c>
    </row>
    <row r="356" spans="1:14">
      <c r="A356" t="s">
        <v>968</v>
      </c>
      <c r="B356" t="s">
        <v>915</v>
      </c>
      <c r="C356" t="s">
        <v>779</v>
      </c>
      <c r="D356" s="6">
        <v>0</v>
      </c>
      <c r="E356" t="s">
        <v>915</v>
      </c>
      <c r="F356" t="s">
        <v>69</v>
      </c>
      <c r="G356" t="s">
        <v>780</v>
      </c>
      <c r="H356" t="s">
        <v>969</v>
      </c>
      <c r="I356" s="5">
        <v>600900</v>
      </c>
      <c r="L356" s="5">
        <v>600900</v>
      </c>
      <c r="M356" s="5">
        <v>64382.14</v>
      </c>
      <c r="N356" s="5">
        <v>536517.86</v>
      </c>
    </row>
    <row r="357" spans="1:14">
      <c r="A357" t="s">
        <v>970</v>
      </c>
      <c r="B357" t="s">
        <v>971</v>
      </c>
      <c r="C357" t="s">
        <v>972</v>
      </c>
      <c r="D357" s="6">
        <v>15</v>
      </c>
      <c r="E357" t="s">
        <v>296</v>
      </c>
      <c r="F357" t="s">
        <v>30</v>
      </c>
      <c r="G357" t="s">
        <v>973</v>
      </c>
      <c r="H357" t="s">
        <v>974</v>
      </c>
      <c r="I357" s="5">
        <v>45600</v>
      </c>
      <c r="L357" s="5">
        <v>45600</v>
      </c>
      <c r="M357" s="5">
        <v>4885.71</v>
      </c>
      <c r="N357" s="5">
        <v>40714.29</v>
      </c>
    </row>
    <row r="358" spans="1:14">
      <c r="A358" t="s">
        <v>975</v>
      </c>
      <c r="B358" t="s">
        <v>971</v>
      </c>
      <c r="C358" t="s">
        <v>98</v>
      </c>
      <c r="D358" s="6">
        <v>0</v>
      </c>
      <c r="E358" t="s">
        <v>971</v>
      </c>
      <c r="F358" t="s">
        <v>139</v>
      </c>
      <c r="G358" t="s">
        <v>976</v>
      </c>
      <c r="H358" t="s">
        <v>977</v>
      </c>
      <c r="I358" s="5">
        <v>221591</v>
      </c>
      <c r="L358" s="5">
        <v>221591</v>
      </c>
      <c r="M358" s="5">
        <v>23741.89</v>
      </c>
      <c r="N358" s="5">
        <v>197849.11</v>
      </c>
    </row>
    <row r="359" spans="1:14">
      <c r="A359" t="s">
        <v>978</v>
      </c>
      <c r="B359" t="s">
        <v>971</v>
      </c>
      <c r="C359" t="s">
        <v>18</v>
      </c>
      <c r="D359" s="6">
        <v>0</v>
      </c>
      <c r="E359" t="s">
        <v>971</v>
      </c>
      <c r="F359" t="s">
        <v>270</v>
      </c>
      <c r="G359" t="s">
        <v>979</v>
      </c>
      <c r="H359" t="s">
        <v>980</v>
      </c>
      <c r="I359" s="5">
        <v>515828.54</v>
      </c>
      <c r="L359" s="5">
        <v>515828.54</v>
      </c>
      <c r="M359" s="5">
        <v>55267.34</v>
      </c>
      <c r="N359" s="5">
        <v>460561.2</v>
      </c>
    </row>
    <row r="360" spans="1:14">
      <c r="A360" t="s">
        <v>981</v>
      </c>
      <c r="B360" t="s">
        <v>971</v>
      </c>
      <c r="C360" t="s">
        <v>18</v>
      </c>
      <c r="D360" s="6">
        <v>0</v>
      </c>
      <c r="E360" t="s">
        <v>971</v>
      </c>
      <c r="F360" t="s">
        <v>270</v>
      </c>
      <c r="G360" t="s">
        <v>979</v>
      </c>
      <c r="H360" t="s">
        <v>982</v>
      </c>
      <c r="I360" s="5">
        <v>951330</v>
      </c>
      <c r="L360" s="5">
        <v>951330</v>
      </c>
      <c r="M360" s="5">
        <v>101928.21</v>
      </c>
      <c r="N360" s="5">
        <v>849401.79</v>
      </c>
    </row>
    <row r="361" spans="1:14">
      <c r="A361" t="s">
        <v>983</v>
      </c>
      <c r="B361" t="s">
        <v>971</v>
      </c>
      <c r="C361" t="s">
        <v>60</v>
      </c>
      <c r="D361" s="6">
        <v>0</v>
      </c>
      <c r="E361" t="s">
        <v>971</v>
      </c>
      <c r="F361" t="s">
        <v>56</v>
      </c>
      <c r="G361" t="s">
        <v>190</v>
      </c>
      <c r="H361" t="s">
        <v>984</v>
      </c>
      <c r="I361" s="5">
        <v>2489.9</v>
      </c>
      <c r="L361" s="5">
        <v>2489.9</v>
      </c>
      <c r="M361" s="7">
        <v>266.77</v>
      </c>
      <c r="N361" s="5">
        <v>2223.13</v>
      </c>
    </row>
    <row r="362" spans="1:14">
      <c r="A362" t="s">
        <v>985</v>
      </c>
      <c r="B362" t="s">
        <v>971</v>
      </c>
      <c r="C362" t="s">
        <v>162</v>
      </c>
      <c r="D362" s="6">
        <v>90</v>
      </c>
      <c r="E362" t="s">
        <v>986</v>
      </c>
      <c r="F362" t="s">
        <v>759</v>
      </c>
      <c r="G362" t="s">
        <v>763</v>
      </c>
      <c r="H362" t="s">
        <v>987</v>
      </c>
      <c r="I362" s="5">
        <v>20070</v>
      </c>
      <c r="L362" s="5">
        <v>20070</v>
      </c>
      <c r="M362" s="5">
        <v>2150.36</v>
      </c>
      <c r="N362" s="5">
        <v>17919.64</v>
      </c>
    </row>
    <row r="363" spans="1:14">
      <c r="A363" t="s">
        <v>988</v>
      </c>
      <c r="B363" t="s">
        <v>971</v>
      </c>
      <c r="C363" t="s">
        <v>162</v>
      </c>
      <c r="D363" s="6">
        <v>90</v>
      </c>
      <c r="E363" t="s">
        <v>986</v>
      </c>
      <c r="F363" t="s">
        <v>759</v>
      </c>
      <c r="G363" t="s">
        <v>763</v>
      </c>
      <c r="H363" t="s">
        <v>989</v>
      </c>
      <c r="I363" s="5">
        <v>781060</v>
      </c>
      <c r="L363" s="5">
        <v>781060</v>
      </c>
      <c r="M363" s="5">
        <v>83685</v>
      </c>
      <c r="N363" s="5">
        <v>697375</v>
      </c>
    </row>
    <row r="364" spans="1:14">
      <c r="A364" t="s">
        <v>990</v>
      </c>
      <c r="B364" t="s">
        <v>971</v>
      </c>
      <c r="C364" t="s">
        <v>151</v>
      </c>
      <c r="D364" s="6">
        <v>60</v>
      </c>
      <c r="E364" t="s">
        <v>991</v>
      </c>
      <c r="F364" t="s">
        <v>69</v>
      </c>
      <c r="G364" t="s">
        <v>70</v>
      </c>
      <c r="H364" t="s">
        <v>992</v>
      </c>
      <c r="I364" s="5">
        <v>58800</v>
      </c>
      <c r="L364" s="5">
        <v>58800</v>
      </c>
      <c r="M364" s="5">
        <v>6300</v>
      </c>
      <c r="N364" s="5">
        <v>52500</v>
      </c>
    </row>
    <row r="365" spans="1:14">
      <c r="A365" t="s">
        <v>993</v>
      </c>
      <c r="B365" t="s">
        <v>971</v>
      </c>
      <c r="C365" t="s">
        <v>29</v>
      </c>
      <c r="D365" s="6">
        <v>0</v>
      </c>
      <c r="E365" t="s">
        <v>971</v>
      </c>
      <c r="F365" t="s">
        <v>139</v>
      </c>
      <c r="G365" t="s">
        <v>140</v>
      </c>
      <c r="H365" t="s">
        <v>994</v>
      </c>
      <c r="I365" s="5">
        <v>109780</v>
      </c>
      <c r="L365" s="5">
        <v>109780</v>
      </c>
      <c r="M365" s="5">
        <v>11762.14</v>
      </c>
      <c r="N365" s="5">
        <v>98017.86</v>
      </c>
    </row>
    <row r="366" spans="1:14">
      <c r="A366" t="s">
        <v>995</v>
      </c>
      <c r="B366" t="s">
        <v>971</v>
      </c>
      <c r="C366" t="s">
        <v>60</v>
      </c>
      <c r="D366" s="6">
        <v>0</v>
      </c>
      <c r="E366" t="s">
        <v>971</v>
      </c>
      <c r="F366" t="s">
        <v>56</v>
      </c>
      <c r="G366" t="s">
        <v>996</v>
      </c>
      <c r="H366" t="s">
        <v>997</v>
      </c>
      <c r="I366" s="5">
        <v>233990</v>
      </c>
      <c r="L366" s="5">
        <v>233990</v>
      </c>
      <c r="M366" s="5">
        <v>25070.36</v>
      </c>
      <c r="N366" s="5">
        <v>208919.64</v>
      </c>
    </row>
    <row r="367" spans="1:14">
      <c r="A367" t="s">
        <v>998</v>
      </c>
      <c r="B367" t="s">
        <v>971</v>
      </c>
      <c r="C367" t="s">
        <v>146</v>
      </c>
      <c r="D367" s="6">
        <v>90</v>
      </c>
      <c r="E367" t="s">
        <v>986</v>
      </c>
      <c r="F367" t="s">
        <v>36</v>
      </c>
      <c r="G367" t="s">
        <v>754</v>
      </c>
      <c r="H367" t="s">
        <v>999</v>
      </c>
      <c r="I367" s="5">
        <v>752500</v>
      </c>
      <c r="L367" s="5">
        <v>752500</v>
      </c>
      <c r="M367" s="5">
        <v>80625</v>
      </c>
      <c r="N367" s="5">
        <v>671875</v>
      </c>
    </row>
    <row r="368" spans="1:14">
      <c r="A368" t="s">
        <v>1000</v>
      </c>
      <c r="B368" t="s">
        <v>971</v>
      </c>
      <c r="C368" t="s">
        <v>34</v>
      </c>
      <c r="D368" s="6">
        <v>60</v>
      </c>
      <c r="E368" t="s">
        <v>991</v>
      </c>
      <c r="F368" t="s">
        <v>19</v>
      </c>
      <c r="G368" t="s">
        <v>287</v>
      </c>
      <c r="H368" t="s">
        <v>1001</v>
      </c>
      <c r="I368" s="5">
        <v>25200</v>
      </c>
      <c r="L368" s="5">
        <v>25200</v>
      </c>
      <c r="M368" s="5">
        <v>2700</v>
      </c>
      <c r="N368" s="5">
        <v>22500</v>
      </c>
    </row>
    <row r="369" spans="1:14">
      <c r="A369" t="s">
        <v>1002</v>
      </c>
      <c r="B369" t="s">
        <v>971</v>
      </c>
      <c r="C369" t="s">
        <v>60</v>
      </c>
      <c r="D369" s="6">
        <v>0</v>
      </c>
      <c r="E369" t="s">
        <v>971</v>
      </c>
      <c r="F369" t="s">
        <v>56</v>
      </c>
      <c r="G369" t="s">
        <v>1003</v>
      </c>
      <c r="H369" t="s">
        <v>1004</v>
      </c>
      <c r="I369" s="5">
        <v>1328544</v>
      </c>
      <c r="L369" s="5">
        <v>1328544</v>
      </c>
      <c r="M369" s="5">
        <v>142344</v>
      </c>
      <c r="N369" s="5">
        <v>1186200</v>
      </c>
    </row>
    <row r="370" spans="1:14">
      <c r="A370" t="s">
        <v>1005</v>
      </c>
      <c r="B370" t="s">
        <v>971</v>
      </c>
      <c r="C370" t="s">
        <v>60</v>
      </c>
      <c r="D370" s="6">
        <v>0</v>
      </c>
      <c r="E370" t="s">
        <v>971</v>
      </c>
      <c r="F370" t="s">
        <v>56</v>
      </c>
      <c r="G370" t="s">
        <v>1006</v>
      </c>
      <c r="H370" t="s">
        <v>1007</v>
      </c>
      <c r="I370" s="5">
        <v>78544</v>
      </c>
      <c r="L370" s="5">
        <v>78544</v>
      </c>
      <c r="M370" s="5">
        <v>8415.43</v>
      </c>
      <c r="N370" s="5">
        <v>70128.570000000007</v>
      </c>
    </row>
    <row r="371" spans="1:14">
      <c r="A371" t="s">
        <v>1008</v>
      </c>
      <c r="B371" t="s">
        <v>971</v>
      </c>
      <c r="C371" t="s">
        <v>104</v>
      </c>
      <c r="D371" s="6">
        <v>0</v>
      </c>
      <c r="E371" t="s">
        <v>971</v>
      </c>
      <c r="F371" t="s">
        <v>105</v>
      </c>
      <c r="G371" t="s">
        <v>274</v>
      </c>
      <c r="H371" t="s">
        <v>1009</v>
      </c>
      <c r="I371" s="5">
        <v>148747</v>
      </c>
      <c r="J371" s="4">
        <v>-2974.94</v>
      </c>
      <c r="L371" s="5">
        <v>145772.06</v>
      </c>
      <c r="M371" s="5">
        <v>15618.44</v>
      </c>
      <c r="N371" s="5">
        <v>130153.62</v>
      </c>
    </row>
    <row r="372" spans="1:14">
      <c r="A372" t="s">
        <v>1010</v>
      </c>
      <c r="B372" t="s">
        <v>971</v>
      </c>
      <c r="C372" t="s">
        <v>1011</v>
      </c>
      <c r="D372" s="6">
        <v>60</v>
      </c>
      <c r="E372" t="s">
        <v>991</v>
      </c>
      <c r="F372" t="s">
        <v>56</v>
      </c>
      <c r="G372" t="s">
        <v>1012</v>
      </c>
      <c r="H372" t="s">
        <v>1013</v>
      </c>
      <c r="I372" s="5">
        <v>168032</v>
      </c>
      <c r="L372" s="5">
        <v>168032</v>
      </c>
      <c r="M372" s="5">
        <v>18003.43</v>
      </c>
      <c r="N372" s="5">
        <v>150028.57</v>
      </c>
    </row>
    <row r="373" spans="1:14">
      <c r="A373" t="s">
        <v>1014</v>
      </c>
      <c r="B373" t="s">
        <v>971</v>
      </c>
      <c r="C373" t="s">
        <v>146</v>
      </c>
      <c r="D373" s="6">
        <v>90</v>
      </c>
      <c r="E373" t="s">
        <v>986</v>
      </c>
      <c r="F373" t="s">
        <v>69</v>
      </c>
      <c r="G373" t="s">
        <v>663</v>
      </c>
      <c r="H373" t="s">
        <v>1015</v>
      </c>
      <c r="I373" s="5">
        <v>367567.2</v>
      </c>
      <c r="L373" s="5">
        <v>367567.2</v>
      </c>
      <c r="M373" s="5">
        <v>39382.199999999997</v>
      </c>
      <c r="N373" s="5">
        <v>328185</v>
      </c>
    </row>
    <row r="374" spans="1:14">
      <c r="A374" t="s">
        <v>1016</v>
      </c>
      <c r="B374" t="s">
        <v>971</v>
      </c>
      <c r="C374" t="s">
        <v>1011</v>
      </c>
      <c r="D374" s="6">
        <v>60</v>
      </c>
      <c r="E374" t="s">
        <v>991</v>
      </c>
      <c r="F374" t="s">
        <v>56</v>
      </c>
      <c r="G374" t="s">
        <v>1012</v>
      </c>
      <c r="H374" t="s">
        <v>1017</v>
      </c>
      <c r="I374" s="5">
        <v>135474</v>
      </c>
      <c r="L374" s="5">
        <v>135474</v>
      </c>
      <c r="M374" s="5">
        <v>14515.07</v>
      </c>
      <c r="N374" s="5">
        <v>120958.93</v>
      </c>
    </row>
    <row r="375" spans="1:14">
      <c r="A375" t="s">
        <v>1018</v>
      </c>
      <c r="B375" t="s">
        <v>971</v>
      </c>
      <c r="C375" t="s">
        <v>1011</v>
      </c>
      <c r="D375" s="6">
        <v>60</v>
      </c>
      <c r="E375" t="s">
        <v>991</v>
      </c>
      <c r="F375" t="s">
        <v>56</v>
      </c>
      <c r="G375" t="s">
        <v>1012</v>
      </c>
      <c r="H375" t="s">
        <v>1019</v>
      </c>
      <c r="I375" s="5">
        <v>75614</v>
      </c>
      <c r="L375" s="5">
        <v>75614</v>
      </c>
      <c r="M375" s="5">
        <v>8101.5</v>
      </c>
      <c r="N375" s="5">
        <v>67512.5</v>
      </c>
    </row>
    <row r="376" spans="1:14">
      <c r="A376" t="s">
        <v>1020</v>
      </c>
      <c r="B376" t="s">
        <v>971</v>
      </c>
      <c r="C376" t="s">
        <v>1011</v>
      </c>
      <c r="D376" s="6">
        <v>60</v>
      </c>
      <c r="E376" t="s">
        <v>991</v>
      </c>
      <c r="F376" t="s">
        <v>56</v>
      </c>
      <c r="G376" t="s">
        <v>1012</v>
      </c>
      <c r="H376" t="s">
        <v>1021</v>
      </c>
      <c r="I376" s="5">
        <v>168032</v>
      </c>
      <c r="L376" s="5">
        <v>168032</v>
      </c>
      <c r="M376" s="5">
        <v>18003.43</v>
      </c>
      <c r="N376" s="5">
        <v>150028.57</v>
      </c>
    </row>
    <row r="377" spans="1:14">
      <c r="A377" t="s">
        <v>1022</v>
      </c>
      <c r="B377" t="s">
        <v>971</v>
      </c>
      <c r="C377" t="s">
        <v>162</v>
      </c>
      <c r="D377" s="6">
        <v>90</v>
      </c>
      <c r="E377" t="s">
        <v>986</v>
      </c>
      <c r="F377" t="s">
        <v>19</v>
      </c>
      <c r="G377" t="s">
        <v>543</v>
      </c>
      <c r="H377" t="s">
        <v>1023</v>
      </c>
      <c r="I377" s="5">
        <v>386992</v>
      </c>
      <c r="L377" s="5">
        <v>386992</v>
      </c>
      <c r="M377" s="5">
        <v>41463.43</v>
      </c>
      <c r="N377" s="5">
        <v>345528.57</v>
      </c>
    </row>
    <row r="378" spans="1:14">
      <c r="A378" t="s">
        <v>1024</v>
      </c>
      <c r="B378" t="s">
        <v>971</v>
      </c>
      <c r="C378" t="s">
        <v>151</v>
      </c>
      <c r="D378" s="6">
        <v>60</v>
      </c>
      <c r="E378" t="s">
        <v>991</v>
      </c>
      <c r="F378" t="s">
        <v>69</v>
      </c>
      <c r="G378" t="s">
        <v>1025</v>
      </c>
      <c r="H378" t="s">
        <v>1026</v>
      </c>
      <c r="I378" s="5">
        <v>28145</v>
      </c>
      <c r="L378" s="5">
        <v>28145</v>
      </c>
      <c r="M378" s="5">
        <v>3015.54</v>
      </c>
      <c r="N378" s="5">
        <v>25129.46</v>
      </c>
    </row>
    <row r="379" spans="1:14">
      <c r="A379" t="s">
        <v>1027</v>
      </c>
      <c r="B379" t="s">
        <v>971</v>
      </c>
      <c r="C379" t="s">
        <v>151</v>
      </c>
      <c r="D379" s="6">
        <v>60</v>
      </c>
      <c r="E379" t="s">
        <v>991</v>
      </c>
      <c r="F379" t="s">
        <v>69</v>
      </c>
      <c r="G379" t="s">
        <v>1025</v>
      </c>
      <c r="H379" t="s">
        <v>1028</v>
      </c>
      <c r="I379" s="5">
        <v>54780</v>
      </c>
      <c r="L379" s="5">
        <v>54780</v>
      </c>
      <c r="M379" s="5">
        <v>5869.29</v>
      </c>
      <c r="N379" s="5">
        <v>48910.71</v>
      </c>
    </row>
    <row r="380" spans="1:14">
      <c r="A380" t="s">
        <v>1029</v>
      </c>
      <c r="B380" t="s">
        <v>971</v>
      </c>
      <c r="C380" t="s">
        <v>151</v>
      </c>
      <c r="D380" s="6">
        <v>60</v>
      </c>
      <c r="E380" t="s">
        <v>991</v>
      </c>
      <c r="F380" t="s">
        <v>69</v>
      </c>
      <c r="G380" t="s">
        <v>1025</v>
      </c>
      <c r="H380" t="s">
        <v>1030</v>
      </c>
      <c r="I380" s="5">
        <v>21925</v>
      </c>
      <c r="L380" s="5">
        <v>21925</v>
      </c>
      <c r="M380" s="5">
        <v>2349.11</v>
      </c>
      <c r="N380" s="5">
        <v>19575.89</v>
      </c>
    </row>
    <row r="381" spans="1:14">
      <c r="A381" t="s">
        <v>1031</v>
      </c>
      <c r="B381" t="s">
        <v>971</v>
      </c>
      <c r="C381" t="s">
        <v>237</v>
      </c>
      <c r="D381" s="6">
        <v>60</v>
      </c>
      <c r="E381" t="s">
        <v>991</v>
      </c>
      <c r="F381" t="s">
        <v>69</v>
      </c>
      <c r="G381" t="s">
        <v>1025</v>
      </c>
      <c r="H381" t="s">
        <v>1032</v>
      </c>
      <c r="I381" s="5">
        <v>98130</v>
      </c>
      <c r="L381" s="5">
        <v>98130</v>
      </c>
      <c r="M381" s="5">
        <v>10513.93</v>
      </c>
      <c r="N381" s="5">
        <v>87616.07</v>
      </c>
    </row>
    <row r="382" spans="1:14">
      <c r="A382" t="s">
        <v>1033</v>
      </c>
      <c r="B382" t="s">
        <v>971</v>
      </c>
      <c r="C382" t="s">
        <v>60</v>
      </c>
      <c r="D382" s="6">
        <v>0</v>
      </c>
      <c r="E382" t="s">
        <v>971</v>
      </c>
      <c r="F382" t="s">
        <v>56</v>
      </c>
      <c r="G382" t="s">
        <v>190</v>
      </c>
      <c r="H382" t="s">
        <v>1034</v>
      </c>
      <c r="I382" s="5">
        <v>165070.72</v>
      </c>
      <c r="L382" s="5">
        <v>165070.72</v>
      </c>
      <c r="M382" s="5">
        <v>17686.150000000001</v>
      </c>
      <c r="N382" s="5">
        <v>147384.57</v>
      </c>
    </row>
    <row r="383" spans="1:14">
      <c r="A383" t="s">
        <v>1035</v>
      </c>
      <c r="B383" t="s">
        <v>971</v>
      </c>
      <c r="C383" t="s">
        <v>162</v>
      </c>
      <c r="D383" s="6">
        <v>90</v>
      </c>
      <c r="E383" t="s">
        <v>986</v>
      </c>
      <c r="F383" t="s">
        <v>36</v>
      </c>
      <c r="G383" t="s">
        <v>193</v>
      </c>
      <c r="H383" t="s">
        <v>1036</v>
      </c>
      <c r="I383" s="5">
        <v>69000</v>
      </c>
      <c r="L383" s="5">
        <v>69000</v>
      </c>
      <c r="M383" s="5">
        <v>7392.86</v>
      </c>
      <c r="N383" s="5">
        <v>61607.14</v>
      </c>
    </row>
    <row r="384" spans="1:14">
      <c r="A384" t="s">
        <v>1037</v>
      </c>
      <c r="B384" t="s">
        <v>971</v>
      </c>
      <c r="C384" t="s">
        <v>146</v>
      </c>
      <c r="D384" s="6">
        <v>90</v>
      </c>
      <c r="E384" t="s">
        <v>986</v>
      </c>
      <c r="F384" t="s">
        <v>139</v>
      </c>
      <c r="G384" t="s">
        <v>1038</v>
      </c>
      <c r="H384" t="s">
        <v>1039</v>
      </c>
      <c r="I384" s="5">
        <v>297555</v>
      </c>
      <c r="L384" s="5">
        <v>297555</v>
      </c>
      <c r="M384" s="5">
        <v>31880.89</v>
      </c>
      <c r="N384" s="5">
        <v>265674.11</v>
      </c>
    </row>
    <row r="385" spans="1:16">
      <c r="A385" t="s">
        <v>1040</v>
      </c>
      <c r="B385" t="s">
        <v>971</v>
      </c>
      <c r="C385" t="s">
        <v>146</v>
      </c>
      <c r="D385" s="6">
        <v>90</v>
      </c>
      <c r="E385" t="s">
        <v>986</v>
      </c>
      <c r="F385" t="s">
        <v>139</v>
      </c>
      <c r="G385" t="s">
        <v>1038</v>
      </c>
      <c r="H385" t="s">
        <v>1041</v>
      </c>
      <c r="I385" s="5">
        <v>768251</v>
      </c>
      <c r="L385" s="5">
        <v>768251</v>
      </c>
      <c r="M385" s="5">
        <v>82312.61</v>
      </c>
      <c r="N385" s="5">
        <v>685938.39</v>
      </c>
    </row>
    <row r="386" spans="1:16">
      <c r="A386" t="s">
        <v>1042</v>
      </c>
      <c r="B386" t="s">
        <v>971</v>
      </c>
      <c r="C386" t="s">
        <v>94</v>
      </c>
      <c r="D386" s="6">
        <v>0</v>
      </c>
      <c r="E386" t="s">
        <v>971</v>
      </c>
      <c r="F386" t="s">
        <v>139</v>
      </c>
      <c r="G386" t="s">
        <v>1043</v>
      </c>
      <c r="H386" t="s">
        <v>1044</v>
      </c>
      <c r="I386" s="5">
        <v>166626.75</v>
      </c>
      <c r="L386" s="5">
        <v>166626.75</v>
      </c>
      <c r="M386" s="5">
        <v>17852.87</v>
      </c>
      <c r="N386" s="5">
        <v>148773.88</v>
      </c>
    </row>
    <row r="387" spans="1:16">
      <c r="A387" t="s">
        <v>1045</v>
      </c>
      <c r="B387" t="s">
        <v>971</v>
      </c>
      <c r="C387" t="s">
        <v>18</v>
      </c>
      <c r="D387" s="6">
        <v>0</v>
      </c>
      <c r="E387" t="s">
        <v>971</v>
      </c>
      <c r="F387" t="s">
        <v>56</v>
      </c>
      <c r="G387" t="s">
        <v>412</v>
      </c>
      <c r="H387" t="s">
        <v>1046</v>
      </c>
      <c r="I387" s="5">
        <v>965019</v>
      </c>
      <c r="J387" s="4">
        <v>-28950.57</v>
      </c>
      <c r="L387" s="5">
        <v>936068.43</v>
      </c>
      <c r="M387" s="5">
        <v>100293.05</v>
      </c>
      <c r="N387" s="5">
        <v>835775.38</v>
      </c>
    </row>
    <row r="388" spans="1:16" s="10" customFormat="1">
      <c r="A388" s="10" t="s">
        <v>1047</v>
      </c>
      <c r="B388" s="10" t="s">
        <v>1048</v>
      </c>
      <c r="C388" s="10" t="s">
        <v>60</v>
      </c>
      <c r="D388" s="11">
        <v>0</v>
      </c>
      <c r="E388" s="10" t="s">
        <v>1048</v>
      </c>
      <c r="F388" s="10" t="s">
        <v>139</v>
      </c>
      <c r="G388" s="10" t="s">
        <v>449</v>
      </c>
      <c r="H388" s="10" t="s">
        <v>1049</v>
      </c>
      <c r="I388" s="9">
        <v>17072</v>
      </c>
      <c r="L388" s="9">
        <v>17072</v>
      </c>
      <c r="M388" s="9">
        <v>1829.14</v>
      </c>
      <c r="N388" s="9">
        <v>15242.86</v>
      </c>
      <c r="P388" s="10" t="s">
        <v>1767</v>
      </c>
    </row>
    <row r="389" spans="1:16" s="10" customFormat="1">
      <c r="A389" s="10" t="s">
        <v>1050</v>
      </c>
      <c r="B389" s="10" t="s">
        <v>1048</v>
      </c>
      <c r="C389" s="10" t="s">
        <v>60</v>
      </c>
      <c r="D389" s="11">
        <v>0</v>
      </c>
      <c r="E389" s="10" t="s">
        <v>1048</v>
      </c>
      <c r="F389" s="10" t="s">
        <v>139</v>
      </c>
      <c r="G389" s="10" t="s">
        <v>449</v>
      </c>
      <c r="H389" s="10" t="s">
        <v>1051</v>
      </c>
      <c r="I389" s="9">
        <v>17020</v>
      </c>
      <c r="L389" s="9">
        <v>17020</v>
      </c>
      <c r="M389" s="9">
        <v>1823.57</v>
      </c>
      <c r="N389" s="9">
        <v>15196.43</v>
      </c>
      <c r="P389" s="10" t="s">
        <v>1767</v>
      </c>
    </row>
    <row r="390" spans="1:16">
      <c r="A390" t="s">
        <v>1052</v>
      </c>
      <c r="B390" t="s">
        <v>1048</v>
      </c>
      <c r="C390" t="s">
        <v>29</v>
      </c>
      <c r="D390" s="6">
        <v>0</v>
      </c>
      <c r="E390" t="s">
        <v>1048</v>
      </c>
      <c r="F390" t="s">
        <v>30</v>
      </c>
      <c r="G390" t="s">
        <v>31</v>
      </c>
      <c r="H390" t="s">
        <v>1053</v>
      </c>
      <c r="I390" s="5">
        <v>142620</v>
      </c>
      <c r="L390" s="5">
        <v>142620</v>
      </c>
      <c r="M390" s="5">
        <v>15280.71</v>
      </c>
      <c r="N390" s="5">
        <v>127339.29</v>
      </c>
    </row>
    <row r="391" spans="1:16">
      <c r="A391" t="s">
        <v>1054</v>
      </c>
      <c r="B391" t="s">
        <v>1048</v>
      </c>
      <c r="C391" t="s">
        <v>1055</v>
      </c>
      <c r="D391" s="6">
        <v>30</v>
      </c>
      <c r="E391" t="s">
        <v>1056</v>
      </c>
      <c r="F391" t="s">
        <v>56</v>
      </c>
      <c r="G391" t="s">
        <v>1057</v>
      </c>
      <c r="H391" t="s">
        <v>1058</v>
      </c>
      <c r="I391" s="5">
        <v>19740</v>
      </c>
      <c r="L391" s="5">
        <v>19740</v>
      </c>
      <c r="M391" s="5">
        <v>2115</v>
      </c>
      <c r="N391" s="5">
        <v>17625</v>
      </c>
    </row>
    <row r="392" spans="1:16">
      <c r="A392" t="s">
        <v>1059</v>
      </c>
      <c r="B392" t="s">
        <v>1048</v>
      </c>
      <c r="C392" t="s">
        <v>23</v>
      </c>
      <c r="D392" s="6">
        <v>30</v>
      </c>
      <c r="E392" t="s">
        <v>1056</v>
      </c>
      <c r="F392" t="s">
        <v>180</v>
      </c>
      <c r="G392" t="s">
        <v>224</v>
      </c>
      <c r="H392" t="s">
        <v>1060</v>
      </c>
      <c r="I392" s="5">
        <v>50400</v>
      </c>
      <c r="L392" s="5">
        <v>50400</v>
      </c>
      <c r="M392" s="5">
        <v>5400</v>
      </c>
      <c r="N392" s="5">
        <v>45000</v>
      </c>
    </row>
    <row r="393" spans="1:16">
      <c r="A393" t="s">
        <v>1061</v>
      </c>
      <c r="B393" t="s">
        <v>1048</v>
      </c>
      <c r="C393" t="s">
        <v>23</v>
      </c>
      <c r="D393" s="6">
        <v>30</v>
      </c>
      <c r="E393" t="s">
        <v>1056</v>
      </c>
      <c r="F393" t="s">
        <v>180</v>
      </c>
      <c r="G393" t="s">
        <v>224</v>
      </c>
      <c r="H393" t="s">
        <v>1062</v>
      </c>
      <c r="I393" s="5">
        <v>22900</v>
      </c>
      <c r="L393" s="5">
        <v>22900</v>
      </c>
      <c r="M393" s="5">
        <v>2453.5700000000002</v>
      </c>
      <c r="N393" s="5">
        <v>20446.43</v>
      </c>
    </row>
    <row r="394" spans="1:16">
      <c r="A394" t="s">
        <v>1063</v>
      </c>
      <c r="B394" t="s">
        <v>1048</v>
      </c>
      <c r="C394" t="s">
        <v>167</v>
      </c>
      <c r="D394" s="6">
        <v>90</v>
      </c>
      <c r="E394" t="s">
        <v>1064</v>
      </c>
      <c r="F394" t="s">
        <v>56</v>
      </c>
      <c r="G394" t="s">
        <v>190</v>
      </c>
      <c r="H394" t="s">
        <v>1065</v>
      </c>
      <c r="I394" s="5">
        <v>191136</v>
      </c>
      <c r="L394" s="5">
        <v>191136</v>
      </c>
      <c r="M394" s="5">
        <v>20478.86</v>
      </c>
      <c r="N394" s="5">
        <v>170657.14</v>
      </c>
    </row>
    <row r="395" spans="1:16">
      <c r="A395" t="s">
        <v>1066</v>
      </c>
      <c r="B395" t="s">
        <v>1048</v>
      </c>
      <c r="C395" t="s">
        <v>151</v>
      </c>
      <c r="D395" s="6">
        <v>60</v>
      </c>
      <c r="E395" t="s">
        <v>1067</v>
      </c>
      <c r="F395" t="s">
        <v>56</v>
      </c>
      <c r="G395" t="s">
        <v>152</v>
      </c>
      <c r="H395" t="s">
        <v>1068</v>
      </c>
      <c r="I395" s="5">
        <v>68700</v>
      </c>
      <c r="L395" s="5">
        <v>68700</v>
      </c>
      <c r="M395" s="5">
        <v>7360.71</v>
      </c>
      <c r="N395" s="5">
        <v>61339.29</v>
      </c>
    </row>
    <row r="396" spans="1:16">
      <c r="A396" t="s">
        <v>1069</v>
      </c>
      <c r="B396" t="s">
        <v>1048</v>
      </c>
      <c r="C396" t="s">
        <v>151</v>
      </c>
      <c r="D396" s="6">
        <v>60</v>
      </c>
      <c r="E396" t="s">
        <v>1067</v>
      </c>
      <c r="F396" t="s">
        <v>56</v>
      </c>
      <c r="G396" t="s">
        <v>152</v>
      </c>
      <c r="H396" t="s">
        <v>1070</v>
      </c>
      <c r="I396" s="5">
        <v>7841</v>
      </c>
      <c r="L396" s="5">
        <v>7841</v>
      </c>
      <c r="M396" s="7">
        <v>840.11</v>
      </c>
      <c r="N396" s="5">
        <v>7000.89</v>
      </c>
    </row>
    <row r="397" spans="1:16">
      <c r="A397" t="s">
        <v>1071</v>
      </c>
      <c r="B397" t="s">
        <v>1048</v>
      </c>
      <c r="C397" t="s">
        <v>60</v>
      </c>
      <c r="D397" s="6">
        <v>0</v>
      </c>
      <c r="E397" t="s">
        <v>1048</v>
      </c>
      <c r="F397" t="s">
        <v>46</v>
      </c>
      <c r="G397" t="s">
        <v>129</v>
      </c>
      <c r="H397" t="s">
        <v>1072</v>
      </c>
      <c r="I397" s="5">
        <v>67468</v>
      </c>
      <c r="J397" s="4">
        <v>-1349.36</v>
      </c>
      <c r="L397" s="5">
        <v>66118.64</v>
      </c>
      <c r="M397" s="5">
        <v>7084.14</v>
      </c>
      <c r="N397" s="5">
        <v>59034.5</v>
      </c>
    </row>
    <row r="398" spans="1:16">
      <c r="A398" t="s">
        <v>1073</v>
      </c>
      <c r="B398" t="s">
        <v>1048</v>
      </c>
      <c r="C398" t="s">
        <v>1074</v>
      </c>
      <c r="D398" s="6">
        <v>0</v>
      </c>
      <c r="E398" t="s">
        <v>1048</v>
      </c>
      <c r="F398" t="s">
        <v>56</v>
      </c>
      <c r="G398" t="s">
        <v>1075</v>
      </c>
      <c r="H398" t="s">
        <v>1076</v>
      </c>
      <c r="I398" s="5">
        <v>919820</v>
      </c>
      <c r="J398" s="4">
        <v>-18396.400000000001</v>
      </c>
      <c r="L398" s="5">
        <v>901423.6</v>
      </c>
      <c r="M398" s="5">
        <v>96581.1</v>
      </c>
      <c r="N398" s="5">
        <v>804842.5</v>
      </c>
    </row>
    <row r="399" spans="1:16">
      <c r="A399" t="s">
        <v>1077</v>
      </c>
      <c r="B399" t="s">
        <v>1048</v>
      </c>
      <c r="C399" t="s">
        <v>73</v>
      </c>
      <c r="D399" s="6">
        <v>30</v>
      </c>
      <c r="E399" t="s">
        <v>1056</v>
      </c>
      <c r="F399" t="s">
        <v>46</v>
      </c>
      <c r="G399" t="s">
        <v>1078</v>
      </c>
      <c r="H399" t="s">
        <v>1079</v>
      </c>
      <c r="I399" s="5">
        <v>138000</v>
      </c>
      <c r="L399" s="5">
        <v>138000</v>
      </c>
      <c r="M399" s="5">
        <v>14785.71</v>
      </c>
      <c r="N399" s="5">
        <v>123214.29</v>
      </c>
    </row>
    <row r="400" spans="1:16">
      <c r="A400" t="s">
        <v>1080</v>
      </c>
      <c r="B400" t="s">
        <v>1048</v>
      </c>
      <c r="C400" t="s">
        <v>73</v>
      </c>
      <c r="D400" s="6">
        <v>30</v>
      </c>
      <c r="E400" t="s">
        <v>1056</v>
      </c>
      <c r="F400" t="s">
        <v>46</v>
      </c>
      <c r="G400" t="s">
        <v>1078</v>
      </c>
      <c r="H400" t="s">
        <v>1081</v>
      </c>
      <c r="I400" s="5">
        <v>136000</v>
      </c>
      <c r="L400" s="5">
        <v>136000</v>
      </c>
      <c r="M400" s="5">
        <v>14571.43</v>
      </c>
      <c r="N400" s="5">
        <v>121428.57</v>
      </c>
    </row>
    <row r="401" spans="1:14">
      <c r="A401" t="s">
        <v>1082</v>
      </c>
      <c r="B401" t="s">
        <v>1048</v>
      </c>
      <c r="C401" t="s">
        <v>60</v>
      </c>
      <c r="D401" s="6">
        <v>0</v>
      </c>
      <c r="E401" t="s">
        <v>1048</v>
      </c>
      <c r="F401" t="s">
        <v>625</v>
      </c>
      <c r="G401" t="s">
        <v>1083</v>
      </c>
      <c r="H401" t="s">
        <v>1084</v>
      </c>
      <c r="I401" s="5">
        <v>94908</v>
      </c>
      <c r="J401" s="4">
        <v>-1898.16</v>
      </c>
      <c r="L401" s="5">
        <v>93009.84</v>
      </c>
      <c r="M401" s="5">
        <v>9965.34</v>
      </c>
      <c r="N401" s="5">
        <v>83044.5</v>
      </c>
    </row>
    <row r="402" spans="1:14">
      <c r="A402" t="s">
        <v>1085</v>
      </c>
      <c r="B402" t="s">
        <v>1048</v>
      </c>
      <c r="C402" t="s">
        <v>1074</v>
      </c>
      <c r="D402" s="6">
        <v>0</v>
      </c>
      <c r="E402" t="s">
        <v>1048</v>
      </c>
      <c r="F402" t="s">
        <v>56</v>
      </c>
      <c r="G402" t="s">
        <v>1075</v>
      </c>
      <c r="H402" t="s">
        <v>1076</v>
      </c>
      <c r="I402" s="5">
        <v>919820</v>
      </c>
      <c r="J402" s="4">
        <v>-18396.400000000001</v>
      </c>
      <c r="L402" s="5">
        <v>901423.6</v>
      </c>
      <c r="M402" s="5">
        <v>96581.1</v>
      </c>
      <c r="N402" s="5">
        <v>804842.5</v>
      </c>
    </row>
    <row r="403" spans="1:14">
      <c r="A403" t="s">
        <v>1086</v>
      </c>
      <c r="B403" t="s">
        <v>1048</v>
      </c>
      <c r="C403" t="s">
        <v>29</v>
      </c>
      <c r="D403" s="6">
        <v>0</v>
      </c>
      <c r="E403" t="s">
        <v>1048</v>
      </c>
      <c r="F403" t="s">
        <v>30</v>
      </c>
      <c r="G403" t="s">
        <v>31</v>
      </c>
      <c r="H403" t="s">
        <v>1087</v>
      </c>
      <c r="I403" s="5">
        <v>1840</v>
      </c>
      <c r="L403" s="5">
        <v>1840</v>
      </c>
      <c r="M403" s="7">
        <v>197.14</v>
      </c>
      <c r="N403" s="5">
        <v>1642.86</v>
      </c>
    </row>
    <row r="404" spans="1:14">
      <c r="A404" t="s">
        <v>1088</v>
      </c>
      <c r="B404" t="s">
        <v>1048</v>
      </c>
      <c r="C404" t="s">
        <v>29</v>
      </c>
      <c r="D404" s="6">
        <v>0</v>
      </c>
      <c r="E404" t="s">
        <v>1048</v>
      </c>
      <c r="F404" t="s">
        <v>30</v>
      </c>
      <c r="G404" t="s">
        <v>155</v>
      </c>
      <c r="H404" t="s">
        <v>1089</v>
      </c>
      <c r="I404" s="5">
        <v>39208</v>
      </c>
      <c r="L404" s="5">
        <v>39208</v>
      </c>
      <c r="M404" s="5">
        <v>4200.8599999999997</v>
      </c>
      <c r="N404" s="5">
        <v>35007.14</v>
      </c>
    </row>
    <row r="405" spans="1:14">
      <c r="A405" t="s">
        <v>1090</v>
      </c>
      <c r="B405" t="s">
        <v>1048</v>
      </c>
      <c r="C405" t="s">
        <v>29</v>
      </c>
      <c r="D405" s="6">
        <v>0</v>
      </c>
      <c r="E405" t="s">
        <v>1048</v>
      </c>
      <c r="F405" t="s">
        <v>30</v>
      </c>
      <c r="G405" t="s">
        <v>31</v>
      </c>
      <c r="H405" t="s">
        <v>1091</v>
      </c>
      <c r="I405" s="5">
        <v>244000</v>
      </c>
      <c r="L405" s="5">
        <v>244000</v>
      </c>
      <c r="M405" s="5">
        <v>26142.86</v>
      </c>
      <c r="N405" s="5">
        <v>217857.14</v>
      </c>
    </row>
    <row r="406" spans="1:14">
      <c r="A406" t="s">
        <v>1092</v>
      </c>
      <c r="B406" t="s">
        <v>1048</v>
      </c>
      <c r="C406" t="s">
        <v>60</v>
      </c>
      <c r="D406" s="6">
        <v>0</v>
      </c>
      <c r="E406" t="s">
        <v>1048</v>
      </c>
      <c r="F406" t="s">
        <v>1093</v>
      </c>
      <c r="G406" t="s">
        <v>1094</v>
      </c>
      <c r="H406" t="s">
        <v>1095</v>
      </c>
      <c r="I406" s="5">
        <v>220540</v>
      </c>
      <c r="L406" s="5">
        <v>220540</v>
      </c>
      <c r="M406" s="5">
        <v>23629.29</v>
      </c>
      <c r="N406" s="5">
        <v>196910.71</v>
      </c>
    </row>
    <row r="407" spans="1:14">
      <c r="A407" t="s">
        <v>1096</v>
      </c>
      <c r="B407" t="s">
        <v>1048</v>
      </c>
      <c r="C407" t="s">
        <v>60</v>
      </c>
      <c r="D407" s="6">
        <v>0</v>
      </c>
      <c r="E407" t="s">
        <v>1048</v>
      </c>
      <c r="F407" t="s">
        <v>139</v>
      </c>
      <c r="G407" t="s">
        <v>1097</v>
      </c>
      <c r="H407" t="s">
        <v>1098</v>
      </c>
      <c r="I407" s="5">
        <v>106000</v>
      </c>
      <c r="L407" s="5">
        <v>106000</v>
      </c>
      <c r="M407" s="5">
        <v>11357.14</v>
      </c>
      <c r="N407" s="5">
        <v>94642.86</v>
      </c>
    </row>
    <row r="408" spans="1:14">
      <c r="A408" t="s">
        <v>1099</v>
      </c>
      <c r="B408" t="s">
        <v>1048</v>
      </c>
      <c r="C408" t="s">
        <v>60</v>
      </c>
      <c r="D408" s="6">
        <v>0</v>
      </c>
      <c r="E408" t="s">
        <v>1048</v>
      </c>
      <c r="F408" t="s">
        <v>139</v>
      </c>
      <c r="G408" t="s">
        <v>1097</v>
      </c>
      <c r="H408" t="s">
        <v>1100</v>
      </c>
      <c r="I408" s="5">
        <v>265000</v>
      </c>
      <c r="L408" s="5">
        <v>265000</v>
      </c>
      <c r="M408" s="5">
        <v>28392.86</v>
      </c>
      <c r="N408" s="5">
        <v>236607.14</v>
      </c>
    </row>
    <row r="409" spans="1:14">
      <c r="A409" t="s">
        <v>1101</v>
      </c>
      <c r="B409" t="s">
        <v>1048</v>
      </c>
      <c r="C409" t="s">
        <v>1102</v>
      </c>
      <c r="D409" s="6">
        <v>60</v>
      </c>
      <c r="E409" t="s">
        <v>1067</v>
      </c>
      <c r="F409" t="s">
        <v>46</v>
      </c>
      <c r="G409" t="s">
        <v>787</v>
      </c>
      <c r="H409" t="s">
        <v>1103</v>
      </c>
      <c r="I409" s="5">
        <v>970898</v>
      </c>
      <c r="L409" s="5">
        <v>970898</v>
      </c>
      <c r="M409" s="5">
        <v>104024.79</v>
      </c>
      <c r="N409" s="5">
        <v>866873.21</v>
      </c>
    </row>
    <row r="410" spans="1:14">
      <c r="A410" t="s">
        <v>1104</v>
      </c>
      <c r="B410" t="s">
        <v>1048</v>
      </c>
      <c r="C410" t="s">
        <v>73</v>
      </c>
      <c r="D410" s="6">
        <v>30</v>
      </c>
      <c r="E410" t="s">
        <v>1056</v>
      </c>
      <c r="F410" t="s">
        <v>19</v>
      </c>
      <c r="G410" t="s">
        <v>267</v>
      </c>
      <c r="H410" t="s">
        <v>1105</v>
      </c>
      <c r="I410" s="5">
        <v>204680</v>
      </c>
      <c r="K410" s="5">
        <v>17000</v>
      </c>
      <c r="L410" s="5">
        <v>221680</v>
      </c>
      <c r="M410" s="5">
        <v>23751.43</v>
      </c>
      <c r="N410" s="5">
        <v>197928.57</v>
      </c>
    </row>
    <row r="411" spans="1:14">
      <c r="A411" t="s">
        <v>1106</v>
      </c>
      <c r="B411" t="s">
        <v>1048</v>
      </c>
      <c r="C411" t="s">
        <v>73</v>
      </c>
      <c r="D411" s="6">
        <v>30</v>
      </c>
      <c r="E411" t="s">
        <v>1056</v>
      </c>
      <c r="F411" t="s">
        <v>19</v>
      </c>
      <c r="G411" t="s">
        <v>267</v>
      </c>
      <c r="H411" t="s">
        <v>1107</v>
      </c>
      <c r="I411" s="5">
        <v>12040</v>
      </c>
      <c r="L411" s="5">
        <v>12040</v>
      </c>
      <c r="M411" s="5">
        <v>1290</v>
      </c>
      <c r="N411" s="5">
        <v>10750</v>
      </c>
    </row>
    <row r="412" spans="1:14">
      <c r="A412" t="s">
        <v>1108</v>
      </c>
      <c r="B412" t="s">
        <v>1048</v>
      </c>
      <c r="C412" t="s">
        <v>73</v>
      </c>
      <c r="D412" s="6">
        <v>30</v>
      </c>
      <c r="E412" t="s">
        <v>1056</v>
      </c>
      <c r="F412" t="s">
        <v>56</v>
      </c>
      <c r="G412" t="s">
        <v>1109</v>
      </c>
      <c r="H412" t="s">
        <v>1110</v>
      </c>
      <c r="I412" s="5">
        <v>812880</v>
      </c>
      <c r="L412" s="5">
        <v>812880</v>
      </c>
      <c r="M412" s="5">
        <v>87094.29</v>
      </c>
      <c r="N412" s="5">
        <v>725785.71</v>
      </c>
    </row>
    <row r="413" spans="1:14">
      <c r="A413" t="s">
        <v>1111</v>
      </c>
      <c r="B413" t="s">
        <v>1048</v>
      </c>
      <c r="C413" t="s">
        <v>73</v>
      </c>
      <c r="D413" s="6">
        <v>30</v>
      </c>
      <c r="E413" t="s">
        <v>1056</v>
      </c>
      <c r="F413" t="s">
        <v>56</v>
      </c>
      <c r="G413" t="s">
        <v>1109</v>
      </c>
      <c r="H413" t="s">
        <v>1112</v>
      </c>
      <c r="I413" s="5">
        <v>1129000</v>
      </c>
      <c r="L413" s="5">
        <v>1129000</v>
      </c>
      <c r="M413" s="5">
        <v>120964.29</v>
      </c>
      <c r="N413" s="5">
        <v>1008035.71</v>
      </c>
    </row>
    <row r="414" spans="1:14">
      <c r="A414" t="s">
        <v>1113</v>
      </c>
      <c r="B414" t="s">
        <v>1048</v>
      </c>
      <c r="C414" t="s">
        <v>73</v>
      </c>
      <c r="D414" s="6">
        <v>30</v>
      </c>
      <c r="E414" t="s">
        <v>1056</v>
      </c>
      <c r="F414" t="s">
        <v>105</v>
      </c>
      <c r="G414" t="s">
        <v>1114</v>
      </c>
      <c r="H414" t="s">
        <v>1115</v>
      </c>
      <c r="I414" s="5">
        <v>371089</v>
      </c>
      <c r="L414" s="5">
        <v>371089</v>
      </c>
      <c r="M414" s="5">
        <v>39759.54</v>
      </c>
      <c r="N414" s="5">
        <v>331329.46000000002</v>
      </c>
    </row>
    <row r="415" spans="1:14">
      <c r="A415" t="s">
        <v>1116</v>
      </c>
      <c r="B415" t="s">
        <v>1117</v>
      </c>
      <c r="C415" t="s">
        <v>333</v>
      </c>
      <c r="D415" s="6">
        <v>30</v>
      </c>
      <c r="E415" t="s">
        <v>1118</v>
      </c>
      <c r="F415" t="s">
        <v>270</v>
      </c>
      <c r="G415" t="s">
        <v>1119</v>
      </c>
      <c r="H415" t="s">
        <v>1120</v>
      </c>
      <c r="I415" s="5">
        <v>1585</v>
      </c>
      <c r="L415" s="5">
        <v>1585</v>
      </c>
      <c r="M415" s="7">
        <v>169.82</v>
      </c>
      <c r="N415" s="5">
        <v>1415.18</v>
      </c>
    </row>
    <row r="416" spans="1:14">
      <c r="A416" t="s">
        <v>1121</v>
      </c>
      <c r="B416" t="s">
        <v>1117</v>
      </c>
      <c r="C416" t="s">
        <v>18</v>
      </c>
      <c r="D416" s="6">
        <v>0</v>
      </c>
      <c r="E416" t="s">
        <v>1117</v>
      </c>
      <c r="F416" t="s">
        <v>46</v>
      </c>
      <c r="G416" t="s">
        <v>1122</v>
      </c>
      <c r="H416" t="s">
        <v>1123</v>
      </c>
      <c r="I416" s="5">
        <v>70950</v>
      </c>
      <c r="L416" s="5">
        <v>70950</v>
      </c>
      <c r="M416" s="5">
        <v>7601.79</v>
      </c>
      <c r="N416" s="5">
        <v>63348.21</v>
      </c>
    </row>
    <row r="417" spans="1:14">
      <c r="A417" t="s">
        <v>1124</v>
      </c>
      <c r="B417" t="s">
        <v>1117</v>
      </c>
      <c r="C417" t="s">
        <v>333</v>
      </c>
      <c r="D417" s="6">
        <v>30</v>
      </c>
      <c r="E417" t="s">
        <v>1118</v>
      </c>
      <c r="F417" t="s">
        <v>270</v>
      </c>
      <c r="G417" t="s">
        <v>1119</v>
      </c>
      <c r="H417" t="s">
        <v>1125</v>
      </c>
      <c r="I417" s="5">
        <v>95426</v>
      </c>
      <c r="L417" s="5">
        <v>95426</v>
      </c>
      <c r="M417" s="5">
        <v>10224.209999999999</v>
      </c>
      <c r="N417" s="5">
        <v>85201.79</v>
      </c>
    </row>
    <row r="418" spans="1:14">
      <c r="A418" t="s">
        <v>1126</v>
      </c>
      <c r="B418" t="s">
        <v>1117</v>
      </c>
      <c r="C418" t="s">
        <v>18</v>
      </c>
      <c r="D418" s="6">
        <v>0</v>
      </c>
      <c r="E418" t="s">
        <v>1117</v>
      </c>
      <c r="F418" t="s">
        <v>56</v>
      </c>
      <c r="G418" t="s">
        <v>1127</v>
      </c>
      <c r="H418" t="s">
        <v>1128</v>
      </c>
      <c r="I418" s="5">
        <v>124768</v>
      </c>
      <c r="J418" s="4">
        <v>-2495.36</v>
      </c>
      <c r="L418" s="5">
        <v>122272.64</v>
      </c>
      <c r="M418" s="5">
        <v>13100.64</v>
      </c>
      <c r="N418" s="5">
        <v>109172</v>
      </c>
    </row>
    <row r="419" spans="1:14">
      <c r="A419" t="s">
        <v>1129</v>
      </c>
      <c r="B419" t="s">
        <v>1117</v>
      </c>
      <c r="C419" t="s">
        <v>18</v>
      </c>
      <c r="D419" s="6">
        <v>0</v>
      </c>
      <c r="E419" t="s">
        <v>1117</v>
      </c>
      <c r="F419" t="s">
        <v>25</v>
      </c>
      <c r="G419" t="s">
        <v>1130</v>
      </c>
      <c r="H419" t="s">
        <v>1131</v>
      </c>
      <c r="I419" s="5">
        <v>104800</v>
      </c>
      <c r="L419" s="5">
        <v>104800</v>
      </c>
      <c r="M419" s="5">
        <v>11228.57</v>
      </c>
      <c r="N419" s="5">
        <v>93571.43</v>
      </c>
    </row>
    <row r="420" spans="1:14">
      <c r="A420" t="s">
        <v>1132</v>
      </c>
      <c r="B420" t="s">
        <v>1117</v>
      </c>
      <c r="C420" t="s">
        <v>333</v>
      </c>
      <c r="D420" s="6">
        <v>30</v>
      </c>
      <c r="E420" t="s">
        <v>1118</v>
      </c>
      <c r="F420" t="s">
        <v>270</v>
      </c>
      <c r="G420" t="s">
        <v>1119</v>
      </c>
      <c r="H420" t="s">
        <v>1133</v>
      </c>
      <c r="I420" s="5">
        <v>27400</v>
      </c>
      <c r="L420" s="5">
        <v>27400</v>
      </c>
      <c r="M420" s="5">
        <v>2935.71</v>
      </c>
      <c r="N420" s="5">
        <v>24464.29</v>
      </c>
    </row>
    <row r="421" spans="1:14">
      <c r="A421" t="s">
        <v>1134</v>
      </c>
      <c r="B421" t="s">
        <v>1117</v>
      </c>
      <c r="C421" t="s">
        <v>333</v>
      </c>
      <c r="D421" s="6">
        <v>30</v>
      </c>
      <c r="E421" t="s">
        <v>1118</v>
      </c>
      <c r="F421" t="s">
        <v>270</v>
      </c>
      <c r="G421" t="s">
        <v>334</v>
      </c>
      <c r="H421" t="s">
        <v>1135</v>
      </c>
      <c r="I421" s="5">
        <v>206180</v>
      </c>
      <c r="L421" s="5">
        <v>206180</v>
      </c>
      <c r="M421" s="5">
        <v>22090.71</v>
      </c>
      <c r="N421" s="5">
        <v>184089.29</v>
      </c>
    </row>
    <row r="422" spans="1:14">
      <c r="A422" t="s">
        <v>1136</v>
      </c>
      <c r="B422" t="s">
        <v>1117</v>
      </c>
      <c r="C422" t="s">
        <v>333</v>
      </c>
      <c r="D422" s="6">
        <v>30</v>
      </c>
      <c r="E422" t="s">
        <v>1118</v>
      </c>
      <c r="F422" t="s">
        <v>270</v>
      </c>
      <c r="G422" t="s">
        <v>337</v>
      </c>
      <c r="H422" t="s">
        <v>1137</v>
      </c>
      <c r="I422" s="5">
        <v>568880</v>
      </c>
      <c r="L422" s="5">
        <v>568880</v>
      </c>
      <c r="M422" s="5">
        <v>60951.43</v>
      </c>
      <c r="N422" s="5">
        <v>507928.57</v>
      </c>
    </row>
    <row r="423" spans="1:14">
      <c r="A423" t="s">
        <v>1138</v>
      </c>
      <c r="B423" t="s">
        <v>1117</v>
      </c>
      <c r="C423" t="s">
        <v>237</v>
      </c>
      <c r="D423" s="6">
        <v>60</v>
      </c>
      <c r="E423" t="s">
        <v>1139</v>
      </c>
      <c r="F423" t="s">
        <v>270</v>
      </c>
      <c r="G423" t="s">
        <v>337</v>
      </c>
      <c r="H423" t="s">
        <v>338</v>
      </c>
      <c r="I423" s="5">
        <v>143215</v>
      </c>
      <c r="L423" s="5">
        <v>143215</v>
      </c>
      <c r="M423" s="5">
        <v>15344.46</v>
      </c>
      <c r="N423" s="5">
        <v>127870.54</v>
      </c>
    </row>
    <row r="424" spans="1:14">
      <c r="A424" t="s">
        <v>1140</v>
      </c>
      <c r="B424" t="s">
        <v>1117</v>
      </c>
      <c r="C424" t="s">
        <v>60</v>
      </c>
      <c r="D424" s="6">
        <v>0</v>
      </c>
      <c r="E424" t="s">
        <v>1117</v>
      </c>
      <c r="F424" t="s">
        <v>1141</v>
      </c>
      <c r="G424" t="s">
        <v>1142</v>
      </c>
      <c r="H424" t="s">
        <v>1143</v>
      </c>
      <c r="I424" s="5">
        <v>403050.68</v>
      </c>
      <c r="L424" s="5">
        <v>403050.68</v>
      </c>
      <c r="M424" s="5">
        <v>43184</v>
      </c>
      <c r="N424" s="5">
        <v>359866.68</v>
      </c>
    </row>
    <row r="425" spans="1:14">
      <c r="A425" t="s">
        <v>1144</v>
      </c>
      <c r="B425" t="s">
        <v>1117</v>
      </c>
      <c r="C425" t="s">
        <v>60</v>
      </c>
      <c r="D425" s="6">
        <v>0</v>
      </c>
      <c r="E425" t="s">
        <v>1117</v>
      </c>
      <c r="F425" t="s">
        <v>1141</v>
      </c>
      <c r="G425" t="s">
        <v>1142</v>
      </c>
      <c r="H425" t="s">
        <v>1145</v>
      </c>
      <c r="I425" s="5">
        <v>107600</v>
      </c>
      <c r="L425" s="5">
        <v>107600</v>
      </c>
      <c r="M425" s="5">
        <v>11528.57</v>
      </c>
      <c r="N425" s="5">
        <v>96071.43</v>
      </c>
    </row>
    <row r="426" spans="1:14">
      <c r="A426" t="s">
        <v>1146</v>
      </c>
      <c r="B426" t="s">
        <v>1117</v>
      </c>
      <c r="C426" t="s">
        <v>151</v>
      </c>
      <c r="D426" s="6">
        <v>60</v>
      </c>
      <c r="E426" t="s">
        <v>1139</v>
      </c>
      <c r="F426" t="s">
        <v>69</v>
      </c>
      <c r="G426" t="s">
        <v>574</v>
      </c>
      <c r="H426" t="s">
        <v>1147</v>
      </c>
      <c r="I426" s="5">
        <v>528825</v>
      </c>
      <c r="L426" s="5">
        <v>528825</v>
      </c>
      <c r="M426" s="5">
        <v>56659.82</v>
      </c>
      <c r="N426" s="5">
        <v>472165.18</v>
      </c>
    </row>
    <row r="427" spans="1:14">
      <c r="A427" t="s">
        <v>1148</v>
      </c>
      <c r="B427" t="s">
        <v>1117</v>
      </c>
      <c r="C427" t="s">
        <v>23</v>
      </c>
      <c r="D427" s="6">
        <v>30</v>
      </c>
      <c r="E427" t="s">
        <v>1118</v>
      </c>
      <c r="F427" t="s">
        <v>30</v>
      </c>
      <c r="G427" t="s">
        <v>1149</v>
      </c>
      <c r="H427" t="s">
        <v>1150</v>
      </c>
      <c r="I427" s="5">
        <v>77750</v>
      </c>
      <c r="L427" s="5">
        <v>77750</v>
      </c>
      <c r="M427" s="5">
        <v>8330.36</v>
      </c>
      <c r="N427" s="5">
        <v>69419.64</v>
      </c>
    </row>
    <row r="428" spans="1:14">
      <c r="A428" t="s">
        <v>1151</v>
      </c>
      <c r="B428" t="s">
        <v>1117</v>
      </c>
      <c r="C428" t="s">
        <v>23</v>
      </c>
      <c r="D428" s="6">
        <v>30</v>
      </c>
      <c r="E428" t="s">
        <v>1118</v>
      </c>
      <c r="F428" t="s">
        <v>180</v>
      </c>
      <c r="G428" t="s">
        <v>224</v>
      </c>
      <c r="H428" t="s">
        <v>1152</v>
      </c>
      <c r="I428" s="5">
        <v>22900</v>
      </c>
      <c r="L428" s="5">
        <v>22900</v>
      </c>
      <c r="M428" s="5">
        <v>2453.5700000000002</v>
      </c>
      <c r="N428" s="5">
        <v>20446.43</v>
      </c>
    </row>
    <row r="429" spans="1:14">
      <c r="A429" t="s">
        <v>1153</v>
      </c>
      <c r="B429" t="s">
        <v>1117</v>
      </c>
      <c r="C429" t="s">
        <v>23</v>
      </c>
      <c r="D429" s="6">
        <v>30</v>
      </c>
      <c r="E429" t="s">
        <v>1118</v>
      </c>
      <c r="F429" t="s">
        <v>180</v>
      </c>
      <c r="G429" t="s">
        <v>224</v>
      </c>
      <c r="H429" t="s">
        <v>1154</v>
      </c>
      <c r="I429" s="5">
        <v>50400</v>
      </c>
      <c r="L429" s="5">
        <v>50400</v>
      </c>
      <c r="M429" s="5">
        <v>5400</v>
      </c>
      <c r="N429" s="5">
        <v>45000</v>
      </c>
    </row>
    <row r="430" spans="1:14">
      <c r="A430" t="s">
        <v>1155</v>
      </c>
      <c r="B430" t="s">
        <v>1117</v>
      </c>
      <c r="C430" t="s">
        <v>162</v>
      </c>
      <c r="D430" s="6">
        <v>90</v>
      </c>
      <c r="E430" t="s">
        <v>1156</v>
      </c>
      <c r="F430" t="s">
        <v>204</v>
      </c>
      <c r="G430" t="s">
        <v>1157</v>
      </c>
      <c r="H430" t="s">
        <v>1158</v>
      </c>
      <c r="I430" s="5">
        <v>58498</v>
      </c>
      <c r="L430" s="5">
        <v>58498</v>
      </c>
      <c r="M430" s="5">
        <v>6267.64</v>
      </c>
      <c r="N430" s="5">
        <v>52230.36</v>
      </c>
    </row>
    <row r="431" spans="1:14">
      <c r="A431" t="s">
        <v>1159</v>
      </c>
      <c r="B431" t="s">
        <v>1117</v>
      </c>
      <c r="C431" t="s">
        <v>162</v>
      </c>
      <c r="D431" s="6">
        <v>90</v>
      </c>
      <c r="E431" t="s">
        <v>1156</v>
      </c>
      <c r="F431" t="s">
        <v>204</v>
      </c>
      <c r="G431" t="s">
        <v>1157</v>
      </c>
      <c r="H431" t="s">
        <v>1160</v>
      </c>
      <c r="I431" s="5">
        <v>8304</v>
      </c>
      <c r="L431" s="5">
        <v>8304</v>
      </c>
      <c r="M431" s="7">
        <v>889.71</v>
      </c>
      <c r="N431" s="5">
        <v>7414.29</v>
      </c>
    </row>
    <row r="432" spans="1:14">
      <c r="A432" t="s">
        <v>1161</v>
      </c>
      <c r="B432" t="s">
        <v>1117</v>
      </c>
      <c r="C432" t="s">
        <v>29</v>
      </c>
      <c r="D432" s="6">
        <v>0</v>
      </c>
      <c r="E432" t="s">
        <v>1117</v>
      </c>
      <c r="F432" t="s">
        <v>30</v>
      </c>
      <c r="G432" t="s">
        <v>31</v>
      </c>
      <c r="H432" t="s">
        <v>1162</v>
      </c>
      <c r="I432" s="5">
        <v>294000</v>
      </c>
      <c r="L432" s="5">
        <v>294000</v>
      </c>
      <c r="M432" s="5">
        <v>31500</v>
      </c>
      <c r="N432" s="5">
        <v>262500</v>
      </c>
    </row>
    <row r="433" spans="1:14">
      <c r="A433" t="s">
        <v>1163</v>
      </c>
      <c r="B433" t="s">
        <v>1117</v>
      </c>
      <c r="C433" t="s">
        <v>151</v>
      </c>
      <c r="D433" s="6">
        <v>60</v>
      </c>
      <c r="E433" t="s">
        <v>1139</v>
      </c>
      <c r="F433" t="s">
        <v>139</v>
      </c>
      <c r="G433" t="s">
        <v>264</v>
      </c>
      <c r="H433" t="s">
        <v>1164</v>
      </c>
      <c r="I433" s="5">
        <v>23524.2</v>
      </c>
      <c r="L433" s="5">
        <v>23524.2</v>
      </c>
      <c r="M433" s="5">
        <v>2520.4499999999998</v>
      </c>
      <c r="N433" s="5">
        <v>21003.75</v>
      </c>
    </row>
    <row r="434" spans="1:14">
      <c r="A434" t="s">
        <v>1165</v>
      </c>
      <c r="B434" t="s">
        <v>1117</v>
      </c>
      <c r="C434" t="s">
        <v>54</v>
      </c>
      <c r="D434" s="6">
        <v>90</v>
      </c>
      <c r="E434" t="s">
        <v>1156</v>
      </c>
      <c r="F434" t="s">
        <v>19</v>
      </c>
      <c r="G434" t="s">
        <v>937</v>
      </c>
      <c r="H434" t="s">
        <v>1166</v>
      </c>
      <c r="I434" s="5">
        <v>537500</v>
      </c>
      <c r="L434" s="5">
        <v>537500</v>
      </c>
      <c r="M434" s="5">
        <v>57589.29</v>
      </c>
      <c r="N434" s="5">
        <v>479910.71</v>
      </c>
    </row>
    <row r="435" spans="1:14">
      <c r="A435" t="s">
        <v>1167</v>
      </c>
      <c r="B435" t="s">
        <v>1117</v>
      </c>
      <c r="C435" t="s">
        <v>54</v>
      </c>
      <c r="D435" s="6">
        <v>90</v>
      </c>
      <c r="E435" t="s">
        <v>1156</v>
      </c>
      <c r="F435" t="s">
        <v>19</v>
      </c>
      <c r="G435" t="s">
        <v>937</v>
      </c>
      <c r="H435" t="s">
        <v>1168</v>
      </c>
      <c r="I435" s="5">
        <v>107500</v>
      </c>
      <c r="L435" s="5">
        <v>107500</v>
      </c>
      <c r="M435" s="5">
        <v>11517.86</v>
      </c>
      <c r="N435" s="5">
        <v>95982.14</v>
      </c>
    </row>
    <row r="436" spans="1:14">
      <c r="A436" t="s">
        <v>1169</v>
      </c>
      <c r="B436" t="s">
        <v>1117</v>
      </c>
      <c r="C436" t="s">
        <v>73</v>
      </c>
      <c r="D436" s="6">
        <v>30</v>
      </c>
      <c r="E436" t="s">
        <v>1118</v>
      </c>
      <c r="F436" t="s">
        <v>56</v>
      </c>
      <c r="G436" t="s">
        <v>1109</v>
      </c>
      <c r="H436" t="s">
        <v>1170</v>
      </c>
      <c r="I436" s="5">
        <v>1048060</v>
      </c>
      <c r="L436" s="5">
        <v>1048060</v>
      </c>
      <c r="M436" s="5">
        <v>112292.14</v>
      </c>
      <c r="N436" s="5">
        <v>935767.86</v>
      </c>
    </row>
    <row r="437" spans="1:14">
      <c r="A437" t="s">
        <v>1171</v>
      </c>
      <c r="B437" t="s">
        <v>1117</v>
      </c>
      <c r="C437" t="s">
        <v>73</v>
      </c>
      <c r="D437" s="6">
        <v>30</v>
      </c>
      <c r="E437" t="s">
        <v>1118</v>
      </c>
      <c r="F437" t="s">
        <v>56</v>
      </c>
      <c r="G437" t="s">
        <v>1109</v>
      </c>
      <c r="H437" t="s">
        <v>1172</v>
      </c>
      <c r="I437" s="5">
        <v>752620</v>
      </c>
      <c r="L437" s="5">
        <v>752620</v>
      </c>
      <c r="M437" s="5">
        <v>80637.86</v>
      </c>
      <c r="N437" s="5">
        <v>671982.14</v>
      </c>
    </row>
    <row r="438" spans="1:14">
      <c r="A438" t="s">
        <v>1173</v>
      </c>
      <c r="B438" t="s">
        <v>1117</v>
      </c>
      <c r="C438" t="s">
        <v>60</v>
      </c>
      <c r="D438" s="6">
        <v>0</v>
      </c>
      <c r="E438" t="s">
        <v>1117</v>
      </c>
      <c r="F438" t="s">
        <v>56</v>
      </c>
      <c r="G438" t="s">
        <v>190</v>
      </c>
      <c r="H438" t="s">
        <v>1174</v>
      </c>
      <c r="I438" s="5">
        <v>204476</v>
      </c>
      <c r="L438" s="5">
        <v>204476</v>
      </c>
      <c r="M438" s="5">
        <v>21908.14</v>
      </c>
      <c r="N438" s="5">
        <v>182567.86</v>
      </c>
    </row>
    <row r="439" spans="1:14">
      <c r="A439" t="s">
        <v>1175</v>
      </c>
      <c r="B439" t="s">
        <v>1117</v>
      </c>
      <c r="C439" t="s">
        <v>23</v>
      </c>
      <c r="D439" s="6">
        <v>30</v>
      </c>
      <c r="E439" t="s">
        <v>1118</v>
      </c>
      <c r="F439" t="s">
        <v>50</v>
      </c>
      <c r="G439" t="s">
        <v>1176</v>
      </c>
      <c r="H439" t="s">
        <v>1177</v>
      </c>
      <c r="I439" s="5">
        <v>63822</v>
      </c>
      <c r="L439" s="5">
        <v>63822</v>
      </c>
      <c r="M439" s="5">
        <v>6838.07</v>
      </c>
      <c r="N439" s="5">
        <v>56983.93</v>
      </c>
    </row>
    <row r="440" spans="1:14">
      <c r="A440" t="s">
        <v>1178</v>
      </c>
      <c r="B440" t="s">
        <v>1117</v>
      </c>
      <c r="C440" t="s">
        <v>73</v>
      </c>
      <c r="D440" s="6">
        <v>30</v>
      </c>
      <c r="E440" t="s">
        <v>1118</v>
      </c>
      <c r="F440" t="s">
        <v>46</v>
      </c>
      <c r="G440" t="s">
        <v>1078</v>
      </c>
      <c r="H440" t="s">
        <v>1179</v>
      </c>
      <c r="I440" s="5">
        <v>133500</v>
      </c>
      <c r="L440" s="5">
        <v>133500</v>
      </c>
      <c r="M440" s="5">
        <v>14303.57</v>
      </c>
      <c r="N440" s="5">
        <v>119196.43</v>
      </c>
    </row>
    <row r="441" spans="1:14">
      <c r="A441" t="s">
        <v>1180</v>
      </c>
      <c r="B441" t="s">
        <v>1117</v>
      </c>
      <c r="C441" t="s">
        <v>73</v>
      </c>
      <c r="D441" s="6">
        <v>30</v>
      </c>
      <c r="E441" t="s">
        <v>1118</v>
      </c>
      <c r="F441" t="s">
        <v>19</v>
      </c>
      <c r="G441" t="s">
        <v>247</v>
      </c>
      <c r="H441" t="s">
        <v>1181</v>
      </c>
      <c r="I441" s="5">
        <v>471120</v>
      </c>
      <c r="L441" s="5">
        <v>471120</v>
      </c>
      <c r="M441" s="5">
        <v>50477.14</v>
      </c>
      <c r="N441" s="5">
        <v>420642.86</v>
      </c>
    </row>
    <row r="442" spans="1:14">
      <c r="A442" t="s">
        <v>1182</v>
      </c>
      <c r="B442" t="s">
        <v>1117</v>
      </c>
      <c r="C442" t="s">
        <v>1102</v>
      </c>
      <c r="D442" s="6">
        <v>60</v>
      </c>
      <c r="E442" t="s">
        <v>1139</v>
      </c>
      <c r="F442" t="s">
        <v>46</v>
      </c>
      <c r="G442" t="s">
        <v>787</v>
      </c>
      <c r="H442" t="s">
        <v>1183</v>
      </c>
      <c r="I442" s="5">
        <v>214500</v>
      </c>
      <c r="L442" s="5">
        <v>214500</v>
      </c>
      <c r="M442" s="5">
        <v>22982.14</v>
      </c>
      <c r="N442" s="5">
        <v>191517.86</v>
      </c>
    </row>
    <row r="443" spans="1:14">
      <c r="A443" t="s">
        <v>1184</v>
      </c>
      <c r="B443" t="s">
        <v>1117</v>
      </c>
      <c r="C443" t="s">
        <v>1102</v>
      </c>
      <c r="D443" s="6">
        <v>60</v>
      </c>
      <c r="E443" t="s">
        <v>1139</v>
      </c>
      <c r="F443" t="s">
        <v>46</v>
      </c>
      <c r="G443" t="s">
        <v>787</v>
      </c>
      <c r="H443" t="s">
        <v>1185</v>
      </c>
      <c r="I443" s="5">
        <v>52684</v>
      </c>
      <c r="L443" s="5">
        <v>52684</v>
      </c>
      <c r="M443" s="5">
        <v>5644.71</v>
      </c>
      <c r="N443" s="5">
        <v>47039.29</v>
      </c>
    </row>
    <row r="444" spans="1:14">
      <c r="A444" t="s">
        <v>1186</v>
      </c>
      <c r="B444" t="s">
        <v>1117</v>
      </c>
      <c r="C444" t="s">
        <v>60</v>
      </c>
      <c r="D444" s="6">
        <v>0</v>
      </c>
      <c r="E444" t="s">
        <v>1117</v>
      </c>
      <c r="F444" t="s">
        <v>56</v>
      </c>
      <c r="G444" t="s">
        <v>190</v>
      </c>
      <c r="H444" t="s">
        <v>1187</v>
      </c>
      <c r="I444" s="5">
        <v>119504</v>
      </c>
      <c r="L444" s="5">
        <v>119504</v>
      </c>
      <c r="M444" s="5">
        <v>12804</v>
      </c>
      <c r="N444" s="5">
        <v>106700</v>
      </c>
    </row>
    <row r="445" spans="1:14">
      <c r="A445" t="s">
        <v>1188</v>
      </c>
      <c r="B445" t="s">
        <v>1117</v>
      </c>
      <c r="C445" t="s">
        <v>162</v>
      </c>
      <c r="D445" s="6">
        <v>90</v>
      </c>
      <c r="E445" t="s">
        <v>1156</v>
      </c>
      <c r="F445" t="s">
        <v>36</v>
      </c>
      <c r="G445" t="s">
        <v>193</v>
      </c>
      <c r="H445" t="s">
        <v>1189</v>
      </c>
      <c r="I445" s="5">
        <v>26590</v>
      </c>
      <c r="L445" s="5">
        <v>26590</v>
      </c>
      <c r="M445" s="5">
        <v>2848.93</v>
      </c>
      <c r="N445" s="5">
        <v>23741.07</v>
      </c>
    </row>
    <row r="446" spans="1:14">
      <c r="A446" t="s">
        <v>1190</v>
      </c>
      <c r="B446" t="s">
        <v>1117</v>
      </c>
      <c r="C446" t="s">
        <v>60</v>
      </c>
      <c r="D446" s="6">
        <v>0</v>
      </c>
      <c r="E446" t="s">
        <v>1117</v>
      </c>
      <c r="F446" t="s">
        <v>46</v>
      </c>
      <c r="G446" t="s">
        <v>1191</v>
      </c>
      <c r="H446" t="s">
        <v>1192</v>
      </c>
      <c r="I446" s="5">
        <v>20257</v>
      </c>
      <c r="L446" s="5">
        <v>20257</v>
      </c>
      <c r="M446" s="5">
        <v>2170.39</v>
      </c>
      <c r="N446" s="5">
        <v>18086.61</v>
      </c>
    </row>
    <row r="447" spans="1:14">
      <c r="A447" t="s">
        <v>1193</v>
      </c>
      <c r="B447" t="s">
        <v>1117</v>
      </c>
      <c r="C447" t="s">
        <v>23</v>
      </c>
      <c r="D447" s="6">
        <v>30</v>
      </c>
      <c r="E447" t="s">
        <v>1118</v>
      </c>
      <c r="F447" t="s">
        <v>329</v>
      </c>
      <c r="G447" t="s">
        <v>529</v>
      </c>
      <c r="H447" t="s">
        <v>1194</v>
      </c>
      <c r="I447" s="5">
        <v>141200</v>
      </c>
      <c r="J447" s="4">
        <v>-2824</v>
      </c>
      <c r="L447" s="5">
        <v>138376</v>
      </c>
      <c r="M447" s="5">
        <v>14826</v>
      </c>
      <c r="N447" s="5">
        <v>123550</v>
      </c>
    </row>
    <row r="448" spans="1:14">
      <c r="A448" t="s">
        <v>1195</v>
      </c>
      <c r="B448" t="s">
        <v>1117</v>
      </c>
      <c r="C448" t="s">
        <v>94</v>
      </c>
      <c r="D448" s="6">
        <v>0</v>
      </c>
      <c r="E448" t="s">
        <v>1117</v>
      </c>
      <c r="F448" t="s">
        <v>46</v>
      </c>
      <c r="G448" t="s">
        <v>558</v>
      </c>
      <c r="H448" t="s">
        <v>1196</v>
      </c>
      <c r="I448" s="5">
        <v>236250</v>
      </c>
      <c r="L448" s="5">
        <v>236250</v>
      </c>
      <c r="M448" s="5">
        <v>25312.5</v>
      </c>
      <c r="N448" s="5">
        <v>210937.5</v>
      </c>
    </row>
    <row r="449" spans="1:14">
      <c r="A449" t="s">
        <v>1197</v>
      </c>
      <c r="B449" t="s">
        <v>1117</v>
      </c>
      <c r="C449" t="s">
        <v>34</v>
      </c>
      <c r="D449" s="6">
        <v>60</v>
      </c>
      <c r="E449" t="s">
        <v>1139</v>
      </c>
      <c r="F449" t="s">
        <v>329</v>
      </c>
      <c r="G449" t="s">
        <v>330</v>
      </c>
      <c r="H449" t="s">
        <v>1198</v>
      </c>
      <c r="I449" s="5">
        <v>453268</v>
      </c>
      <c r="L449" s="5">
        <v>453268</v>
      </c>
      <c r="M449" s="5">
        <v>48564.43</v>
      </c>
      <c r="N449" s="5">
        <v>404703.57</v>
      </c>
    </row>
    <row r="450" spans="1:14">
      <c r="A450" t="s">
        <v>1199</v>
      </c>
      <c r="B450" t="s">
        <v>1117</v>
      </c>
      <c r="C450" t="s">
        <v>151</v>
      </c>
      <c r="D450" s="6">
        <v>60</v>
      </c>
      <c r="E450" t="s">
        <v>1139</v>
      </c>
      <c r="F450" t="s">
        <v>139</v>
      </c>
      <c r="G450" t="s">
        <v>1200</v>
      </c>
      <c r="H450" t="s">
        <v>1201</v>
      </c>
      <c r="I450" s="5">
        <v>29500</v>
      </c>
      <c r="L450" s="5">
        <v>29500</v>
      </c>
      <c r="M450" s="5">
        <v>3160.71</v>
      </c>
      <c r="N450" s="5">
        <v>26339.29</v>
      </c>
    </row>
    <row r="451" spans="1:14">
      <c r="A451" t="s">
        <v>1202</v>
      </c>
      <c r="B451" t="s">
        <v>1117</v>
      </c>
      <c r="C451" t="s">
        <v>34</v>
      </c>
      <c r="D451" s="6">
        <v>60</v>
      </c>
      <c r="E451" t="s">
        <v>1139</v>
      </c>
      <c r="F451" t="s">
        <v>69</v>
      </c>
      <c r="G451" t="s">
        <v>697</v>
      </c>
      <c r="H451" t="s">
        <v>1203</v>
      </c>
      <c r="I451" s="5">
        <v>49180</v>
      </c>
      <c r="L451" s="5">
        <v>49180</v>
      </c>
      <c r="M451" s="5">
        <v>5269.29</v>
      </c>
      <c r="N451" s="5">
        <v>43910.71</v>
      </c>
    </row>
    <row r="452" spans="1:14">
      <c r="A452" t="s">
        <v>1204</v>
      </c>
      <c r="B452" t="s">
        <v>1117</v>
      </c>
      <c r="C452" t="s">
        <v>1055</v>
      </c>
      <c r="D452" s="6">
        <v>30</v>
      </c>
      <c r="E452" t="s">
        <v>1118</v>
      </c>
      <c r="F452" t="s">
        <v>56</v>
      </c>
      <c r="G452" t="s">
        <v>1057</v>
      </c>
      <c r="H452" t="s">
        <v>1205</v>
      </c>
      <c r="I452" s="5">
        <v>29610</v>
      </c>
      <c r="L452" s="5">
        <v>29610</v>
      </c>
      <c r="M452" s="5">
        <v>3172.5</v>
      </c>
      <c r="N452" s="5">
        <v>26437.5</v>
      </c>
    </row>
    <row r="453" spans="1:14">
      <c r="A453" t="s">
        <v>1206</v>
      </c>
      <c r="B453" t="s">
        <v>1117</v>
      </c>
      <c r="C453" t="s">
        <v>23</v>
      </c>
      <c r="D453" s="6">
        <v>30</v>
      </c>
      <c r="E453" t="s">
        <v>1118</v>
      </c>
      <c r="F453" t="s">
        <v>50</v>
      </c>
      <c r="G453" t="s">
        <v>1176</v>
      </c>
      <c r="H453" t="s">
        <v>1207</v>
      </c>
      <c r="I453" s="5">
        <v>186750</v>
      </c>
      <c r="L453" s="5">
        <v>186750</v>
      </c>
      <c r="M453" s="5">
        <v>20008.93</v>
      </c>
      <c r="N453" s="5">
        <v>166741.07</v>
      </c>
    </row>
    <row r="454" spans="1:14">
      <c r="A454" t="s">
        <v>1208</v>
      </c>
      <c r="B454" t="s">
        <v>1117</v>
      </c>
      <c r="C454" t="s">
        <v>94</v>
      </c>
      <c r="D454" s="6">
        <v>0</v>
      </c>
      <c r="E454" t="s">
        <v>1117</v>
      </c>
      <c r="F454" t="s">
        <v>139</v>
      </c>
      <c r="G454" t="s">
        <v>1043</v>
      </c>
      <c r="H454" t="s">
        <v>1209</v>
      </c>
      <c r="I454" s="5">
        <v>93350</v>
      </c>
      <c r="L454" s="5">
        <v>93350</v>
      </c>
      <c r="M454" s="5">
        <v>10001.790000000001</v>
      </c>
      <c r="N454" s="5">
        <v>83348.210000000006</v>
      </c>
    </row>
    <row r="455" spans="1:14">
      <c r="A455" t="s">
        <v>1210</v>
      </c>
      <c r="B455" t="s">
        <v>1117</v>
      </c>
      <c r="C455" t="s">
        <v>162</v>
      </c>
      <c r="D455" s="6">
        <v>90</v>
      </c>
      <c r="E455" t="s">
        <v>1156</v>
      </c>
      <c r="F455" t="s">
        <v>36</v>
      </c>
      <c r="G455" t="s">
        <v>193</v>
      </c>
      <c r="H455" t="s">
        <v>1211</v>
      </c>
      <c r="I455" s="5">
        <v>5680</v>
      </c>
      <c r="L455" s="5">
        <v>5680</v>
      </c>
      <c r="M455" s="7">
        <v>608.57000000000005</v>
      </c>
      <c r="N455" s="5">
        <v>5071.43</v>
      </c>
    </row>
    <row r="456" spans="1:14">
      <c r="A456" t="s">
        <v>1212</v>
      </c>
      <c r="B456" t="s">
        <v>1117</v>
      </c>
      <c r="C456" t="s">
        <v>162</v>
      </c>
      <c r="D456" s="6">
        <v>90</v>
      </c>
      <c r="E456" t="s">
        <v>1156</v>
      </c>
      <c r="F456" t="s">
        <v>36</v>
      </c>
      <c r="G456" t="s">
        <v>193</v>
      </c>
      <c r="H456" t="s">
        <v>1213</v>
      </c>
      <c r="I456" s="5">
        <v>224410</v>
      </c>
      <c r="L456" s="5">
        <v>224410</v>
      </c>
      <c r="M456" s="5">
        <v>24043.93</v>
      </c>
      <c r="N456" s="5">
        <v>200366.07</v>
      </c>
    </row>
    <row r="457" spans="1:14">
      <c r="A457" t="s">
        <v>1214</v>
      </c>
      <c r="B457" t="s">
        <v>1117</v>
      </c>
      <c r="C457" t="s">
        <v>146</v>
      </c>
      <c r="D457" s="6">
        <v>90</v>
      </c>
      <c r="E457" t="s">
        <v>1156</v>
      </c>
      <c r="F457" t="s">
        <v>36</v>
      </c>
      <c r="G457" t="s">
        <v>193</v>
      </c>
      <c r="H457" t="s">
        <v>1215</v>
      </c>
      <c r="I457" s="5">
        <v>27750</v>
      </c>
      <c r="L457" s="5">
        <v>27750</v>
      </c>
      <c r="M457" s="5">
        <v>2973.21</v>
      </c>
      <c r="N457" s="5">
        <v>24776.79</v>
      </c>
    </row>
    <row r="458" spans="1:14">
      <c r="A458" t="s">
        <v>1216</v>
      </c>
      <c r="B458" t="s">
        <v>1217</v>
      </c>
      <c r="C458" t="s">
        <v>60</v>
      </c>
      <c r="D458" s="6">
        <v>0</v>
      </c>
      <c r="E458" t="s">
        <v>1217</v>
      </c>
      <c r="F458" t="s">
        <v>270</v>
      </c>
      <c r="G458" t="s">
        <v>1218</v>
      </c>
      <c r="H458" t="s">
        <v>1219</v>
      </c>
      <c r="I458" s="5">
        <v>37000</v>
      </c>
      <c r="L458" s="5">
        <v>37000</v>
      </c>
      <c r="M458" s="5">
        <v>3964.29</v>
      </c>
      <c r="N458" s="5">
        <v>33035.71</v>
      </c>
    </row>
    <row r="459" spans="1:14">
      <c r="A459" t="s">
        <v>1220</v>
      </c>
      <c r="B459" t="s">
        <v>1217</v>
      </c>
      <c r="C459" t="s">
        <v>104</v>
      </c>
      <c r="D459" s="6">
        <v>0</v>
      </c>
      <c r="E459" t="s">
        <v>1217</v>
      </c>
      <c r="F459" t="s">
        <v>46</v>
      </c>
      <c r="G459" t="s">
        <v>392</v>
      </c>
      <c r="H459" t="s">
        <v>1221</v>
      </c>
      <c r="I459" s="5">
        <v>340975</v>
      </c>
      <c r="L459" s="5">
        <v>340975</v>
      </c>
      <c r="M459" s="5">
        <v>36533.040000000001</v>
      </c>
      <c r="N459" s="5">
        <v>304441.96000000002</v>
      </c>
    </row>
    <row r="460" spans="1:14">
      <c r="A460" t="s">
        <v>1222</v>
      </c>
      <c r="B460" t="s">
        <v>1217</v>
      </c>
      <c r="C460" t="s">
        <v>34</v>
      </c>
      <c r="D460" s="6">
        <v>60</v>
      </c>
      <c r="E460" t="s">
        <v>1223</v>
      </c>
      <c r="F460" t="s">
        <v>30</v>
      </c>
      <c r="G460" t="s">
        <v>201</v>
      </c>
      <c r="H460" t="s">
        <v>1224</v>
      </c>
      <c r="I460" s="5">
        <v>7200</v>
      </c>
      <c r="L460" s="5">
        <v>7200</v>
      </c>
      <c r="M460" s="7">
        <v>771.43</v>
      </c>
      <c r="N460" s="5">
        <v>6428.57</v>
      </c>
    </row>
    <row r="461" spans="1:14">
      <c r="A461" t="s">
        <v>1225</v>
      </c>
      <c r="B461" t="s">
        <v>1217</v>
      </c>
      <c r="C461" t="s">
        <v>34</v>
      </c>
      <c r="D461" s="6">
        <v>60</v>
      </c>
      <c r="E461" t="s">
        <v>1223</v>
      </c>
      <c r="F461" t="s">
        <v>46</v>
      </c>
      <c r="G461" t="s">
        <v>1226</v>
      </c>
      <c r="H461" t="s">
        <v>1227</v>
      </c>
      <c r="I461" s="5">
        <v>37782</v>
      </c>
      <c r="L461" s="5">
        <v>37782</v>
      </c>
      <c r="M461" s="5">
        <v>4048.07</v>
      </c>
      <c r="N461" s="5">
        <v>33733.93</v>
      </c>
    </row>
    <row r="462" spans="1:14">
      <c r="A462" t="s">
        <v>1228</v>
      </c>
      <c r="B462" t="s">
        <v>1217</v>
      </c>
      <c r="C462" t="s">
        <v>60</v>
      </c>
      <c r="D462" s="6">
        <v>0</v>
      </c>
      <c r="E462" t="s">
        <v>1217</v>
      </c>
      <c r="F462" t="s">
        <v>270</v>
      </c>
      <c r="G462" t="s">
        <v>1218</v>
      </c>
      <c r="H462" t="s">
        <v>1229</v>
      </c>
      <c r="I462" s="5">
        <v>22200</v>
      </c>
      <c r="L462" s="5">
        <v>22200</v>
      </c>
      <c r="M462" s="5">
        <v>2378.5700000000002</v>
      </c>
      <c r="N462" s="5">
        <v>19821.43</v>
      </c>
    </row>
    <row r="463" spans="1:14">
      <c r="A463" t="s">
        <v>1230</v>
      </c>
      <c r="B463" t="s">
        <v>1217</v>
      </c>
      <c r="C463" t="s">
        <v>23</v>
      </c>
      <c r="D463" s="6">
        <v>30</v>
      </c>
      <c r="E463" t="s">
        <v>1231</v>
      </c>
      <c r="F463" t="s">
        <v>180</v>
      </c>
      <c r="G463" t="s">
        <v>1232</v>
      </c>
      <c r="H463" t="s">
        <v>1233</v>
      </c>
      <c r="I463" s="5">
        <v>73934</v>
      </c>
      <c r="L463" s="5">
        <v>73934</v>
      </c>
      <c r="M463" s="5">
        <v>7921.5</v>
      </c>
      <c r="N463" s="5">
        <v>66012.5</v>
      </c>
    </row>
    <row r="464" spans="1:14">
      <c r="A464" t="s">
        <v>1234</v>
      </c>
      <c r="B464" t="s">
        <v>1217</v>
      </c>
      <c r="C464" t="s">
        <v>162</v>
      </c>
      <c r="D464" s="6">
        <v>90</v>
      </c>
      <c r="E464" t="s">
        <v>1235</v>
      </c>
      <c r="F464" t="s">
        <v>163</v>
      </c>
      <c r="G464" t="s">
        <v>164</v>
      </c>
      <c r="H464" t="s">
        <v>1236</v>
      </c>
      <c r="I464" s="5">
        <v>29400</v>
      </c>
      <c r="L464" s="5">
        <v>29400</v>
      </c>
      <c r="M464" s="5">
        <v>3150</v>
      </c>
      <c r="N464" s="5">
        <v>26250</v>
      </c>
    </row>
    <row r="465" spans="1:14">
      <c r="A465" t="s">
        <v>1237</v>
      </c>
      <c r="B465" t="s">
        <v>1217</v>
      </c>
      <c r="C465" t="s">
        <v>243</v>
      </c>
      <c r="D465" s="6">
        <v>30</v>
      </c>
      <c r="E465" t="s">
        <v>1231</v>
      </c>
      <c r="F465" t="s">
        <v>56</v>
      </c>
      <c r="G465" t="s">
        <v>126</v>
      </c>
      <c r="H465" t="s">
        <v>1238</v>
      </c>
      <c r="I465" s="5">
        <v>39200</v>
      </c>
      <c r="L465" s="5">
        <v>39200</v>
      </c>
      <c r="M465" s="5">
        <v>4200</v>
      </c>
      <c r="N465" s="5">
        <v>35000</v>
      </c>
    </row>
    <row r="466" spans="1:14">
      <c r="A466" t="s">
        <v>1239</v>
      </c>
      <c r="B466" t="s">
        <v>1217</v>
      </c>
      <c r="C466" t="s">
        <v>60</v>
      </c>
      <c r="D466" s="6">
        <v>0</v>
      </c>
      <c r="E466" t="s">
        <v>1217</v>
      </c>
      <c r="F466" t="s">
        <v>56</v>
      </c>
      <c r="G466" t="s">
        <v>190</v>
      </c>
      <c r="H466" t="s">
        <v>1240</v>
      </c>
      <c r="I466" s="5">
        <v>28240</v>
      </c>
      <c r="L466" s="5">
        <v>28240</v>
      </c>
      <c r="M466" s="5">
        <v>3025.71</v>
      </c>
      <c r="N466" s="5">
        <v>25214.29</v>
      </c>
    </row>
    <row r="467" spans="1:14">
      <c r="A467" t="s">
        <v>1241</v>
      </c>
      <c r="B467" t="s">
        <v>1217</v>
      </c>
      <c r="C467" t="s">
        <v>34</v>
      </c>
      <c r="D467" s="6">
        <v>60</v>
      </c>
      <c r="E467" t="s">
        <v>1223</v>
      </c>
      <c r="F467" t="s">
        <v>25</v>
      </c>
      <c r="G467" t="s">
        <v>1242</v>
      </c>
      <c r="H467" t="s">
        <v>1243</v>
      </c>
      <c r="I467" s="5">
        <v>126034</v>
      </c>
      <c r="L467" s="5">
        <v>126034</v>
      </c>
      <c r="M467" s="5">
        <v>13503.64</v>
      </c>
      <c r="N467" s="5">
        <v>112530.36</v>
      </c>
    </row>
    <row r="468" spans="1:14">
      <c r="A468" t="s">
        <v>1244</v>
      </c>
      <c r="B468" t="s">
        <v>1217</v>
      </c>
      <c r="C468" t="s">
        <v>64</v>
      </c>
      <c r="D468" s="6">
        <v>30</v>
      </c>
      <c r="E468" t="s">
        <v>1231</v>
      </c>
      <c r="F468" t="s">
        <v>56</v>
      </c>
      <c r="G468" t="s">
        <v>1245</v>
      </c>
      <c r="H468" t="s">
        <v>1246</v>
      </c>
      <c r="I468" s="5">
        <v>1442300</v>
      </c>
      <c r="L468" s="5">
        <v>1442300</v>
      </c>
      <c r="M468" s="5">
        <v>154532.14000000001</v>
      </c>
      <c r="N468" s="5">
        <v>1287767.8600000001</v>
      </c>
    </row>
    <row r="469" spans="1:14">
      <c r="A469" t="s">
        <v>1247</v>
      </c>
      <c r="B469" t="s">
        <v>1217</v>
      </c>
      <c r="C469" t="s">
        <v>60</v>
      </c>
      <c r="D469" s="6">
        <v>0</v>
      </c>
      <c r="E469" t="s">
        <v>1217</v>
      </c>
      <c r="F469" t="s">
        <v>30</v>
      </c>
      <c r="G469" t="s">
        <v>1248</v>
      </c>
      <c r="H469" t="s">
        <v>1249</v>
      </c>
      <c r="I469" s="5">
        <v>106715</v>
      </c>
      <c r="L469" s="5">
        <v>106715</v>
      </c>
      <c r="M469" s="5">
        <v>11433.75</v>
      </c>
      <c r="N469" s="5">
        <v>95281.25</v>
      </c>
    </row>
    <row r="470" spans="1:14">
      <c r="A470" t="s">
        <v>1250</v>
      </c>
      <c r="B470" t="s">
        <v>1217</v>
      </c>
      <c r="C470" t="s">
        <v>60</v>
      </c>
      <c r="D470" s="6">
        <v>0</v>
      </c>
      <c r="E470" t="s">
        <v>1217</v>
      </c>
      <c r="F470" t="s">
        <v>56</v>
      </c>
      <c r="G470" t="s">
        <v>196</v>
      </c>
      <c r="H470" t="s">
        <v>1251</v>
      </c>
      <c r="I470" s="5">
        <v>740550</v>
      </c>
      <c r="L470" s="5">
        <v>740550</v>
      </c>
      <c r="M470" s="5">
        <v>79344.639999999999</v>
      </c>
      <c r="N470" s="5">
        <v>661205.36</v>
      </c>
    </row>
    <row r="471" spans="1:14">
      <c r="A471" t="s">
        <v>1252</v>
      </c>
      <c r="B471" t="s">
        <v>1217</v>
      </c>
      <c r="C471" t="s">
        <v>23</v>
      </c>
      <c r="D471" s="6">
        <v>30</v>
      </c>
      <c r="E471" t="s">
        <v>1231</v>
      </c>
      <c r="F471" t="s">
        <v>56</v>
      </c>
      <c r="G471" t="s">
        <v>457</v>
      </c>
      <c r="H471" t="s">
        <v>1253</v>
      </c>
      <c r="I471" s="5">
        <v>9800</v>
      </c>
      <c r="L471" s="5">
        <v>9800</v>
      </c>
      <c r="M471" s="5">
        <v>1050</v>
      </c>
      <c r="N471" s="5">
        <v>8750</v>
      </c>
    </row>
    <row r="472" spans="1:14">
      <c r="A472" t="s">
        <v>1254</v>
      </c>
      <c r="B472" t="s">
        <v>1217</v>
      </c>
      <c r="C472" t="s">
        <v>146</v>
      </c>
      <c r="D472" s="6">
        <v>90</v>
      </c>
      <c r="E472" t="s">
        <v>1235</v>
      </c>
      <c r="F472" t="s">
        <v>759</v>
      </c>
      <c r="G472" t="s">
        <v>1255</v>
      </c>
      <c r="H472" t="s">
        <v>1256</v>
      </c>
      <c r="I472" s="5">
        <v>2280000</v>
      </c>
      <c r="L472" s="5">
        <v>2280000</v>
      </c>
      <c r="M472" s="5">
        <v>244285.71</v>
      </c>
      <c r="N472" s="5">
        <v>2035714.29</v>
      </c>
    </row>
    <row r="473" spans="1:14">
      <c r="A473" t="s">
        <v>1257</v>
      </c>
      <c r="B473" t="s">
        <v>1217</v>
      </c>
      <c r="C473" t="s">
        <v>73</v>
      </c>
      <c r="D473" s="6">
        <v>30</v>
      </c>
      <c r="E473" t="s">
        <v>1231</v>
      </c>
      <c r="F473" t="s">
        <v>105</v>
      </c>
      <c r="G473" t="s">
        <v>1114</v>
      </c>
      <c r="H473" t="s">
        <v>1258</v>
      </c>
      <c r="I473" s="5">
        <v>80640</v>
      </c>
      <c r="L473" s="5">
        <v>80640</v>
      </c>
      <c r="M473" s="5">
        <v>8640</v>
      </c>
      <c r="N473" s="5">
        <v>72000</v>
      </c>
    </row>
    <row r="474" spans="1:14">
      <c r="A474" t="s">
        <v>1259</v>
      </c>
      <c r="B474" t="s">
        <v>1217</v>
      </c>
      <c r="C474" t="s">
        <v>73</v>
      </c>
      <c r="D474" s="6">
        <v>30</v>
      </c>
      <c r="E474" t="s">
        <v>1231</v>
      </c>
      <c r="F474" t="s">
        <v>105</v>
      </c>
      <c r="G474" t="s">
        <v>1114</v>
      </c>
      <c r="H474" t="s">
        <v>1260</v>
      </c>
      <c r="I474" s="5">
        <v>215287</v>
      </c>
      <c r="L474" s="5">
        <v>215287</v>
      </c>
      <c r="M474" s="5">
        <v>23066.46</v>
      </c>
      <c r="N474" s="5">
        <v>192220.54</v>
      </c>
    </row>
    <row r="475" spans="1:14">
      <c r="A475" t="s">
        <v>1261</v>
      </c>
      <c r="B475" t="s">
        <v>1217</v>
      </c>
      <c r="C475" t="s">
        <v>333</v>
      </c>
      <c r="D475" s="6">
        <v>30</v>
      </c>
      <c r="E475" t="s">
        <v>1231</v>
      </c>
      <c r="F475" t="s">
        <v>270</v>
      </c>
      <c r="G475" t="s">
        <v>1262</v>
      </c>
      <c r="H475" t="s">
        <v>1263</v>
      </c>
      <c r="I475" s="5">
        <v>261896</v>
      </c>
      <c r="L475" s="5">
        <v>261896</v>
      </c>
      <c r="M475" s="5">
        <v>28060.29</v>
      </c>
      <c r="N475" s="5">
        <v>233835.71</v>
      </c>
    </row>
    <row r="476" spans="1:14">
      <c r="A476" t="s">
        <v>1264</v>
      </c>
      <c r="B476" t="s">
        <v>1217</v>
      </c>
      <c r="C476" t="s">
        <v>333</v>
      </c>
      <c r="D476" s="6">
        <v>30</v>
      </c>
      <c r="E476" t="s">
        <v>1231</v>
      </c>
      <c r="F476" t="s">
        <v>270</v>
      </c>
      <c r="G476" t="s">
        <v>1262</v>
      </c>
      <c r="H476" t="s">
        <v>1265</v>
      </c>
      <c r="I476" s="5">
        <v>212525</v>
      </c>
      <c r="L476" s="5">
        <v>212525</v>
      </c>
      <c r="M476" s="5">
        <v>22770.54</v>
      </c>
      <c r="N476" s="5">
        <v>189754.46</v>
      </c>
    </row>
    <row r="477" spans="1:14">
      <c r="A477" t="s">
        <v>1266</v>
      </c>
      <c r="B477" t="s">
        <v>1217</v>
      </c>
      <c r="C477" t="s">
        <v>60</v>
      </c>
      <c r="D477" s="6">
        <v>0</v>
      </c>
      <c r="E477" t="s">
        <v>1217</v>
      </c>
      <c r="F477" t="s">
        <v>56</v>
      </c>
      <c r="G477" t="s">
        <v>605</v>
      </c>
      <c r="H477" t="s">
        <v>1267</v>
      </c>
      <c r="I477" s="5">
        <v>1154454.3999999999</v>
      </c>
      <c r="L477" s="5">
        <v>1154454.3999999999</v>
      </c>
      <c r="M477" s="5">
        <v>123691.54</v>
      </c>
      <c r="N477" s="5">
        <v>1030762.86</v>
      </c>
    </row>
    <row r="478" spans="1:14">
      <c r="A478" t="s">
        <v>1268</v>
      </c>
      <c r="B478" t="s">
        <v>1217</v>
      </c>
      <c r="C478" t="s">
        <v>146</v>
      </c>
      <c r="D478" s="6">
        <v>90</v>
      </c>
      <c r="E478" t="s">
        <v>1235</v>
      </c>
      <c r="F478" t="s">
        <v>36</v>
      </c>
      <c r="G478" t="s">
        <v>193</v>
      </c>
      <c r="H478" t="s">
        <v>1269</v>
      </c>
      <c r="I478" s="5">
        <v>436450</v>
      </c>
      <c r="L478" s="5">
        <v>436450</v>
      </c>
      <c r="M478" s="5">
        <v>46762.5</v>
      </c>
      <c r="N478" s="5">
        <v>389687.5</v>
      </c>
    </row>
    <row r="479" spans="1:14">
      <c r="A479" t="s">
        <v>1270</v>
      </c>
      <c r="B479" t="s">
        <v>1217</v>
      </c>
      <c r="C479" t="s">
        <v>146</v>
      </c>
      <c r="D479" s="6">
        <v>90</v>
      </c>
      <c r="E479" t="s">
        <v>1235</v>
      </c>
      <c r="F479" t="s">
        <v>36</v>
      </c>
      <c r="G479" t="s">
        <v>754</v>
      </c>
      <c r="H479" t="s">
        <v>1271</v>
      </c>
      <c r="I479" s="5">
        <v>496650</v>
      </c>
      <c r="L479" s="5">
        <v>496650</v>
      </c>
      <c r="M479" s="5">
        <v>53212.5</v>
      </c>
      <c r="N479" s="5">
        <v>443437.5</v>
      </c>
    </row>
    <row r="480" spans="1:14">
      <c r="A480" t="s">
        <v>1272</v>
      </c>
      <c r="B480" t="s">
        <v>1217</v>
      </c>
      <c r="C480" t="s">
        <v>146</v>
      </c>
      <c r="D480" s="6">
        <v>90</v>
      </c>
      <c r="E480" t="s">
        <v>1235</v>
      </c>
      <c r="F480" t="s">
        <v>36</v>
      </c>
      <c r="G480" t="s">
        <v>193</v>
      </c>
      <c r="H480" t="s">
        <v>1273</v>
      </c>
      <c r="I480" s="5">
        <v>327240</v>
      </c>
      <c r="L480" s="5">
        <v>327240</v>
      </c>
      <c r="M480" s="5">
        <v>35061.43</v>
      </c>
      <c r="N480" s="5">
        <v>292178.57</v>
      </c>
    </row>
    <row r="481" spans="1:14">
      <c r="A481" t="s">
        <v>1274</v>
      </c>
      <c r="B481" t="s">
        <v>1217</v>
      </c>
      <c r="C481" t="s">
        <v>60</v>
      </c>
      <c r="D481" s="6">
        <v>0</v>
      </c>
      <c r="E481" t="s">
        <v>1217</v>
      </c>
      <c r="F481" t="s">
        <v>56</v>
      </c>
      <c r="G481" t="s">
        <v>412</v>
      </c>
      <c r="H481" t="s">
        <v>1275</v>
      </c>
      <c r="I481" s="5">
        <v>11760</v>
      </c>
      <c r="J481" s="4">
        <v>-352.8</v>
      </c>
      <c r="L481" s="5">
        <v>11407.2</v>
      </c>
      <c r="M481" s="5">
        <v>1222.2</v>
      </c>
      <c r="N481" s="5">
        <v>10185</v>
      </c>
    </row>
    <row r="482" spans="1:14">
      <c r="A482" t="s">
        <v>1276</v>
      </c>
      <c r="B482" t="s">
        <v>1217</v>
      </c>
      <c r="C482" t="s">
        <v>146</v>
      </c>
      <c r="D482" s="6">
        <v>90</v>
      </c>
      <c r="E482" t="s">
        <v>1235</v>
      </c>
      <c r="F482" t="s">
        <v>36</v>
      </c>
      <c r="G482" t="s">
        <v>193</v>
      </c>
      <c r="H482" t="s">
        <v>1277</v>
      </c>
      <c r="I482" s="5">
        <v>90300</v>
      </c>
      <c r="L482" s="5">
        <v>90300</v>
      </c>
      <c r="M482" s="5">
        <v>9675</v>
      </c>
      <c r="N482" s="5">
        <v>80625</v>
      </c>
    </row>
    <row r="483" spans="1:14">
      <c r="A483" t="s">
        <v>1278</v>
      </c>
      <c r="B483" t="s">
        <v>1217</v>
      </c>
      <c r="C483" t="s">
        <v>73</v>
      </c>
      <c r="D483" s="6">
        <v>30</v>
      </c>
      <c r="E483" t="s">
        <v>1231</v>
      </c>
      <c r="F483" t="s">
        <v>56</v>
      </c>
      <c r="G483" t="s">
        <v>812</v>
      </c>
      <c r="H483" t="s">
        <v>1279</v>
      </c>
      <c r="I483" s="5">
        <v>147233</v>
      </c>
      <c r="L483" s="5">
        <v>147233</v>
      </c>
      <c r="M483" s="5">
        <v>15774.96</v>
      </c>
      <c r="N483" s="5">
        <v>131458.04</v>
      </c>
    </row>
    <row r="484" spans="1:14">
      <c r="A484" t="s">
        <v>1280</v>
      </c>
      <c r="B484" t="s">
        <v>1217</v>
      </c>
      <c r="C484" t="s">
        <v>60</v>
      </c>
      <c r="D484" s="6">
        <v>0</v>
      </c>
      <c r="E484" t="s">
        <v>1217</v>
      </c>
      <c r="F484" t="s">
        <v>56</v>
      </c>
      <c r="G484" t="s">
        <v>605</v>
      </c>
      <c r="H484" t="s">
        <v>1281</v>
      </c>
      <c r="I484" s="5">
        <v>255000</v>
      </c>
      <c r="L484" s="5">
        <v>255000</v>
      </c>
      <c r="M484" s="5">
        <v>27321.43</v>
      </c>
      <c r="N484" s="5">
        <v>227678.57</v>
      </c>
    </row>
    <row r="485" spans="1:14">
      <c r="A485" t="s">
        <v>1282</v>
      </c>
      <c r="B485" t="s">
        <v>1217</v>
      </c>
      <c r="C485" t="s">
        <v>68</v>
      </c>
      <c r="D485" s="6">
        <v>60</v>
      </c>
      <c r="E485" t="s">
        <v>1223</v>
      </c>
      <c r="F485" t="s">
        <v>69</v>
      </c>
      <c r="G485" t="s">
        <v>70</v>
      </c>
      <c r="H485" t="s">
        <v>1283</v>
      </c>
      <c r="I485" s="5">
        <v>2419200</v>
      </c>
      <c r="L485" s="5">
        <v>2419200</v>
      </c>
      <c r="M485" s="5">
        <v>259200</v>
      </c>
      <c r="N485" s="5">
        <v>2160000</v>
      </c>
    </row>
    <row r="486" spans="1:14">
      <c r="A486" t="s">
        <v>1284</v>
      </c>
      <c r="B486" t="s">
        <v>1217</v>
      </c>
      <c r="C486" t="s">
        <v>29</v>
      </c>
      <c r="D486" s="6">
        <v>0</v>
      </c>
      <c r="E486" t="s">
        <v>1217</v>
      </c>
      <c r="F486" t="s">
        <v>30</v>
      </c>
      <c r="G486" t="s">
        <v>40</v>
      </c>
      <c r="H486" t="s">
        <v>1285</v>
      </c>
      <c r="I486" s="5">
        <v>74600</v>
      </c>
      <c r="L486" s="5">
        <v>74600</v>
      </c>
      <c r="M486" s="5">
        <v>7992.86</v>
      </c>
      <c r="N486" s="5">
        <v>66607.14</v>
      </c>
    </row>
    <row r="487" spans="1:14">
      <c r="A487" t="s">
        <v>1286</v>
      </c>
      <c r="B487" t="s">
        <v>1287</v>
      </c>
      <c r="C487" t="s">
        <v>18</v>
      </c>
      <c r="D487" s="6">
        <v>0</v>
      </c>
      <c r="E487" t="s">
        <v>1287</v>
      </c>
      <c r="F487" t="s">
        <v>46</v>
      </c>
      <c r="G487" t="s">
        <v>1288</v>
      </c>
      <c r="H487" t="s">
        <v>1289</v>
      </c>
      <c r="I487" s="5">
        <v>83772</v>
      </c>
      <c r="J487" s="4">
        <v>-1675.44</v>
      </c>
      <c r="L487" s="5">
        <v>82096.56</v>
      </c>
      <c r="M487" s="5">
        <v>8796.06</v>
      </c>
      <c r="N487" s="5">
        <v>73300.5</v>
      </c>
    </row>
    <row r="488" spans="1:14">
      <c r="A488" t="s">
        <v>1290</v>
      </c>
      <c r="B488" t="s">
        <v>1287</v>
      </c>
      <c r="C488" t="s">
        <v>18</v>
      </c>
      <c r="D488" s="6">
        <v>0</v>
      </c>
      <c r="E488" t="s">
        <v>1287</v>
      </c>
      <c r="F488" t="s">
        <v>46</v>
      </c>
      <c r="G488" t="s">
        <v>1288</v>
      </c>
      <c r="H488" t="s">
        <v>1291</v>
      </c>
      <c r="I488" s="5">
        <v>18000</v>
      </c>
      <c r="J488" s="4">
        <v>-360</v>
      </c>
      <c r="L488" s="5">
        <v>17640</v>
      </c>
      <c r="M488" s="5">
        <v>1890</v>
      </c>
      <c r="N488" s="5">
        <v>15750</v>
      </c>
    </row>
    <row r="489" spans="1:14">
      <c r="A489" t="s">
        <v>1292</v>
      </c>
      <c r="B489" t="s">
        <v>1287</v>
      </c>
      <c r="C489" t="s">
        <v>18</v>
      </c>
      <c r="D489" s="6">
        <v>0</v>
      </c>
      <c r="E489" t="s">
        <v>1287</v>
      </c>
      <c r="F489" t="s">
        <v>46</v>
      </c>
      <c r="G489" t="s">
        <v>1288</v>
      </c>
      <c r="H489" t="s">
        <v>1293</v>
      </c>
      <c r="I489" s="5">
        <v>25670</v>
      </c>
      <c r="J489" s="4">
        <v>-513.4</v>
      </c>
      <c r="L489" s="5">
        <v>25156.6</v>
      </c>
      <c r="M489" s="5">
        <v>2695.35</v>
      </c>
      <c r="N489" s="5">
        <v>22461.25</v>
      </c>
    </row>
    <row r="490" spans="1:14">
      <c r="A490" t="s">
        <v>1294</v>
      </c>
      <c r="B490" t="s">
        <v>1287</v>
      </c>
      <c r="C490" t="s">
        <v>18</v>
      </c>
      <c r="D490" s="6">
        <v>0</v>
      </c>
      <c r="E490" t="s">
        <v>1287</v>
      </c>
      <c r="F490" t="s">
        <v>46</v>
      </c>
      <c r="G490" t="s">
        <v>1288</v>
      </c>
      <c r="H490" t="s">
        <v>1295</v>
      </c>
      <c r="I490" s="5">
        <v>13090</v>
      </c>
      <c r="J490" s="4">
        <v>-261.8</v>
      </c>
      <c r="L490" s="5">
        <v>12828.2</v>
      </c>
      <c r="M490" s="5">
        <v>1374.45</v>
      </c>
      <c r="N490" s="5">
        <v>11453.75</v>
      </c>
    </row>
    <row r="491" spans="1:14">
      <c r="A491" t="s">
        <v>1296</v>
      </c>
      <c r="B491" t="s">
        <v>1287</v>
      </c>
      <c r="C491" t="s">
        <v>73</v>
      </c>
      <c r="D491" s="6">
        <v>30</v>
      </c>
      <c r="E491" t="s">
        <v>1297</v>
      </c>
      <c r="F491" t="s">
        <v>46</v>
      </c>
      <c r="G491" t="s">
        <v>522</v>
      </c>
      <c r="H491" t="s">
        <v>1298</v>
      </c>
      <c r="I491" s="5">
        <v>289280</v>
      </c>
      <c r="L491" s="5">
        <v>289280</v>
      </c>
      <c r="N491" s="5">
        <v>289280</v>
      </c>
    </row>
    <row r="492" spans="1:14">
      <c r="A492" t="s">
        <v>1299</v>
      </c>
      <c r="B492" t="s">
        <v>1287</v>
      </c>
      <c r="C492" t="s">
        <v>60</v>
      </c>
      <c r="D492" s="6">
        <v>0</v>
      </c>
      <c r="E492" t="s">
        <v>1287</v>
      </c>
      <c r="F492" t="s">
        <v>56</v>
      </c>
      <c r="G492" t="s">
        <v>1300</v>
      </c>
      <c r="H492" t="s">
        <v>1301</v>
      </c>
      <c r="I492" s="5">
        <v>50875</v>
      </c>
      <c r="L492" s="5">
        <v>50875</v>
      </c>
      <c r="M492" s="5">
        <v>5450.89</v>
      </c>
      <c r="N492" s="5">
        <v>45424.11</v>
      </c>
    </row>
    <row r="493" spans="1:14">
      <c r="A493" t="s">
        <v>1302</v>
      </c>
      <c r="B493" t="s">
        <v>1287</v>
      </c>
      <c r="C493" t="s">
        <v>60</v>
      </c>
      <c r="D493" s="6">
        <v>0</v>
      </c>
      <c r="E493" t="s">
        <v>1287</v>
      </c>
      <c r="F493" t="s">
        <v>56</v>
      </c>
      <c r="G493" t="s">
        <v>1300</v>
      </c>
      <c r="H493" t="s">
        <v>1303</v>
      </c>
      <c r="I493" s="5">
        <v>3540</v>
      </c>
      <c r="L493" s="5">
        <v>3540</v>
      </c>
      <c r="M493" s="7">
        <v>379.29</v>
      </c>
      <c r="N493" s="5">
        <v>3160.71</v>
      </c>
    </row>
    <row r="494" spans="1:14">
      <c r="A494" t="s">
        <v>1304</v>
      </c>
      <c r="B494" t="s">
        <v>1287</v>
      </c>
      <c r="C494" t="s">
        <v>60</v>
      </c>
      <c r="D494" s="6">
        <v>0</v>
      </c>
      <c r="E494" t="s">
        <v>1287</v>
      </c>
      <c r="F494" t="s">
        <v>56</v>
      </c>
      <c r="G494" t="s">
        <v>211</v>
      </c>
      <c r="H494" t="s">
        <v>1305</v>
      </c>
      <c r="I494" s="5">
        <v>28800</v>
      </c>
      <c r="L494" s="5">
        <v>28800</v>
      </c>
      <c r="M494" s="5">
        <v>3085.71</v>
      </c>
      <c r="N494" s="5">
        <v>25714.29</v>
      </c>
    </row>
    <row r="495" spans="1:14">
      <c r="A495" t="s">
        <v>1306</v>
      </c>
      <c r="B495" t="s">
        <v>1287</v>
      </c>
      <c r="C495" t="s">
        <v>60</v>
      </c>
      <c r="D495" s="6">
        <v>0</v>
      </c>
      <c r="E495" t="s">
        <v>1287</v>
      </c>
      <c r="F495" t="s">
        <v>56</v>
      </c>
      <c r="G495" t="s">
        <v>211</v>
      </c>
      <c r="H495" t="s">
        <v>1307</v>
      </c>
      <c r="I495" s="5">
        <v>28800</v>
      </c>
      <c r="L495" s="5">
        <v>28800</v>
      </c>
      <c r="M495" s="5">
        <v>3085.71</v>
      </c>
      <c r="N495" s="5">
        <v>25714.29</v>
      </c>
    </row>
    <row r="496" spans="1:14">
      <c r="A496" t="s">
        <v>1308</v>
      </c>
      <c r="B496" t="s">
        <v>1287</v>
      </c>
      <c r="C496" t="s">
        <v>60</v>
      </c>
      <c r="D496" s="6">
        <v>0</v>
      </c>
      <c r="E496" t="s">
        <v>1287</v>
      </c>
      <c r="F496" t="s">
        <v>56</v>
      </c>
      <c r="G496" t="s">
        <v>211</v>
      </c>
      <c r="H496" t="s">
        <v>1309</v>
      </c>
      <c r="I496" s="5">
        <v>28800</v>
      </c>
      <c r="L496" s="5">
        <v>28800</v>
      </c>
      <c r="M496" s="5">
        <v>3085.71</v>
      </c>
      <c r="N496" s="5">
        <v>25714.29</v>
      </c>
    </row>
    <row r="497" spans="1:14">
      <c r="A497" t="s">
        <v>1310</v>
      </c>
      <c r="B497" t="s">
        <v>1287</v>
      </c>
      <c r="C497" t="s">
        <v>60</v>
      </c>
      <c r="D497" s="6">
        <v>0</v>
      </c>
      <c r="E497" t="s">
        <v>1287</v>
      </c>
      <c r="F497" t="s">
        <v>56</v>
      </c>
      <c r="G497" t="s">
        <v>293</v>
      </c>
      <c r="H497" t="s">
        <v>1311</v>
      </c>
      <c r="I497" s="5">
        <v>62730</v>
      </c>
      <c r="L497" s="5">
        <v>62730</v>
      </c>
      <c r="M497" s="5">
        <v>6721.07</v>
      </c>
      <c r="N497" s="5">
        <v>56008.93</v>
      </c>
    </row>
    <row r="498" spans="1:14">
      <c r="A498" t="s">
        <v>1312</v>
      </c>
      <c r="B498" t="s">
        <v>1287</v>
      </c>
      <c r="C498" t="s">
        <v>60</v>
      </c>
      <c r="D498" s="6">
        <v>0</v>
      </c>
      <c r="E498" t="s">
        <v>1287</v>
      </c>
      <c r="F498" t="s">
        <v>56</v>
      </c>
      <c r="G498" t="s">
        <v>190</v>
      </c>
      <c r="H498" t="s">
        <v>1313</v>
      </c>
      <c r="I498" s="5">
        <v>248990</v>
      </c>
      <c r="L498" s="5">
        <v>248990</v>
      </c>
      <c r="M498" s="5">
        <v>26677.5</v>
      </c>
      <c r="N498" s="5">
        <v>222312.5</v>
      </c>
    </row>
    <row r="499" spans="1:14">
      <c r="A499" t="s">
        <v>1314</v>
      </c>
      <c r="B499" t="s">
        <v>1287</v>
      </c>
      <c r="C499" t="s">
        <v>162</v>
      </c>
      <c r="D499" s="6">
        <v>90</v>
      </c>
      <c r="E499" t="s">
        <v>1315</v>
      </c>
      <c r="F499" t="s">
        <v>204</v>
      </c>
      <c r="G499" t="s">
        <v>1316</v>
      </c>
      <c r="H499" t="s">
        <v>1317</v>
      </c>
      <c r="I499" s="5">
        <v>45720</v>
      </c>
      <c r="L499" s="5">
        <v>45720</v>
      </c>
      <c r="M499" s="5">
        <v>4898.57</v>
      </c>
      <c r="N499" s="5">
        <v>40821.43</v>
      </c>
    </row>
    <row r="500" spans="1:14">
      <c r="A500" t="s">
        <v>1318</v>
      </c>
      <c r="B500" t="s">
        <v>1287</v>
      </c>
      <c r="C500" t="s">
        <v>60</v>
      </c>
      <c r="D500" s="6">
        <v>0</v>
      </c>
      <c r="E500" t="s">
        <v>1287</v>
      </c>
      <c r="F500" t="s">
        <v>30</v>
      </c>
      <c r="G500" t="s">
        <v>1248</v>
      </c>
      <c r="H500" t="s">
        <v>1319</v>
      </c>
      <c r="I500" s="5">
        <v>4330</v>
      </c>
      <c r="L500" s="5">
        <v>4330</v>
      </c>
      <c r="M500" s="7">
        <v>463.93</v>
      </c>
      <c r="N500" s="5">
        <v>3866.07</v>
      </c>
    </row>
    <row r="501" spans="1:14">
      <c r="A501" t="s">
        <v>1320</v>
      </c>
      <c r="B501" t="s">
        <v>1287</v>
      </c>
      <c r="C501" t="s">
        <v>73</v>
      </c>
      <c r="D501" s="6">
        <v>30</v>
      </c>
      <c r="E501" t="s">
        <v>1297</v>
      </c>
      <c r="F501" t="s">
        <v>46</v>
      </c>
      <c r="G501" t="s">
        <v>1321</v>
      </c>
      <c r="H501" t="s">
        <v>1322</v>
      </c>
      <c r="I501" s="5">
        <v>9335</v>
      </c>
      <c r="L501" s="5">
        <v>9335</v>
      </c>
      <c r="M501" s="5">
        <v>1000.18</v>
      </c>
      <c r="N501" s="5">
        <v>8334.82</v>
      </c>
    </row>
    <row r="502" spans="1:14">
      <c r="A502" t="s">
        <v>1323</v>
      </c>
      <c r="B502" t="s">
        <v>1287</v>
      </c>
      <c r="C502" t="s">
        <v>73</v>
      </c>
      <c r="D502" s="6">
        <v>30</v>
      </c>
      <c r="E502" t="s">
        <v>1297</v>
      </c>
      <c r="F502" t="s">
        <v>46</v>
      </c>
      <c r="G502" t="s">
        <v>1321</v>
      </c>
      <c r="H502" t="s">
        <v>1324</v>
      </c>
      <c r="I502" s="5">
        <v>369142</v>
      </c>
      <c r="L502" s="5">
        <v>369142</v>
      </c>
      <c r="M502" s="5">
        <v>39550.93</v>
      </c>
      <c r="N502" s="5">
        <v>329591.07</v>
      </c>
    </row>
    <row r="503" spans="1:14">
      <c r="A503" t="s">
        <v>1325</v>
      </c>
      <c r="B503" t="s">
        <v>1287</v>
      </c>
      <c r="C503" t="s">
        <v>146</v>
      </c>
      <c r="D503" s="6">
        <v>90</v>
      </c>
      <c r="E503" t="s">
        <v>1315</v>
      </c>
      <c r="F503" t="s">
        <v>46</v>
      </c>
      <c r="G503" t="s">
        <v>1326</v>
      </c>
      <c r="H503" t="s">
        <v>1327</v>
      </c>
      <c r="I503" s="5">
        <v>148436</v>
      </c>
      <c r="L503" s="5">
        <v>148436</v>
      </c>
      <c r="M503" s="5">
        <v>15903.86</v>
      </c>
      <c r="N503" s="5">
        <v>132532.14000000001</v>
      </c>
    </row>
    <row r="504" spans="1:14">
      <c r="A504" t="s">
        <v>1328</v>
      </c>
      <c r="B504" t="s">
        <v>1287</v>
      </c>
      <c r="C504" t="s">
        <v>60</v>
      </c>
      <c r="D504" s="6">
        <v>0</v>
      </c>
      <c r="E504" t="s">
        <v>1287</v>
      </c>
      <c r="F504" t="s">
        <v>56</v>
      </c>
      <c r="G504" t="s">
        <v>457</v>
      </c>
      <c r="H504" t="s">
        <v>1329</v>
      </c>
      <c r="I504" s="5">
        <v>47935</v>
      </c>
      <c r="L504" s="5">
        <v>47935</v>
      </c>
      <c r="M504" s="5">
        <v>5135.8900000000003</v>
      </c>
      <c r="N504" s="5">
        <v>42799.11</v>
      </c>
    </row>
    <row r="505" spans="1:14">
      <c r="A505" t="s">
        <v>1330</v>
      </c>
      <c r="B505" t="s">
        <v>1287</v>
      </c>
      <c r="C505" t="s">
        <v>151</v>
      </c>
      <c r="D505" s="6">
        <v>60</v>
      </c>
      <c r="E505" t="s">
        <v>1331</v>
      </c>
      <c r="F505" t="s">
        <v>30</v>
      </c>
      <c r="G505" t="s">
        <v>614</v>
      </c>
      <c r="H505" t="s">
        <v>1332</v>
      </c>
      <c r="I505" s="5">
        <v>31905</v>
      </c>
      <c r="L505" s="5">
        <v>31905</v>
      </c>
      <c r="M505" s="5">
        <v>3418.39</v>
      </c>
      <c r="N505" s="5">
        <v>28486.61</v>
      </c>
    </row>
    <row r="506" spans="1:14">
      <c r="A506" t="s">
        <v>1333</v>
      </c>
      <c r="B506" t="s">
        <v>1287</v>
      </c>
      <c r="C506" t="s">
        <v>104</v>
      </c>
      <c r="D506" s="6">
        <v>0</v>
      </c>
      <c r="E506" t="s">
        <v>1287</v>
      </c>
      <c r="F506" t="s">
        <v>30</v>
      </c>
      <c r="G506" t="s">
        <v>1334</v>
      </c>
      <c r="H506" t="s">
        <v>1335</v>
      </c>
      <c r="I506" s="5">
        <v>1144800</v>
      </c>
      <c r="J506" s="4">
        <v>-34344</v>
      </c>
      <c r="L506" s="5">
        <v>1110456</v>
      </c>
      <c r="M506" s="5">
        <v>118977.43</v>
      </c>
      <c r="N506" s="5">
        <v>991478.57</v>
      </c>
    </row>
    <row r="507" spans="1:14">
      <c r="A507" t="s">
        <v>1336</v>
      </c>
      <c r="B507" t="s">
        <v>1287</v>
      </c>
      <c r="C507" t="s">
        <v>60</v>
      </c>
      <c r="D507" s="6">
        <v>0</v>
      </c>
      <c r="E507" t="s">
        <v>1287</v>
      </c>
      <c r="F507" t="s">
        <v>56</v>
      </c>
      <c r="G507" t="s">
        <v>605</v>
      </c>
      <c r="H507" t="s">
        <v>1337</v>
      </c>
      <c r="I507" s="5">
        <v>1126635.48</v>
      </c>
      <c r="L507" s="5">
        <v>1126635.48</v>
      </c>
      <c r="M507" s="5">
        <v>120710.94</v>
      </c>
      <c r="N507" s="5">
        <v>1005924.54</v>
      </c>
    </row>
    <row r="508" spans="1:14">
      <c r="A508" t="s">
        <v>1338</v>
      </c>
      <c r="B508" t="s">
        <v>1287</v>
      </c>
      <c r="C508" t="s">
        <v>60</v>
      </c>
      <c r="D508" s="6">
        <v>0</v>
      </c>
      <c r="E508" t="s">
        <v>1287</v>
      </c>
      <c r="F508" t="s">
        <v>56</v>
      </c>
      <c r="G508" t="s">
        <v>605</v>
      </c>
      <c r="H508" t="s">
        <v>1339</v>
      </c>
      <c r="I508" s="5">
        <v>280110</v>
      </c>
      <c r="L508" s="5">
        <v>280110</v>
      </c>
      <c r="M508" s="5">
        <v>30011.79</v>
      </c>
      <c r="N508" s="5">
        <v>250098.21</v>
      </c>
    </row>
    <row r="509" spans="1:14">
      <c r="A509" t="s">
        <v>1340</v>
      </c>
      <c r="B509" t="s">
        <v>1287</v>
      </c>
      <c r="C509" t="s">
        <v>34</v>
      </c>
      <c r="D509" s="6">
        <v>60</v>
      </c>
      <c r="E509" t="s">
        <v>1331</v>
      </c>
      <c r="F509" t="s">
        <v>36</v>
      </c>
      <c r="G509" t="s">
        <v>37</v>
      </c>
      <c r="H509" t="s">
        <v>1341</v>
      </c>
      <c r="I509" s="5">
        <v>467200</v>
      </c>
      <c r="L509" s="5">
        <v>467200</v>
      </c>
      <c r="M509" s="5">
        <v>50057.14</v>
      </c>
      <c r="N509" s="5">
        <v>417142.86</v>
      </c>
    </row>
    <row r="510" spans="1:14">
      <c r="A510" t="s">
        <v>1342</v>
      </c>
      <c r="B510" t="s">
        <v>1287</v>
      </c>
      <c r="C510" t="s">
        <v>73</v>
      </c>
      <c r="D510" s="6">
        <v>30</v>
      </c>
      <c r="E510" t="s">
        <v>1297</v>
      </c>
      <c r="F510" t="s">
        <v>19</v>
      </c>
      <c r="G510" t="s">
        <v>267</v>
      </c>
      <c r="H510" t="s">
        <v>1343</v>
      </c>
      <c r="I510" s="5">
        <v>209080</v>
      </c>
      <c r="L510" s="5">
        <v>209080</v>
      </c>
      <c r="M510" s="5">
        <v>22401.43</v>
      </c>
      <c r="N510" s="5">
        <v>186678.57</v>
      </c>
    </row>
    <row r="511" spans="1:14">
      <c r="A511" t="s">
        <v>1344</v>
      </c>
      <c r="B511" t="s">
        <v>1287</v>
      </c>
      <c r="C511" t="s">
        <v>162</v>
      </c>
      <c r="D511" s="6">
        <v>90</v>
      </c>
      <c r="E511" t="s">
        <v>1315</v>
      </c>
      <c r="F511" t="s">
        <v>36</v>
      </c>
      <c r="G511" t="s">
        <v>193</v>
      </c>
      <c r="H511" t="s">
        <v>1345</v>
      </c>
      <c r="I511" s="5">
        <v>198750</v>
      </c>
      <c r="L511" s="5">
        <v>198750</v>
      </c>
      <c r="M511" s="5">
        <v>21294.639999999999</v>
      </c>
      <c r="N511" s="5">
        <v>177455.35999999999</v>
      </c>
    </row>
    <row r="512" spans="1:14">
      <c r="A512" t="s">
        <v>1346</v>
      </c>
      <c r="B512" t="s">
        <v>1287</v>
      </c>
      <c r="C512" t="s">
        <v>146</v>
      </c>
      <c r="D512" s="6">
        <v>90</v>
      </c>
      <c r="E512" t="s">
        <v>1315</v>
      </c>
      <c r="F512" t="s">
        <v>56</v>
      </c>
      <c r="G512" t="s">
        <v>666</v>
      </c>
      <c r="H512" t="s">
        <v>1347</v>
      </c>
      <c r="I512" s="5">
        <v>361195</v>
      </c>
      <c r="L512" s="5">
        <v>361195</v>
      </c>
      <c r="M512" s="5">
        <v>38699.46</v>
      </c>
      <c r="N512" s="5">
        <v>322495.53999999998</v>
      </c>
    </row>
    <row r="513" spans="1:14">
      <c r="A513" t="s">
        <v>1348</v>
      </c>
      <c r="B513" t="s">
        <v>1287</v>
      </c>
      <c r="C513" t="s">
        <v>162</v>
      </c>
      <c r="D513" s="6">
        <v>90</v>
      </c>
      <c r="E513" t="s">
        <v>1315</v>
      </c>
      <c r="F513" t="s">
        <v>30</v>
      </c>
      <c r="G513" t="s">
        <v>1349</v>
      </c>
      <c r="H513" t="s">
        <v>1350</v>
      </c>
      <c r="I513" s="5">
        <v>172200</v>
      </c>
      <c r="L513" s="5">
        <v>172200</v>
      </c>
      <c r="M513" s="5">
        <v>18450</v>
      </c>
      <c r="N513" s="5">
        <v>153750</v>
      </c>
    </row>
    <row r="514" spans="1:14">
      <c r="A514" t="s">
        <v>1351</v>
      </c>
      <c r="B514" t="s">
        <v>1287</v>
      </c>
      <c r="C514" t="s">
        <v>151</v>
      </c>
      <c r="D514" s="6">
        <v>60</v>
      </c>
      <c r="E514" t="s">
        <v>1331</v>
      </c>
      <c r="F514" t="s">
        <v>69</v>
      </c>
      <c r="G514" t="s">
        <v>253</v>
      </c>
      <c r="H514" t="s">
        <v>1352</v>
      </c>
      <c r="I514" s="5">
        <v>1041610</v>
      </c>
      <c r="L514" s="5">
        <v>1041610</v>
      </c>
      <c r="M514" s="5">
        <v>111601.07</v>
      </c>
      <c r="N514" s="5">
        <v>930008.93</v>
      </c>
    </row>
    <row r="515" spans="1:14">
      <c r="A515" t="s">
        <v>1353</v>
      </c>
      <c r="B515" t="s">
        <v>1287</v>
      </c>
      <c r="C515" t="s">
        <v>60</v>
      </c>
      <c r="D515" s="6">
        <v>0</v>
      </c>
      <c r="E515" t="s">
        <v>1287</v>
      </c>
      <c r="F515" t="s">
        <v>56</v>
      </c>
      <c r="G515" t="s">
        <v>196</v>
      </c>
      <c r="H515" t="s">
        <v>1354</v>
      </c>
      <c r="I515" s="5">
        <v>434653</v>
      </c>
      <c r="L515" s="5">
        <v>434653</v>
      </c>
      <c r="M515" s="5">
        <v>46569.96</v>
      </c>
      <c r="N515" s="5">
        <v>388083.04</v>
      </c>
    </row>
    <row r="516" spans="1:14">
      <c r="A516" t="s">
        <v>1355</v>
      </c>
      <c r="B516" t="s">
        <v>1287</v>
      </c>
      <c r="C516" t="s">
        <v>60</v>
      </c>
      <c r="D516" s="6">
        <v>0</v>
      </c>
      <c r="E516" t="s">
        <v>1287</v>
      </c>
      <c r="F516" t="s">
        <v>56</v>
      </c>
      <c r="G516" t="s">
        <v>196</v>
      </c>
      <c r="H516" t="s">
        <v>1356</v>
      </c>
      <c r="I516" s="5">
        <v>183132</v>
      </c>
      <c r="L516" s="5">
        <v>183132</v>
      </c>
      <c r="M516" s="5">
        <v>19621.29</v>
      </c>
      <c r="N516" s="5">
        <v>163510.71</v>
      </c>
    </row>
    <row r="517" spans="1:14">
      <c r="A517" t="s">
        <v>1357</v>
      </c>
      <c r="B517" t="s">
        <v>1287</v>
      </c>
      <c r="C517" t="s">
        <v>146</v>
      </c>
      <c r="D517" s="6">
        <v>90</v>
      </c>
      <c r="E517" t="s">
        <v>1315</v>
      </c>
      <c r="F517" t="s">
        <v>139</v>
      </c>
      <c r="G517" t="s">
        <v>1038</v>
      </c>
      <c r="H517" t="s">
        <v>1358</v>
      </c>
      <c r="I517" s="5">
        <v>59512</v>
      </c>
      <c r="L517" s="5">
        <v>59512</v>
      </c>
      <c r="M517" s="5">
        <v>6376.29</v>
      </c>
      <c r="N517" s="5">
        <v>53135.71</v>
      </c>
    </row>
    <row r="518" spans="1:14">
      <c r="A518" t="s">
        <v>1359</v>
      </c>
      <c r="B518" t="s">
        <v>1287</v>
      </c>
      <c r="C518" t="s">
        <v>146</v>
      </c>
      <c r="D518" s="6">
        <v>90</v>
      </c>
      <c r="E518" t="s">
        <v>1315</v>
      </c>
      <c r="F518" t="s">
        <v>139</v>
      </c>
      <c r="G518" t="s">
        <v>1038</v>
      </c>
      <c r="H518" t="s">
        <v>1360</v>
      </c>
      <c r="I518" s="5">
        <v>178256</v>
      </c>
      <c r="L518" s="5">
        <v>178256</v>
      </c>
      <c r="M518" s="5">
        <v>19098.86</v>
      </c>
      <c r="N518" s="5">
        <v>159157.14000000001</v>
      </c>
    </row>
    <row r="519" spans="1:14">
      <c r="A519" t="s">
        <v>1361</v>
      </c>
      <c r="B519" t="s">
        <v>1287</v>
      </c>
      <c r="C519" t="s">
        <v>146</v>
      </c>
      <c r="D519" s="6">
        <v>90</v>
      </c>
      <c r="E519" t="s">
        <v>1315</v>
      </c>
      <c r="F519" t="s">
        <v>139</v>
      </c>
      <c r="G519" t="s">
        <v>1038</v>
      </c>
      <c r="H519" t="s">
        <v>1362</v>
      </c>
      <c r="I519" s="5">
        <v>989368</v>
      </c>
      <c r="L519" s="5">
        <v>989368</v>
      </c>
      <c r="M519" s="5">
        <v>106003.71</v>
      </c>
      <c r="N519" s="5">
        <v>883364.29</v>
      </c>
    </row>
    <row r="520" spans="1:14">
      <c r="A520" t="s">
        <v>1363</v>
      </c>
      <c r="B520" t="s">
        <v>1287</v>
      </c>
      <c r="C520" t="s">
        <v>146</v>
      </c>
      <c r="D520" s="6">
        <v>90</v>
      </c>
      <c r="E520" t="s">
        <v>1315</v>
      </c>
      <c r="F520" t="s">
        <v>139</v>
      </c>
      <c r="G520" t="s">
        <v>1038</v>
      </c>
      <c r="H520" t="s">
        <v>1364</v>
      </c>
      <c r="I520" s="5">
        <v>118334</v>
      </c>
      <c r="L520" s="5">
        <v>118334</v>
      </c>
      <c r="M520" s="5">
        <v>12678.64</v>
      </c>
      <c r="N520" s="5">
        <v>105655.36</v>
      </c>
    </row>
    <row r="521" spans="1:14">
      <c r="A521" t="s">
        <v>1365</v>
      </c>
      <c r="B521" t="s">
        <v>1287</v>
      </c>
      <c r="C521" t="s">
        <v>146</v>
      </c>
      <c r="D521" s="6">
        <v>90</v>
      </c>
      <c r="E521" t="s">
        <v>1315</v>
      </c>
      <c r="F521" t="s">
        <v>139</v>
      </c>
      <c r="G521" t="s">
        <v>1038</v>
      </c>
      <c r="H521" t="s">
        <v>1366</v>
      </c>
      <c r="I521" s="5">
        <v>35532</v>
      </c>
      <c r="L521" s="5">
        <v>35532</v>
      </c>
      <c r="M521" s="5">
        <v>3807</v>
      </c>
      <c r="N521" s="5">
        <v>31725</v>
      </c>
    </row>
    <row r="522" spans="1:14">
      <c r="A522" t="s">
        <v>1367</v>
      </c>
      <c r="B522" t="s">
        <v>1287</v>
      </c>
      <c r="C522" t="s">
        <v>146</v>
      </c>
      <c r="D522" s="6">
        <v>90</v>
      </c>
      <c r="E522" t="s">
        <v>1315</v>
      </c>
      <c r="F522" t="s">
        <v>139</v>
      </c>
      <c r="G522" t="s">
        <v>1038</v>
      </c>
      <c r="H522" t="s">
        <v>1368</v>
      </c>
      <c r="I522" s="5">
        <v>175028</v>
      </c>
      <c r="L522" s="5">
        <v>175028</v>
      </c>
      <c r="M522" s="5">
        <v>18753</v>
      </c>
      <c r="N522" s="5">
        <v>156275</v>
      </c>
    </row>
    <row r="523" spans="1:14">
      <c r="A523" t="s">
        <v>1369</v>
      </c>
      <c r="B523" t="s">
        <v>1287</v>
      </c>
      <c r="C523" t="s">
        <v>162</v>
      </c>
      <c r="D523" s="6">
        <v>90</v>
      </c>
      <c r="E523" t="s">
        <v>1315</v>
      </c>
      <c r="F523" t="s">
        <v>423</v>
      </c>
      <c r="G523" t="s">
        <v>424</v>
      </c>
      <c r="H523" t="s">
        <v>1370</v>
      </c>
      <c r="I523" s="5">
        <v>16800</v>
      </c>
      <c r="L523" s="5">
        <v>16800</v>
      </c>
      <c r="M523" s="5">
        <v>1800</v>
      </c>
      <c r="N523" s="5">
        <v>15000</v>
      </c>
    </row>
    <row r="524" spans="1:14">
      <c r="A524" t="s">
        <v>1371</v>
      </c>
      <c r="B524" t="s">
        <v>1372</v>
      </c>
      <c r="C524" t="s">
        <v>34</v>
      </c>
      <c r="D524" s="6">
        <v>60</v>
      </c>
      <c r="E524" t="s">
        <v>1373</v>
      </c>
      <c r="F524" t="s">
        <v>46</v>
      </c>
      <c r="G524" t="s">
        <v>1226</v>
      </c>
      <c r="H524" t="s">
        <v>1374</v>
      </c>
      <c r="I524" s="5">
        <v>9261</v>
      </c>
      <c r="L524" s="5">
        <v>9261</v>
      </c>
      <c r="M524" s="7">
        <v>992.25</v>
      </c>
      <c r="N524" s="5">
        <v>8268.75</v>
      </c>
    </row>
    <row r="525" spans="1:14">
      <c r="A525" t="s">
        <v>1375</v>
      </c>
      <c r="B525" t="s">
        <v>1372</v>
      </c>
      <c r="C525" t="s">
        <v>162</v>
      </c>
      <c r="D525" s="6">
        <v>90</v>
      </c>
      <c r="E525" t="s">
        <v>1376</v>
      </c>
      <c r="F525" t="s">
        <v>204</v>
      </c>
      <c r="G525" t="s">
        <v>1377</v>
      </c>
      <c r="H525" t="s">
        <v>1378</v>
      </c>
      <c r="I525" s="5">
        <v>116200</v>
      </c>
      <c r="L525" s="5">
        <v>116200</v>
      </c>
      <c r="M525" s="5">
        <v>12450</v>
      </c>
      <c r="N525" s="5">
        <v>103750</v>
      </c>
    </row>
    <row r="526" spans="1:14">
      <c r="A526" t="s">
        <v>1379</v>
      </c>
      <c r="B526" t="s">
        <v>1372</v>
      </c>
      <c r="C526" t="s">
        <v>681</v>
      </c>
      <c r="D526" s="6">
        <v>0</v>
      </c>
      <c r="E526" t="s">
        <v>1372</v>
      </c>
      <c r="F526" t="s">
        <v>625</v>
      </c>
      <c r="G526" t="s">
        <v>793</v>
      </c>
      <c r="H526" t="s">
        <v>1380</v>
      </c>
      <c r="I526" s="5">
        <v>1428</v>
      </c>
      <c r="L526" s="5">
        <v>1428</v>
      </c>
      <c r="M526" s="7">
        <v>153</v>
      </c>
      <c r="N526" s="5">
        <v>1275</v>
      </c>
    </row>
    <row r="527" spans="1:14">
      <c r="A527" t="s">
        <v>1381</v>
      </c>
      <c r="B527" t="s">
        <v>1372</v>
      </c>
      <c r="C527" t="s">
        <v>34</v>
      </c>
      <c r="D527" s="6">
        <v>60</v>
      </c>
      <c r="E527" t="s">
        <v>1373</v>
      </c>
      <c r="F527" t="s">
        <v>36</v>
      </c>
      <c r="G527" t="s">
        <v>37</v>
      </c>
      <c r="H527" t="s">
        <v>1382</v>
      </c>
      <c r="I527" s="5">
        <v>18989</v>
      </c>
      <c r="L527" s="5">
        <v>18989</v>
      </c>
      <c r="M527" s="5">
        <v>2034.54</v>
      </c>
      <c r="N527" s="5">
        <v>16954.46</v>
      </c>
    </row>
    <row r="528" spans="1:14">
      <c r="A528" t="s">
        <v>1383</v>
      </c>
      <c r="B528" t="s">
        <v>1372</v>
      </c>
      <c r="C528" t="s">
        <v>60</v>
      </c>
      <c r="D528" s="6">
        <v>0</v>
      </c>
      <c r="E528" t="s">
        <v>1372</v>
      </c>
      <c r="F528" t="s">
        <v>270</v>
      </c>
      <c r="G528" t="s">
        <v>1384</v>
      </c>
      <c r="H528" t="s">
        <v>1385</v>
      </c>
      <c r="I528" s="5">
        <v>241920</v>
      </c>
      <c r="L528" s="5">
        <v>241920</v>
      </c>
      <c r="M528" s="5">
        <v>25920</v>
      </c>
      <c r="N528" s="5">
        <v>216000</v>
      </c>
    </row>
    <row r="529" spans="1:14">
      <c r="A529" t="s">
        <v>1386</v>
      </c>
      <c r="B529" t="s">
        <v>1372</v>
      </c>
      <c r="C529" t="s">
        <v>681</v>
      </c>
      <c r="D529" s="6">
        <v>0</v>
      </c>
      <c r="E529" t="s">
        <v>1372</v>
      </c>
      <c r="F529" t="s">
        <v>46</v>
      </c>
      <c r="G529" t="s">
        <v>682</v>
      </c>
      <c r="H529" t="s">
        <v>1387</v>
      </c>
      <c r="I529" s="5">
        <v>27968</v>
      </c>
      <c r="L529" s="5">
        <v>27968</v>
      </c>
      <c r="M529" s="5">
        <v>2996.57</v>
      </c>
      <c r="N529" s="5">
        <v>24971.43</v>
      </c>
    </row>
    <row r="530" spans="1:14">
      <c r="A530" t="s">
        <v>1388</v>
      </c>
      <c r="B530" t="s">
        <v>1372</v>
      </c>
      <c r="C530" t="s">
        <v>333</v>
      </c>
      <c r="D530" s="6">
        <v>30</v>
      </c>
      <c r="E530" t="s">
        <v>1389</v>
      </c>
      <c r="F530" t="s">
        <v>270</v>
      </c>
      <c r="G530" t="s">
        <v>1262</v>
      </c>
      <c r="H530" t="s">
        <v>1263</v>
      </c>
      <c r="I530" s="5">
        <v>261896</v>
      </c>
      <c r="L530" s="5">
        <v>261896</v>
      </c>
      <c r="M530" s="5">
        <v>28060.29</v>
      </c>
      <c r="N530" s="5">
        <v>233835.71</v>
      </c>
    </row>
    <row r="531" spans="1:14">
      <c r="A531" t="s">
        <v>1390</v>
      </c>
      <c r="B531" t="s">
        <v>1372</v>
      </c>
      <c r="C531" t="s">
        <v>333</v>
      </c>
      <c r="D531" s="6">
        <v>30</v>
      </c>
      <c r="E531" t="s">
        <v>1389</v>
      </c>
      <c r="F531" t="s">
        <v>270</v>
      </c>
      <c r="G531" t="s">
        <v>1262</v>
      </c>
      <c r="H531" t="s">
        <v>1265</v>
      </c>
      <c r="I531" s="5">
        <v>212525</v>
      </c>
      <c r="L531" s="5">
        <v>212525</v>
      </c>
      <c r="M531" s="5">
        <v>22770.54</v>
      </c>
      <c r="N531" s="5">
        <v>189754.46</v>
      </c>
    </row>
    <row r="532" spans="1:14">
      <c r="A532" t="s">
        <v>1391</v>
      </c>
      <c r="B532" t="s">
        <v>1372</v>
      </c>
      <c r="C532" t="s">
        <v>18</v>
      </c>
      <c r="D532" s="6">
        <v>0</v>
      </c>
      <c r="E532" t="s">
        <v>1372</v>
      </c>
      <c r="F532" t="s">
        <v>56</v>
      </c>
      <c r="G532" t="s">
        <v>61</v>
      </c>
      <c r="H532" t="s">
        <v>1392</v>
      </c>
      <c r="I532" s="5">
        <v>256495</v>
      </c>
      <c r="J532" s="4">
        <v>-5129.8999999999996</v>
      </c>
      <c r="L532" s="5">
        <v>251365.1</v>
      </c>
      <c r="M532" s="5">
        <v>26931.98</v>
      </c>
      <c r="N532" s="5">
        <v>224433.12</v>
      </c>
    </row>
    <row r="533" spans="1:14">
      <c r="A533" t="s">
        <v>1393</v>
      </c>
      <c r="B533" t="s">
        <v>1372</v>
      </c>
      <c r="C533" t="s">
        <v>104</v>
      </c>
      <c r="D533" s="6">
        <v>0</v>
      </c>
      <c r="E533" t="s">
        <v>1372</v>
      </c>
      <c r="F533" t="s">
        <v>69</v>
      </c>
      <c r="G533" t="s">
        <v>277</v>
      </c>
      <c r="H533" t="s">
        <v>1394</v>
      </c>
      <c r="I533" s="5">
        <v>2179150</v>
      </c>
      <c r="L533" s="5">
        <v>2179150</v>
      </c>
      <c r="M533" s="5">
        <v>233480.36</v>
      </c>
      <c r="N533" s="5">
        <v>1945669.64</v>
      </c>
    </row>
    <row r="534" spans="1:14">
      <c r="A534" t="s">
        <v>1395</v>
      </c>
      <c r="B534" t="s">
        <v>1372</v>
      </c>
      <c r="C534" t="s">
        <v>54</v>
      </c>
      <c r="D534" s="6">
        <v>90</v>
      </c>
      <c r="E534" t="s">
        <v>1376</v>
      </c>
      <c r="F534" t="s">
        <v>69</v>
      </c>
      <c r="G534" t="s">
        <v>1396</v>
      </c>
      <c r="H534" t="s">
        <v>1397</v>
      </c>
      <c r="I534" s="5">
        <v>412500</v>
      </c>
      <c r="L534" s="5">
        <v>412500</v>
      </c>
      <c r="M534" s="5">
        <v>44196.43</v>
      </c>
      <c r="N534" s="5">
        <v>368303.57</v>
      </c>
    </row>
    <row r="535" spans="1:14">
      <c r="A535" t="s">
        <v>1398</v>
      </c>
      <c r="B535" t="s">
        <v>1372</v>
      </c>
      <c r="C535" t="s">
        <v>60</v>
      </c>
      <c r="D535" s="6">
        <v>0</v>
      </c>
      <c r="E535" t="s">
        <v>1372</v>
      </c>
      <c r="F535" t="s">
        <v>56</v>
      </c>
      <c r="G535" t="s">
        <v>196</v>
      </c>
      <c r="H535" t="s">
        <v>1399</v>
      </c>
      <c r="I535" s="5">
        <v>492232</v>
      </c>
      <c r="L535" s="5">
        <v>492232</v>
      </c>
      <c r="M535" s="5">
        <v>52739.14</v>
      </c>
      <c r="N535" s="5">
        <v>439492.86</v>
      </c>
    </row>
    <row r="536" spans="1:14">
      <c r="A536" t="s">
        <v>1400</v>
      </c>
      <c r="B536" t="s">
        <v>1372</v>
      </c>
      <c r="C536" t="s">
        <v>146</v>
      </c>
      <c r="D536" s="6">
        <v>90</v>
      </c>
      <c r="E536" t="s">
        <v>1376</v>
      </c>
      <c r="F536" t="s">
        <v>139</v>
      </c>
      <c r="G536" t="s">
        <v>1038</v>
      </c>
      <c r="H536" t="s">
        <v>1401</v>
      </c>
      <c r="I536" s="5">
        <v>208288</v>
      </c>
      <c r="L536" s="5">
        <v>208288</v>
      </c>
      <c r="M536" s="5">
        <v>22316.57</v>
      </c>
      <c r="N536" s="5">
        <v>185971.43</v>
      </c>
    </row>
    <row r="537" spans="1:14">
      <c r="A537" t="s">
        <v>1402</v>
      </c>
      <c r="B537" t="s">
        <v>1372</v>
      </c>
      <c r="C537" t="s">
        <v>146</v>
      </c>
      <c r="D537" s="6">
        <v>90</v>
      </c>
      <c r="E537" t="s">
        <v>1376</v>
      </c>
      <c r="F537" t="s">
        <v>139</v>
      </c>
      <c r="G537" t="s">
        <v>1038</v>
      </c>
      <c r="H537" t="s">
        <v>1403</v>
      </c>
      <c r="I537" s="5">
        <v>94464</v>
      </c>
      <c r="L537" s="5">
        <v>94464</v>
      </c>
      <c r="M537" s="5">
        <v>10121.14</v>
      </c>
      <c r="N537" s="5">
        <v>84342.86</v>
      </c>
    </row>
    <row r="538" spans="1:14">
      <c r="A538" t="s">
        <v>1404</v>
      </c>
      <c r="B538" t="s">
        <v>1372</v>
      </c>
      <c r="C538" t="s">
        <v>162</v>
      </c>
      <c r="D538" s="6">
        <v>90</v>
      </c>
      <c r="E538" t="s">
        <v>1376</v>
      </c>
      <c r="F538" t="s">
        <v>139</v>
      </c>
      <c r="G538" t="s">
        <v>1405</v>
      </c>
      <c r="H538" t="s">
        <v>1406</v>
      </c>
      <c r="I538" s="5">
        <v>80378</v>
      </c>
      <c r="L538" s="5">
        <v>80378</v>
      </c>
      <c r="M538" s="5">
        <v>8611.93</v>
      </c>
      <c r="N538" s="5">
        <v>71766.070000000007</v>
      </c>
    </row>
    <row r="539" spans="1:14">
      <c r="A539" t="s">
        <v>1407</v>
      </c>
      <c r="B539" t="s">
        <v>1372</v>
      </c>
      <c r="C539" t="s">
        <v>162</v>
      </c>
      <c r="D539" s="6">
        <v>90</v>
      </c>
      <c r="E539" t="s">
        <v>1376</v>
      </c>
      <c r="F539" t="s">
        <v>139</v>
      </c>
      <c r="G539" t="s">
        <v>1405</v>
      </c>
      <c r="H539" t="s">
        <v>1408</v>
      </c>
      <c r="I539" s="5">
        <v>28800</v>
      </c>
      <c r="L539" s="5">
        <v>28800</v>
      </c>
      <c r="M539" s="5">
        <v>3085.71</v>
      </c>
      <c r="N539" s="5">
        <v>25714.29</v>
      </c>
    </row>
    <row r="540" spans="1:14">
      <c r="A540" t="s">
        <v>1409</v>
      </c>
      <c r="B540" t="s">
        <v>1372</v>
      </c>
      <c r="C540" t="s">
        <v>151</v>
      </c>
      <c r="D540" s="6">
        <v>60</v>
      </c>
      <c r="E540" t="s">
        <v>1373</v>
      </c>
      <c r="F540" t="s">
        <v>139</v>
      </c>
      <c r="G540" t="s">
        <v>264</v>
      </c>
      <c r="H540" t="s">
        <v>1410</v>
      </c>
      <c r="I540" s="5">
        <v>11762</v>
      </c>
      <c r="L540" s="5">
        <v>11762</v>
      </c>
      <c r="M540" s="5">
        <v>1260.21</v>
      </c>
      <c r="N540" s="5">
        <v>10501.79</v>
      </c>
    </row>
    <row r="541" spans="1:14">
      <c r="A541" t="s">
        <v>1411</v>
      </c>
      <c r="B541" t="s">
        <v>1372</v>
      </c>
      <c r="C541" t="s">
        <v>104</v>
      </c>
      <c r="D541" s="6">
        <v>0</v>
      </c>
      <c r="E541" t="s">
        <v>1372</v>
      </c>
      <c r="F541" t="s">
        <v>69</v>
      </c>
      <c r="G541" t="s">
        <v>277</v>
      </c>
      <c r="H541" t="s">
        <v>1412</v>
      </c>
      <c r="I541" s="5">
        <v>1815950</v>
      </c>
      <c r="L541" s="5">
        <v>1815950</v>
      </c>
      <c r="M541" s="5">
        <v>194566.07</v>
      </c>
      <c r="N541" s="5">
        <v>1621383.93</v>
      </c>
    </row>
    <row r="542" spans="1:14">
      <c r="A542" t="s">
        <v>1413</v>
      </c>
      <c r="B542" t="s">
        <v>1372</v>
      </c>
      <c r="C542" t="s">
        <v>64</v>
      </c>
      <c r="D542" s="6">
        <v>30</v>
      </c>
      <c r="E542" t="s">
        <v>1389</v>
      </c>
      <c r="F542" t="s">
        <v>25</v>
      </c>
      <c r="G542" t="s">
        <v>26</v>
      </c>
      <c r="H542" t="s">
        <v>1414</v>
      </c>
      <c r="I542" s="5">
        <v>352731.5</v>
      </c>
      <c r="L542" s="5">
        <v>352731.5</v>
      </c>
      <c r="M542" s="5">
        <v>37792.660000000003</v>
      </c>
      <c r="N542" s="5">
        <v>314938.84000000003</v>
      </c>
    </row>
    <row r="543" spans="1:14">
      <c r="A543" t="s">
        <v>1415</v>
      </c>
      <c r="B543" t="s">
        <v>1372</v>
      </c>
      <c r="C543" t="s">
        <v>64</v>
      </c>
      <c r="D543" s="6">
        <v>30</v>
      </c>
      <c r="E543" t="s">
        <v>1389</v>
      </c>
      <c r="F543" t="s">
        <v>25</v>
      </c>
      <c r="G543" t="s">
        <v>26</v>
      </c>
      <c r="H543" t="s">
        <v>1416</v>
      </c>
      <c r="I543" s="5">
        <v>278419</v>
      </c>
      <c r="L543" s="5">
        <v>278419</v>
      </c>
      <c r="M543" s="5">
        <v>29830.61</v>
      </c>
      <c r="N543" s="5">
        <v>248588.39</v>
      </c>
    </row>
    <row r="544" spans="1:14">
      <c r="A544" t="s">
        <v>1417</v>
      </c>
      <c r="B544" t="s">
        <v>1372</v>
      </c>
      <c r="C544" t="s">
        <v>64</v>
      </c>
      <c r="D544" s="6">
        <v>30</v>
      </c>
      <c r="E544" t="s">
        <v>1389</v>
      </c>
      <c r="F544" t="s">
        <v>25</v>
      </c>
      <c r="G544" t="s">
        <v>26</v>
      </c>
      <c r="H544" t="s">
        <v>1418</v>
      </c>
      <c r="I544" s="5">
        <v>872800</v>
      </c>
      <c r="L544" s="5">
        <v>872800</v>
      </c>
      <c r="M544" s="5">
        <v>93514.29</v>
      </c>
      <c r="N544" s="5">
        <v>779285.71</v>
      </c>
    </row>
    <row r="545" spans="1:14">
      <c r="A545" t="s">
        <v>1419</v>
      </c>
      <c r="B545" t="s">
        <v>1372</v>
      </c>
      <c r="C545" t="s">
        <v>64</v>
      </c>
      <c r="D545" s="6">
        <v>30</v>
      </c>
      <c r="E545" t="s">
        <v>1389</v>
      </c>
      <c r="F545" t="s">
        <v>25</v>
      </c>
      <c r="G545" t="s">
        <v>26</v>
      </c>
      <c r="H545" t="s">
        <v>1420</v>
      </c>
      <c r="I545" s="5">
        <v>264274</v>
      </c>
      <c r="K545" s="5">
        <v>35300</v>
      </c>
      <c r="L545" s="5">
        <v>299574</v>
      </c>
      <c r="M545" s="5">
        <v>32097.21</v>
      </c>
      <c r="N545" s="5">
        <v>267476.78999999998</v>
      </c>
    </row>
    <row r="546" spans="1:14">
      <c r="A546" t="s">
        <v>1421</v>
      </c>
      <c r="B546" t="s">
        <v>1372</v>
      </c>
      <c r="C546" t="s">
        <v>68</v>
      </c>
      <c r="D546" s="6">
        <v>60</v>
      </c>
      <c r="E546" t="s">
        <v>1373</v>
      </c>
      <c r="F546" t="s">
        <v>577</v>
      </c>
      <c r="G546" t="s">
        <v>1422</v>
      </c>
      <c r="H546" t="s">
        <v>1423</v>
      </c>
      <c r="I546" s="5">
        <v>652054</v>
      </c>
      <c r="L546" s="5">
        <v>652054</v>
      </c>
      <c r="M546" s="5">
        <v>69862.929999999993</v>
      </c>
      <c r="N546" s="5">
        <v>582191.06999999995</v>
      </c>
    </row>
    <row r="547" spans="1:14">
      <c r="A547" t="s">
        <v>1424</v>
      </c>
      <c r="B547" t="s">
        <v>1372</v>
      </c>
      <c r="C547" t="s">
        <v>68</v>
      </c>
      <c r="D547" s="6">
        <v>60</v>
      </c>
      <c r="E547" t="s">
        <v>1373</v>
      </c>
      <c r="F547" t="s">
        <v>577</v>
      </c>
      <c r="G547" t="s">
        <v>1422</v>
      </c>
      <c r="H547" t="s">
        <v>1425</v>
      </c>
      <c r="I547" s="5">
        <v>446568</v>
      </c>
      <c r="L547" s="5">
        <v>446568</v>
      </c>
      <c r="M547" s="5">
        <v>47846.57</v>
      </c>
      <c r="N547" s="5">
        <v>398721.43</v>
      </c>
    </row>
    <row r="548" spans="1:14">
      <c r="A548" t="s">
        <v>1426</v>
      </c>
      <c r="B548" t="s">
        <v>1372</v>
      </c>
      <c r="C548" t="s">
        <v>237</v>
      </c>
      <c r="D548" s="6">
        <v>60</v>
      </c>
      <c r="E548" t="s">
        <v>1373</v>
      </c>
      <c r="F548" t="s">
        <v>759</v>
      </c>
      <c r="G548" t="s">
        <v>760</v>
      </c>
      <c r="H548" t="s">
        <v>1427</v>
      </c>
      <c r="I548" s="5">
        <v>242400</v>
      </c>
      <c r="L548" s="5">
        <v>242400</v>
      </c>
      <c r="M548" s="5">
        <v>25971.43</v>
      </c>
      <c r="N548" s="5">
        <v>216428.57</v>
      </c>
    </row>
    <row r="549" spans="1:14">
      <c r="A549" t="s">
        <v>1428</v>
      </c>
      <c r="B549" t="s">
        <v>1372</v>
      </c>
      <c r="C549" t="s">
        <v>237</v>
      </c>
      <c r="D549" s="6">
        <v>60</v>
      </c>
      <c r="E549" t="s">
        <v>1373</v>
      </c>
      <c r="F549" t="s">
        <v>759</v>
      </c>
      <c r="G549" t="s">
        <v>760</v>
      </c>
      <c r="H549" t="s">
        <v>1429</v>
      </c>
      <c r="I549" s="5">
        <v>242400</v>
      </c>
      <c r="L549" s="5">
        <v>242400</v>
      </c>
      <c r="M549" s="5">
        <v>25971.43</v>
      </c>
      <c r="N549" s="5">
        <v>216428.57</v>
      </c>
    </row>
    <row r="550" spans="1:14">
      <c r="A550" t="s">
        <v>1430</v>
      </c>
      <c r="B550" t="s">
        <v>1372</v>
      </c>
      <c r="C550" t="s">
        <v>60</v>
      </c>
      <c r="D550" s="6">
        <v>0</v>
      </c>
      <c r="E550" t="s">
        <v>1372</v>
      </c>
      <c r="F550" t="s">
        <v>56</v>
      </c>
      <c r="G550" t="s">
        <v>61</v>
      </c>
      <c r="H550" t="s">
        <v>1431</v>
      </c>
      <c r="I550" s="5">
        <v>27000</v>
      </c>
      <c r="J550" s="4">
        <v>-540</v>
      </c>
      <c r="L550" s="5">
        <v>26460</v>
      </c>
      <c r="M550" s="5">
        <v>2835</v>
      </c>
      <c r="N550" s="5">
        <v>23625</v>
      </c>
    </row>
    <row r="551" spans="1:14">
      <c r="A551" t="s">
        <v>1432</v>
      </c>
      <c r="B551" t="s">
        <v>1372</v>
      </c>
      <c r="C551" t="s">
        <v>29</v>
      </c>
      <c r="D551" s="6">
        <v>0</v>
      </c>
      <c r="E551" t="s">
        <v>1372</v>
      </c>
      <c r="F551" t="s">
        <v>30</v>
      </c>
      <c r="G551" t="s">
        <v>31</v>
      </c>
      <c r="H551" t="s">
        <v>1433</v>
      </c>
      <c r="I551" s="5">
        <v>40960</v>
      </c>
      <c r="L551" s="5">
        <v>40960</v>
      </c>
      <c r="M551" s="5">
        <v>4388.57</v>
      </c>
      <c r="N551" s="5">
        <v>36571.43</v>
      </c>
    </row>
    <row r="552" spans="1:14">
      <c r="A552" t="s">
        <v>1434</v>
      </c>
      <c r="B552" t="s">
        <v>1372</v>
      </c>
      <c r="C552" t="s">
        <v>29</v>
      </c>
      <c r="D552" s="6">
        <v>0</v>
      </c>
      <c r="E552" t="s">
        <v>1372</v>
      </c>
      <c r="F552" t="s">
        <v>30</v>
      </c>
      <c r="G552" t="s">
        <v>31</v>
      </c>
      <c r="H552" t="s">
        <v>1435</v>
      </c>
      <c r="I552" s="5">
        <v>3670</v>
      </c>
      <c r="L552" s="5">
        <v>3670</v>
      </c>
      <c r="M552" s="7">
        <v>393.21</v>
      </c>
      <c r="N552" s="5">
        <v>3276.79</v>
      </c>
    </row>
    <row r="553" spans="1:14">
      <c r="A553" t="s">
        <v>1436</v>
      </c>
      <c r="B553" t="s">
        <v>1372</v>
      </c>
      <c r="C553" t="s">
        <v>29</v>
      </c>
      <c r="D553" s="6">
        <v>0</v>
      </c>
      <c r="E553" t="s">
        <v>1372</v>
      </c>
      <c r="F553" t="s">
        <v>30</v>
      </c>
      <c r="G553" t="s">
        <v>31</v>
      </c>
      <c r="H553" t="s">
        <v>1437</v>
      </c>
      <c r="I553" s="5">
        <v>7250</v>
      </c>
      <c r="L553" s="5">
        <v>7250</v>
      </c>
      <c r="M553" s="7">
        <v>776.79</v>
      </c>
      <c r="N553" s="5">
        <v>6473.21</v>
      </c>
    </row>
    <row r="554" spans="1:14">
      <c r="A554" t="s">
        <v>1438</v>
      </c>
      <c r="B554" t="s">
        <v>1372</v>
      </c>
      <c r="C554" t="s">
        <v>73</v>
      </c>
      <c r="D554" s="6">
        <v>30</v>
      </c>
      <c r="E554" t="s">
        <v>1389</v>
      </c>
      <c r="F554" t="s">
        <v>270</v>
      </c>
      <c r="G554" t="s">
        <v>271</v>
      </c>
      <c r="H554" t="s">
        <v>1439</v>
      </c>
      <c r="I554" s="5">
        <v>33500</v>
      </c>
      <c r="L554" s="5">
        <v>33500</v>
      </c>
      <c r="N554" s="5">
        <v>33500</v>
      </c>
    </row>
    <row r="555" spans="1:14">
      <c r="A555" t="s">
        <v>1440</v>
      </c>
      <c r="B555" t="s">
        <v>1372</v>
      </c>
      <c r="C555" t="s">
        <v>73</v>
      </c>
      <c r="D555" s="6">
        <v>30</v>
      </c>
      <c r="E555" t="s">
        <v>1389</v>
      </c>
      <c r="F555" t="s">
        <v>270</v>
      </c>
      <c r="G555" t="s">
        <v>271</v>
      </c>
      <c r="H555" t="s">
        <v>1441</v>
      </c>
      <c r="I555" s="5">
        <v>20460</v>
      </c>
      <c r="L555" s="5">
        <v>20460</v>
      </c>
      <c r="N555" s="5">
        <v>20460</v>
      </c>
    </row>
    <row r="556" spans="1:14">
      <c r="A556" t="s">
        <v>1442</v>
      </c>
      <c r="B556" t="s">
        <v>1372</v>
      </c>
      <c r="C556" t="s">
        <v>73</v>
      </c>
      <c r="D556" s="6">
        <v>30</v>
      </c>
      <c r="E556" t="s">
        <v>1389</v>
      </c>
      <c r="F556" t="s">
        <v>270</v>
      </c>
      <c r="G556" t="s">
        <v>271</v>
      </c>
      <c r="H556" t="s">
        <v>1443</v>
      </c>
      <c r="I556" s="5">
        <v>1492</v>
      </c>
      <c r="L556" s="5">
        <v>1492</v>
      </c>
      <c r="N556" s="5">
        <v>1492</v>
      </c>
    </row>
    <row r="557" spans="1:14">
      <c r="A557" t="s">
        <v>1444</v>
      </c>
      <c r="B557" t="s">
        <v>1372</v>
      </c>
      <c r="C557" t="s">
        <v>73</v>
      </c>
      <c r="D557" s="6">
        <v>30</v>
      </c>
      <c r="E557" t="s">
        <v>1389</v>
      </c>
      <c r="F557" t="s">
        <v>270</v>
      </c>
      <c r="G557" t="s">
        <v>271</v>
      </c>
      <c r="H557" t="s">
        <v>1445</v>
      </c>
      <c r="I557" s="5">
        <v>67230</v>
      </c>
      <c r="L557" s="5">
        <v>67230</v>
      </c>
      <c r="N557" s="5">
        <v>67230</v>
      </c>
    </row>
    <row r="558" spans="1:14">
      <c r="A558" t="s">
        <v>1446</v>
      </c>
      <c r="B558" t="s">
        <v>1372</v>
      </c>
      <c r="C558" t="s">
        <v>73</v>
      </c>
      <c r="D558" s="6">
        <v>30</v>
      </c>
      <c r="E558" t="s">
        <v>1389</v>
      </c>
      <c r="F558" t="s">
        <v>270</v>
      </c>
      <c r="G558" t="s">
        <v>271</v>
      </c>
      <c r="H558" t="s">
        <v>1447</v>
      </c>
      <c r="I558" s="5">
        <v>14655</v>
      </c>
      <c r="L558" s="5">
        <v>14655</v>
      </c>
      <c r="N558" s="5">
        <v>14655</v>
      </c>
    </row>
    <row r="559" spans="1:14">
      <c r="A559" t="s">
        <v>1448</v>
      </c>
      <c r="B559" t="s">
        <v>1372</v>
      </c>
      <c r="C559" t="s">
        <v>73</v>
      </c>
      <c r="D559" s="6">
        <v>30</v>
      </c>
      <c r="E559" t="s">
        <v>1389</v>
      </c>
      <c r="F559" t="s">
        <v>270</v>
      </c>
      <c r="G559" t="s">
        <v>271</v>
      </c>
      <c r="H559" t="s">
        <v>1449</v>
      </c>
      <c r="I559" s="5">
        <v>2984</v>
      </c>
      <c r="L559" s="5">
        <v>2984</v>
      </c>
      <c r="N559" s="5">
        <v>2984</v>
      </c>
    </row>
    <row r="560" spans="1:14">
      <c r="A560" t="s">
        <v>1450</v>
      </c>
      <c r="B560" t="s">
        <v>1372</v>
      </c>
      <c r="C560" t="s">
        <v>68</v>
      </c>
      <c r="D560" s="6">
        <v>60</v>
      </c>
      <c r="E560" t="s">
        <v>1373</v>
      </c>
      <c r="F560" t="s">
        <v>69</v>
      </c>
      <c r="G560" t="s">
        <v>1025</v>
      </c>
      <c r="H560" t="s">
        <v>1451</v>
      </c>
      <c r="I560" s="5">
        <v>120150</v>
      </c>
      <c r="L560" s="5">
        <v>120150</v>
      </c>
      <c r="M560" s="5">
        <v>12873.21</v>
      </c>
      <c r="N560" s="5">
        <v>107276.79</v>
      </c>
    </row>
    <row r="561" spans="1:16">
      <c r="A561" t="s">
        <v>1452</v>
      </c>
      <c r="B561" t="s">
        <v>1372</v>
      </c>
      <c r="C561" t="s">
        <v>60</v>
      </c>
      <c r="D561" s="6">
        <v>0</v>
      </c>
      <c r="E561" t="s">
        <v>1372</v>
      </c>
      <c r="F561" t="s">
        <v>56</v>
      </c>
      <c r="G561" t="s">
        <v>605</v>
      </c>
      <c r="H561" t="s">
        <v>1453</v>
      </c>
      <c r="I561" s="5">
        <v>90409.05</v>
      </c>
      <c r="L561" s="5">
        <v>90409.05</v>
      </c>
      <c r="M561" s="5">
        <v>9686.68</v>
      </c>
      <c r="N561" s="5">
        <v>80722.37</v>
      </c>
    </row>
    <row r="562" spans="1:16">
      <c r="A562" t="s">
        <v>1454</v>
      </c>
      <c r="B562" t="s">
        <v>1372</v>
      </c>
      <c r="C562" t="s">
        <v>60</v>
      </c>
      <c r="D562" s="6">
        <v>0</v>
      </c>
      <c r="E562" t="s">
        <v>1372</v>
      </c>
      <c r="F562" t="s">
        <v>56</v>
      </c>
      <c r="G562" t="s">
        <v>605</v>
      </c>
      <c r="H562" t="s">
        <v>1455</v>
      </c>
      <c r="I562" s="5">
        <v>307545.40000000002</v>
      </c>
      <c r="L562" s="5">
        <v>307545.40000000002</v>
      </c>
      <c r="M562" s="5">
        <v>32951.29</v>
      </c>
      <c r="N562" s="5">
        <v>274594.11</v>
      </c>
    </row>
    <row r="563" spans="1:16">
      <c r="A563" t="s">
        <v>1456</v>
      </c>
      <c r="B563" t="s">
        <v>1372</v>
      </c>
      <c r="C563" t="s">
        <v>681</v>
      </c>
      <c r="D563" s="6">
        <v>0</v>
      </c>
      <c r="E563" t="s">
        <v>1372</v>
      </c>
      <c r="F563" t="s">
        <v>46</v>
      </c>
      <c r="G563" t="s">
        <v>682</v>
      </c>
      <c r="H563" t="s">
        <v>1457</v>
      </c>
      <c r="I563" s="5">
        <v>4970</v>
      </c>
      <c r="L563" s="5">
        <v>4970</v>
      </c>
      <c r="M563" s="7">
        <v>532.5</v>
      </c>
      <c r="N563" s="5">
        <v>4437.5</v>
      </c>
    </row>
    <row r="564" spans="1:16">
      <c r="A564" t="s">
        <v>1458</v>
      </c>
      <c r="B564" t="s">
        <v>1372</v>
      </c>
      <c r="C564" t="s">
        <v>681</v>
      </c>
      <c r="D564" s="6">
        <v>0</v>
      </c>
      <c r="E564" t="s">
        <v>1372</v>
      </c>
      <c r="F564" t="s">
        <v>46</v>
      </c>
      <c r="G564" t="s">
        <v>682</v>
      </c>
      <c r="H564" t="s">
        <v>1459</v>
      </c>
      <c r="I564" s="5">
        <v>27968</v>
      </c>
      <c r="L564" s="5">
        <v>27968</v>
      </c>
      <c r="M564" s="5">
        <v>2996.57</v>
      </c>
      <c r="N564" s="5">
        <v>24971.43</v>
      </c>
    </row>
    <row r="565" spans="1:16">
      <c r="A565" t="s">
        <v>1460</v>
      </c>
      <c r="B565" t="s">
        <v>1461</v>
      </c>
      <c r="C565" t="s">
        <v>60</v>
      </c>
      <c r="D565" s="6">
        <v>0</v>
      </c>
      <c r="E565" t="s">
        <v>1461</v>
      </c>
      <c r="F565" t="s">
        <v>56</v>
      </c>
      <c r="G565" t="s">
        <v>412</v>
      </c>
      <c r="H565" t="s">
        <v>1462</v>
      </c>
      <c r="I565" s="5">
        <v>35280</v>
      </c>
      <c r="L565" s="5">
        <v>35280</v>
      </c>
      <c r="M565" s="5">
        <v>3780</v>
      </c>
      <c r="N565" s="5">
        <v>31500</v>
      </c>
    </row>
    <row r="566" spans="1:16">
      <c r="A566" t="s">
        <v>1463</v>
      </c>
      <c r="B566" t="s">
        <v>1461</v>
      </c>
      <c r="C566" t="s">
        <v>681</v>
      </c>
      <c r="D566" s="6">
        <v>0</v>
      </c>
      <c r="E566" t="s">
        <v>1461</v>
      </c>
      <c r="F566" t="s">
        <v>30</v>
      </c>
      <c r="G566" t="s">
        <v>1464</v>
      </c>
      <c r="H566" t="s">
        <v>1465</v>
      </c>
      <c r="I566" s="5">
        <v>31056</v>
      </c>
      <c r="L566" s="5">
        <v>31056</v>
      </c>
      <c r="M566" s="5">
        <v>3327.43</v>
      </c>
      <c r="N566" s="5">
        <v>27728.57</v>
      </c>
    </row>
    <row r="567" spans="1:16">
      <c r="A567" t="s">
        <v>1466</v>
      </c>
      <c r="B567" t="s">
        <v>1467</v>
      </c>
      <c r="C567" t="s">
        <v>98</v>
      </c>
      <c r="D567" s="6">
        <v>0</v>
      </c>
      <c r="E567" t="s">
        <v>1467</v>
      </c>
      <c r="F567" t="s">
        <v>69</v>
      </c>
      <c r="G567" t="s">
        <v>99</v>
      </c>
      <c r="H567" t="s">
        <v>1468</v>
      </c>
      <c r="I567" s="5">
        <v>174050</v>
      </c>
      <c r="J567" s="4">
        <v>-5221.5</v>
      </c>
      <c r="L567" s="5">
        <v>168828.5</v>
      </c>
      <c r="M567" s="5">
        <v>18088.77</v>
      </c>
      <c r="N567" s="5">
        <v>150739.73000000001</v>
      </c>
    </row>
    <row r="568" spans="1:16">
      <c r="A568" t="s">
        <v>1469</v>
      </c>
      <c r="B568" t="s">
        <v>1467</v>
      </c>
      <c r="C568" t="s">
        <v>18</v>
      </c>
      <c r="D568" s="6">
        <v>0</v>
      </c>
      <c r="E568" t="s">
        <v>1467</v>
      </c>
      <c r="F568" t="s">
        <v>25</v>
      </c>
      <c r="G568" t="s">
        <v>1470</v>
      </c>
      <c r="H568" t="s">
        <v>1471</v>
      </c>
      <c r="I568" s="5">
        <v>107922</v>
      </c>
      <c r="K568" s="5">
        <v>7500</v>
      </c>
      <c r="L568" s="5">
        <v>115422</v>
      </c>
      <c r="M568" s="5">
        <v>12366.64</v>
      </c>
      <c r="N568" s="5">
        <v>103055.36</v>
      </c>
    </row>
    <row r="569" spans="1:16" s="10" customFormat="1">
      <c r="A569" s="10" t="s">
        <v>1472</v>
      </c>
      <c r="B569" s="10" t="s">
        <v>1467</v>
      </c>
      <c r="C569" s="10" t="s">
        <v>29</v>
      </c>
      <c r="D569" s="11">
        <v>0</v>
      </c>
      <c r="E569" s="10" t="s">
        <v>1467</v>
      </c>
      <c r="F569" s="10" t="s">
        <v>50</v>
      </c>
      <c r="G569" s="10" t="s">
        <v>51</v>
      </c>
      <c r="H569" s="10" t="s">
        <v>1473</v>
      </c>
      <c r="I569" s="9">
        <v>30168.18</v>
      </c>
      <c r="L569" s="9">
        <v>30168.18</v>
      </c>
      <c r="M569" s="9">
        <v>3232.31</v>
      </c>
      <c r="N569" s="9">
        <v>26935.87</v>
      </c>
      <c r="P569" s="10" t="s">
        <v>1767</v>
      </c>
    </row>
    <row r="570" spans="1:16">
      <c r="A570" t="s">
        <v>1474</v>
      </c>
      <c r="B570" t="s">
        <v>1467</v>
      </c>
      <c r="C570" t="s">
        <v>29</v>
      </c>
      <c r="D570" s="6">
        <v>0</v>
      </c>
      <c r="E570" t="s">
        <v>1467</v>
      </c>
      <c r="F570" t="s">
        <v>30</v>
      </c>
      <c r="G570" t="s">
        <v>218</v>
      </c>
      <c r="H570" t="s">
        <v>1475</v>
      </c>
      <c r="I570" s="5">
        <v>166560</v>
      </c>
      <c r="J570" s="4">
        <v>-4996.8</v>
      </c>
      <c r="L570" s="5">
        <v>161563.20000000001</v>
      </c>
      <c r="M570" s="5">
        <v>17310.34</v>
      </c>
      <c r="N570" s="5">
        <v>144252.85999999999</v>
      </c>
    </row>
    <row r="571" spans="1:16">
      <c r="A571" t="s">
        <v>1476</v>
      </c>
      <c r="B571" t="s">
        <v>1467</v>
      </c>
      <c r="C571" t="s">
        <v>29</v>
      </c>
      <c r="D571" s="6">
        <v>0</v>
      </c>
      <c r="E571" t="s">
        <v>1467</v>
      </c>
      <c r="F571" t="s">
        <v>30</v>
      </c>
      <c r="G571" t="s">
        <v>218</v>
      </c>
      <c r="H571" t="s">
        <v>1477</v>
      </c>
      <c r="I571" s="5">
        <v>41756</v>
      </c>
      <c r="J571" s="4">
        <v>-1252.68</v>
      </c>
      <c r="L571" s="5">
        <v>40503.32</v>
      </c>
      <c r="M571" s="5">
        <v>4339.6400000000003</v>
      </c>
      <c r="N571" s="5">
        <v>36163.68</v>
      </c>
    </row>
    <row r="572" spans="1:16">
      <c r="A572" t="s">
        <v>1478</v>
      </c>
      <c r="B572" t="s">
        <v>1467</v>
      </c>
      <c r="C572" t="s">
        <v>162</v>
      </c>
      <c r="D572" s="6">
        <v>90</v>
      </c>
      <c r="E572" t="s">
        <v>1479</v>
      </c>
      <c r="F572" t="s">
        <v>312</v>
      </c>
      <c r="G572" t="s">
        <v>313</v>
      </c>
      <c r="H572" t="s">
        <v>1480</v>
      </c>
      <c r="I572" s="5">
        <v>112896</v>
      </c>
      <c r="L572" s="5">
        <v>112896</v>
      </c>
      <c r="M572" s="5">
        <v>12096</v>
      </c>
      <c r="N572" s="5">
        <v>100800</v>
      </c>
    </row>
    <row r="573" spans="1:16">
      <c r="A573" t="s">
        <v>1481</v>
      </c>
      <c r="B573" t="s">
        <v>1467</v>
      </c>
      <c r="C573" t="s">
        <v>60</v>
      </c>
      <c r="D573" s="6">
        <v>0</v>
      </c>
      <c r="E573" t="s">
        <v>1467</v>
      </c>
      <c r="F573" t="s">
        <v>56</v>
      </c>
      <c r="G573" t="s">
        <v>996</v>
      </c>
      <c r="H573" t="s">
        <v>1482</v>
      </c>
      <c r="I573" s="5">
        <v>175280</v>
      </c>
      <c r="L573" s="5">
        <v>175280</v>
      </c>
      <c r="M573" s="5">
        <v>18780</v>
      </c>
      <c r="N573" s="5">
        <v>156500</v>
      </c>
    </row>
    <row r="574" spans="1:16">
      <c r="A574" t="s">
        <v>1483</v>
      </c>
      <c r="B574" t="s">
        <v>1467</v>
      </c>
      <c r="C574" t="s">
        <v>167</v>
      </c>
      <c r="D574" s="6">
        <v>90</v>
      </c>
      <c r="E574" t="s">
        <v>1479</v>
      </c>
      <c r="F574" t="s">
        <v>56</v>
      </c>
      <c r="G574" t="s">
        <v>168</v>
      </c>
      <c r="H574" t="s">
        <v>1484</v>
      </c>
      <c r="I574" s="5">
        <v>69380</v>
      </c>
      <c r="L574" s="5">
        <v>69380</v>
      </c>
      <c r="M574" s="5">
        <v>7433.57</v>
      </c>
      <c r="N574" s="5">
        <v>61946.43</v>
      </c>
    </row>
    <row r="575" spans="1:16">
      <c r="A575" t="s">
        <v>1485</v>
      </c>
      <c r="B575" t="s">
        <v>1467</v>
      </c>
      <c r="C575" t="s">
        <v>29</v>
      </c>
      <c r="D575" s="6">
        <v>0</v>
      </c>
      <c r="E575" t="s">
        <v>1467</v>
      </c>
      <c r="F575" t="s">
        <v>30</v>
      </c>
      <c r="G575" t="s">
        <v>31</v>
      </c>
      <c r="H575" t="s">
        <v>1486</v>
      </c>
      <c r="I575" s="5">
        <v>93896</v>
      </c>
      <c r="L575" s="5">
        <v>93896</v>
      </c>
      <c r="M575" s="5">
        <v>10060.290000000001</v>
      </c>
      <c r="N575" s="5">
        <v>83835.710000000006</v>
      </c>
    </row>
    <row r="576" spans="1:16">
      <c r="A576" t="s">
        <v>1487</v>
      </c>
      <c r="B576" t="s">
        <v>1467</v>
      </c>
      <c r="C576" t="s">
        <v>29</v>
      </c>
      <c r="D576" s="6">
        <v>0</v>
      </c>
      <c r="E576" t="s">
        <v>1467</v>
      </c>
      <c r="F576" t="s">
        <v>30</v>
      </c>
      <c r="G576" t="s">
        <v>31</v>
      </c>
      <c r="H576" t="s">
        <v>1488</v>
      </c>
      <c r="I576" s="5">
        <v>3492</v>
      </c>
      <c r="L576" s="5">
        <v>3492</v>
      </c>
      <c r="M576" s="7">
        <v>374.14</v>
      </c>
      <c r="N576" s="5">
        <v>3117.86</v>
      </c>
    </row>
    <row r="577" spans="1:14">
      <c r="A577" t="s">
        <v>1489</v>
      </c>
      <c r="B577" t="s">
        <v>1467</v>
      </c>
      <c r="C577" t="s">
        <v>29</v>
      </c>
      <c r="D577" s="6">
        <v>0</v>
      </c>
      <c r="E577" t="s">
        <v>1467</v>
      </c>
      <c r="F577" t="s">
        <v>30</v>
      </c>
      <c r="G577" t="s">
        <v>31</v>
      </c>
      <c r="H577" t="s">
        <v>1490</v>
      </c>
      <c r="I577" s="5">
        <v>124548</v>
      </c>
      <c r="L577" s="5">
        <v>124548</v>
      </c>
      <c r="M577" s="5">
        <v>13344.43</v>
      </c>
      <c r="N577" s="5">
        <v>111203.57</v>
      </c>
    </row>
    <row r="578" spans="1:14">
      <c r="A578" t="s">
        <v>1491</v>
      </c>
      <c r="B578" t="s">
        <v>1467</v>
      </c>
      <c r="C578" t="s">
        <v>73</v>
      </c>
      <c r="D578" s="6">
        <v>30</v>
      </c>
      <c r="E578" t="s">
        <v>1492</v>
      </c>
      <c r="F578" t="s">
        <v>56</v>
      </c>
      <c r="G578" t="s">
        <v>812</v>
      </c>
      <c r="H578" t="s">
        <v>1493</v>
      </c>
      <c r="I578" s="5">
        <v>217400</v>
      </c>
      <c r="L578" s="5">
        <v>217400</v>
      </c>
      <c r="M578" s="5">
        <v>23292.86</v>
      </c>
      <c r="N578" s="5">
        <v>194107.14</v>
      </c>
    </row>
    <row r="579" spans="1:14">
      <c r="A579" t="s">
        <v>1494</v>
      </c>
      <c r="B579" t="s">
        <v>1467</v>
      </c>
      <c r="C579" t="s">
        <v>237</v>
      </c>
      <c r="D579" s="6">
        <v>60</v>
      </c>
      <c r="E579" t="s">
        <v>1495</v>
      </c>
      <c r="F579" t="s">
        <v>139</v>
      </c>
      <c r="G579" t="s">
        <v>821</v>
      </c>
      <c r="H579" t="s">
        <v>1496</v>
      </c>
      <c r="I579" s="5">
        <v>35008</v>
      </c>
      <c r="L579" s="5">
        <v>35008</v>
      </c>
      <c r="M579" s="5">
        <v>3750.86</v>
      </c>
      <c r="N579" s="5">
        <v>31257.14</v>
      </c>
    </row>
    <row r="580" spans="1:14">
      <c r="A580" t="s">
        <v>1497</v>
      </c>
      <c r="B580" t="s">
        <v>1467</v>
      </c>
      <c r="C580" t="s">
        <v>237</v>
      </c>
      <c r="D580" s="6">
        <v>60</v>
      </c>
      <c r="E580" t="s">
        <v>1495</v>
      </c>
      <c r="F580" t="s">
        <v>139</v>
      </c>
      <c r="G580" t="s">
        <v>821</v>
      </c>
      <c r="H580" t="s">
        <v>1498</v>
      </c>
      <c r="I580" s="5">
        <v>17400</v>
      </c>
      <c r="L580" s="5">
        <v>17400</v>
      </c>
      <c r="M580" s="5">
        <v>1864.29</v>
      </c>
      <c r="N580" s="5">
        <v>15535.71</v>
      </c>
    </row>
    <row r="581" spans="1:14">
      <c r="A581" t="s">
        <v>1499</v>
      </c>
      <c r="B581" t="s">
        <v>1467</v>
      </c>
      <c r="C581" t="s">
        <v>237</v>
      </c>
      <c r="D581" s="6">
        <v>60</v>
      </c>
      <c r="E581" t="s">
        <v>1495</v>
      </c>
      <c r="F581" t="s">
        <v>139</v>
      </c>
      <c r="G581" t="s">
        <v>821</v>
      </c>
      <c r="H581" t="s">
        <v>1500</v>
      </c>
      <c r="I581" s="5">
        <v>26320</v>
      </c>
      <c r="L581" s="5">
        <v>26320</v>
      </c>
      <c r="M581" s="5">
        <v>2820</v>
      </c>
      <c r="N581" s="5">
        <v>23500</v>
      </c>
    </row>
    <row r="582" spans="1:14">
      <c r="A582" t="s">
        <v>1501</v>
      </c>
      <c r="B582" t="s">
        <v>1467</v>
      </c>
      <c r="C582" t="s">
        <v>237</v>
      </c>
      <c r="D582" s="6">
        <v>60</v>
      </c>
      <c r="E582" t="s">
        <v>1495</v>
      </c>
      <c r="F582" t="s">
        <v>139</v>
      </c>
      <c r="G582" t="s">
        <v>821</v>
      </c>
      <c r="H582" t="s">
        <v>1502</v>
      </c>
      <c r="I582" s="5">
        <v>12105</v>
      </c>
      <c r="L582" s="5">
        <v>12105</v>
      </c>
      <c r="M582" s="5">
        <v>1296.96</v>
      </c>
      <c r="N582" s="5">
        <v>10808.04</v>
      </c>
    </row>
    <row r="583" spans="1:14">
      <c r="A583" t="s">
        <v>1503</v>
      </c>
      <c r="B583" t="s">
        <v>1467</v>
      </c>
      <c r="C583" t="s">
        <v>237</v>
      </c>
      <c r="D583" s="6">
        <v>60</v>
      </c>
      <c r="E583" t="s">
        <v>1495</v>
      </c>
      <c r="F583" t="s">
        <v>139</v>
      </c>
      <c r="G583" t="s">
        <v>821</v>
      </c>
      <c r="H583" t="s">
        <v>1504</v>
      </c>
      <c r="I583" s="5">
        <v>6725</v>
      </c>
      <c r="L583" s="5">
        <v>6725</v>
      </c>
      <c r="M583" s="7">
        <v>720.54</v>
      </c>
      <c r="N583" s="5">
        <v>6004.46</v>
      </c>
    </row>
    <row r="584" spans="1:14">
      <c r="A584" t="s">
        <v>1505</v>
      </c>
      <c r="B584" t="s">
        <v>1467</v>
      </c>
      <c r="C584" t="s">
        <v>237</v>
      </c>
      <c r="D584" s="6">
        <v>60</v>
      </c>
      <c r="E584" t="s">
        <v>1495</v>
      </c>
      <c r="F584" t="s">
        <v>139</v>
      </c>
      <c r="G584" t="s">
        <v>821</v>
      </c>
      <c r="H584" t="s">
        <v>1506</v>
      </c>
      <c r="I584" s="5">
        <v>150337</v>
      </c>
      <c r="L584" s="5">
        <v>150337</v>
      </c>
      <c r="M584" s="5">
        <v>16107.54</v>
      </c>
      <c r="N584" s="5">
        <v>134229.46</v>
      </c>
    </row>
    <row r="585" spans="1:14">
      <c r="A585" t="s">
        <v>1507</v>
      </c>
      <c r="B585" t="s">
        <v>1467</v>
      </c>
      <c r="C585" t="s">
        <v>29</v>
      </c>
      <c r="D585" s="6">
        <v>0</v>
      </c>
      <c r="E585" t="s">
        <v>1467</v>
      </c>
      <c r="F585" t="s">
        <v>30</v>
      </c>
      <c r="G585" t="s">
        <v>31</v>
      </c>
      <c r="H585" t="s">
        <v>1508</v>
      </c>
      <c r="I585" s="5">
        <v>24000</v>
      </c>
      <c r="L585" s="5">
        <v>24000</v>
      </c>
      <c r="M585" s="5">
        <v>2571.4299999999998</v>
      </c>
      <c r="N585" s="5">
        <v>21428.57</v>
      </c>
    </row>
    <row r="586" spans="1:14">
      <c r="A586" t="s">
        <v>1509</v>
      </c>
      <c r="B586" t="s">
        <v>1467</v>
      </c>
      <c r="C586" t="s">
        <v>29</v>
      </c>
      <c r="D586" s="6">
        <v>0</v>
      </c>
      <c r="E586" t="s">
        <v>1467</v>
      </c>
      <c r="F586" t="s">
        <v>30</v>
      </c>
      <c r="G586" t="s">
        <v>31</v>
      </c>
      <c r="H586" t="s">
        <v>1510</v>
      </c>
      <c r="I586" s="5">
        <v>77690</v>
      </c>
      <c r="L586" s="5">
        <v>77690</v>
      </c>
      <c r="M586" s="5">
        <v>8323.93</v>
      </c>
      <c r="N586" s="5">
        <v>69366.070000000007</v>
      </c>
    </row>
    <row r="587" spans="1:14">
      <c r="A587" t="s">
        <v>1511</v>
      </c>
      <c r="B587" t="s">
        <v>1467</v>
      </c>
      <c r="C587" t="s">
        <v>29</v>
      </c>
      <c r="D587" s="6">
        <v>0</v>
      </c>
      <c r="E587" t="s">
        <v>1467</v>
      </c>
      <c r="F587" t="s">
        <v>30</v>
      </c>
      <c r="G587" t="s">
        <v>31</v>
      </c>
      <c r="H587" t="s">
        <v>1512</v>
      </c>
      <c r="I587" s="5">
        <v>2080</v>
      </c>
      <c r="L587" s="5">
        <v>2080</v>
      </c>
      <c r="M587" s="7">
        <v>222.86</v>
      </c>
      <c r="N587" s="5">
        <v>1857.14</v>
      </c>
    </row>
    <row r="588" spans="1:14">
      <c r="A588" t="s">
        <v>1513</v>
      </c>
      <c r="B588" t="s">
        <v>1467</v>
      </c>
      <c r="C588" t="s">
        <v>29</v>
      </c>
      <c r="D588" s="6">
        <v>0</v>
      </c>
      <c r="E588" t="s">
        <v>1467</v>
      </c>
      <c r="F588" t="s">
        <v>30</v>
      </c>
      <c r="G588" t="s">
        <v>31</v>
      </c>
      <c r="H588" t="s">
        <v>1514</v>
      </c>
      <c r="I588" s="5">
        <v>2400</v>
      </c>
      <c r="L588" s="5">
        <v>2400</v>
      </c>
      <c r="M588" s="7">
        <v>257.14</v>
      </c>
      <c r="N588" s="5">
        <v>2142.86</v>
      </c>
    </row>
    <row r="589" spans="1:14">
      <c r="A589" t="s">
        <v>1515</v>
      </c>
      <c r="B589" t="s">
        <v>1467</v>
      </c>
      <c r="C589" t="s">
        <v>60</v>
      </c>
      <c r="D589" s="6">
        <v>0</v>
      </c>
      <c r="E589" t="s">
        <v>1467</v>
      </c>
      <c r="F589" t="s">
        <v>56</v>
      </c>
      <c r="G589" t="s">
        <v>61</v>
      </c>
      <c r="H589" t="s">
        <v>1516</v>
      </c>
      <c r="I589" s="5">
        <v>25770</v>
      </c>
      <c r="J589" s="4">
        <v>-515.4</v>
      </c>
      <c r="L589" s="5">
        <v>25254.6</v>
      </c>
      <c r="M589" s="5">
        <v>2705.85</v>
      </c>
      <c r="N589" s="5">
        <v>22548.75</v>
      </c>
    </row>
    <row r="590" spans="1:14">
      <c r="A590" t="s">
        <v>1517</v>
      </c>
      <c r="B590" t="s">
        <v>1467</v>
      </c>
      <c r="C590" t="s">
        <v>151</v>
      </c>
      <c r="D590" s="6">
        <v>60</v>
      </c>
      <c r="E590" t="s">
        <v>1495</v>
      </c>
      <c r="F590" t="s">
        <v>69</v>
      </c>
      <c r="G590" t="s">
        <v>1518</v>
      </c>
      <c r="H590" t="s">
        <v>1519</v>
      </c>
      <c r="I590" s="5">
        <v>159600</v>
      </c>
      <c r="L590" s="5">
        <v>159600</v>
      </c>
      <c r="M590" s="5">
        <v>17100</v>
      </c>
      <c r="N590" s="5">
        <v>142500</v>
      </c>
    </row>
    <row r="591" spans="1:14">
      <c r="A591" t="s">
        <v>1520</v>
      </c>
      <c r="B591" t="s">
        <v>1467</v>
      </c>
      <c r="C591" t="s">
        <v>60</v>
      </c>
      <c r="D591" s="6">
        <v>0</v>
      </c>
      <c r="E591" t="s">
        <v>1467</v>
      </c>
      <c r="F591" t="s">
        <v>56</v>
      </c>
      <c r="G591" t="s">
        <v>605</v>
      </c>
      <c r="H591" t="s">
        <v>1521</v>
      </c>
      <c r="I591" s="5">
        <v>305999.76</v>
      </c>
      <c r="L591" s="5">
        <v>305999.76</v>
      </c>
      <c r="M591" s="5">
        <v>32785.69</v>
      </c>
      <c r="N591" s="5">
        <v>273214.07</v>
      </c>
    </row>
    <row r="592" spans="1:14">
      <c r="A592" t="s">
        <v>1522</v>
      </c>
      <c r="B592" t="s">
        <v>1467</v>
      </c>
      <c r="C592" t="s">
        <v>162</v>
      </c>
      <c r="D592" s="6">
        <v>90</v>
      </c>
      <c r="E592" t="s">
        <v>1479</v>
      </c>
      <c r="F592" t="s">
        <v>759</v>
      </c>
      <c r="G592" t="s">
        <v>763</v>
      </c>
      <c r="H592" t="s">
        <v>1523</v>
      </c>
      <c r="I592" s="5">
        <v>736428</v>
      </c>
      <c r="L592" s="5">
        <v>736428</v>
      </c>
      <c r="M592" s="5">
        <v>78903</v>
      </c>
      <c r="N592" s="5">
        <v>657525</v>
      </c>
    </row>
    <row r="593" spans="1:14">
      <c r="A593" t="s">
        <v>1524</v>
      </c>
      <c r="B593" t="s">
        <v>1467</v>
      </c>
      <c r="C593" t="s">
        <v>162</v>
      </c>
      <c r="D593" s="6">
        <v>90</v>
      </c>
      <c r="E593" t="s">
        <v>1479</v>
      </c>
      <c r="F593" t="s">
        <v>204</v>
      </c>
      <c r="G593" t="s">
        <v>399</v>
      </c>
      <c r="H593" t="s">
        <v>1525</v>
      </c>
      <c r="I593" s="5">
        <v>27447</v>
      </c>
      <c r="L593" s="5">
        <v>27447</v>
      </c>
      <c r="M593" s="5">
        <v>2940.75</v>
      </c>
      <c r="N593" s="5">
        <v>24506.25</v>
      </c>
    </row>
    <row r="594" spans="1:14">
      <c r="A594" t="s">
        <v>1526</v>
      </c>
      <c r="B594" t="s">
        <v>1467</v>
      </c>
      <c r="C594" t="s">
        <v>162</v>
      </c>
      <c r="D594" s="6">
        <v>90</v>
      </c>
      <c r="E594" t="s">
        <v>1479</v>
      </c>
      <c r="F594" t="s">
        <v>204</v>
      </c>
      <c r="G594" t="s">
        <v>399</v>
      </c>
      <c r="H594" t="s">
        <v>1527</v>
      </c>
      <c r="I594" s="5">
        <v>54544</v>
      </c>
      <c r="L594" s="5">
        <v>54544</v>
      </c>
      <c r="M594" s="5">
        <v>5844</v>
      </c>
      <c r="N594" s="5">
        <v>48700</v>
      </c>
    </row>
    <row r="595" spans="1:14">
      <c r="A595" t="s">
        <v>1528</v>
      </c>
      <c r="B595" t="s">
        <v>1467</v>
      </c>
      <c r="C595" t="s">
        <v>162</v>
      </c>
      <c r="D595" s="6">
        <v>90</v>
      </c>
      <c r="E595" t="s">
        <v>1479</v>
      </c>
      <c r="F595" t="s">
        <v>204</v>
      </c>
      <c r="G595" t="s">
        <v>399</v>
      </c>
      <c r="H595" t="s">
        <v>1529</v>
      </c>
      <c r="I595" s="5">
        <v>26775</v>
      </c>
      <c r="L595" s="5">
        <v>26775</v>
      </c>
      <c r="M595" s="5">
        <v>2868.75</v>
      </c>
      <c r="N595" s="5">
        <v>23906.25</v>
      </c>
    </row>
    <row r="596" spans="1:14">
      <c r="A596" t="s">
        <v>1530</v>
      </c>
      <c r="B596" t="s">
        <v>1467</v>
      </c>
      <c r="C596" t="s">
        <v>60</v>
      </c>
      <c r="D596" s="6">
        <v>0</v>
      </c>
      <c r="E596" t="s">
        <v>1467</v>
      </c>
      <c r="F596" t="s">
        <v>56</v>
      </c>
      <c r="G596" t="s">
        <v>61</v>
      </c>
      <c r="H596" t="s">
        <v>1531</v>
      </c>
      <c r="I596" s="5">
        <v>25770</v>
      </c>
      <c r="J596" s="4">
        <v>-515.4</v>
      </c>
      <c r="L596" s="5">
        <v>25254.6</v>
      </c>
      <c r="M596" s="5">
        <v>2705.85</v>
      </c>
      <c r="N596" s="5">
        <v>22548.75</v>
      </c>
    </row>
    <row r="597" spans="1:14">
      <c r="A597" t="s">
        <v>1532</v>
      </c>
      <c r="B597" t="s">
        <v>1467</v>
      </c>
      <c r="C597" t="s">
        <v>151</v>
      </c>
      <c r="D597" s="6">
        <v>60</v>
      </c>
      <c r="E597" t="s">
        <v>1495</v>
      </c>
      <c r="F597" t="s">
        <v>19</v>
      </c>
      <c r="G597" t="s">
        <v>678</v>
      </c>
      <c r="H597" t="s">
        <v>1533</v>
      </c>
      <c r="I597" s="5">
        <v>26000</v>
      </c>
      <c r="L597" s="5">
        <v>26000</v>
      </c>
      <c r="M597" s="5">
        <v>2785.71</v>
      </c>
      <c r="N597" s="5">
        <v>23214.29</v>
      </c>
    </row>
    <row r="598" spans="1:14">
      <c r="A598" t="s">
        <v>1534</v>
      </c>
      <c r="B598" t="s">
        <v>1467</v>
      </c>
      <c r="C598" t="s">
        <v>29</v>
      </c>
      <c r="D598" s="6">
        <v>0</v>
      </c>
      <c r="E598" t="s">
        <v>1467</v>
      </c>
      <c r="F598" t="s">
        <v>30</v>
      </c>
      <c r="G598" t="s">
        <v>155</v>
      </c>
      <c r="H598" t="s">
        <v>1535</v>
      </c>
      <c r="I598" s="5">
        <v>67200</v>
      </c>
      <c r="L598" s="5">
        <v>67200</v>
      </c>
      <c r="M598" s="5">
        <v>7200</v>
      </c>
      <c r="N598" s="5">
        <v>60000</v>
      </c>
    </row>
    <row r="599" spans="1:14">
      <c r="A599" t="s">
        <v>1536</v>
      </c>
      <c r="B599" t="s">
        <v>1467</v>
      </c>
      <c r="C599" t="s">
        <v>29</v>
      </c>
      <c r="D599" s="6">
        <v>0</v>
      </c>
      <c r="E599" t="s">
        <v>1467</v>
      </c>
      <c r="F599" t="s">
        <v>30</v>
      </c>
      <c r="G599" t="s">
        <v>31</v>
      </c>
      <c r="H599" t="s">
        <v>1537</v>
      </c>
      <c r="I599" s="5">
        <v>112032</v>
      </c>
      <c r="L599" s="5">
        <v>112032</v>
      </c>
      <c r="M599" s="5">
        <v>12003.43</v>
      </c>
      <c r="N599" s="5">
        <v>100028.57</v>
      </c>
    </row>
    <row r="600" spans="1:14">
      <c r="A600" t="s">
        <v>1538</v>
      </c>
      <c r="B600" t="s">
        <v>1467</v>
      </c>
      <c r="C600" t="s">
        <v>29</v>
      </c>
      <c r="D600" s="6">
        <v>0</v>
      </c>
      <c r="E600" t="s">
        <v>1467</v>
      </c>
      <c r="F600" t="s">
        <v>30</v>
      </c>
      <c r="G600" t="s">
        <v>155</v>
      </c>
      <c r="H600" t="s">
        <v>1539</v>
      </c>
      <c r="I600" s="5">
        <v>13775</v>
      </c>
      <c r="L600" s="5">
        <v>13775</v>
      </c>
      <c r="M600" s="5">
        <v>1475.89</v>
      </c>
      <c r="N600" s="5">
        <v>12299.11</v>
      </c>
    </row>
    <row r="601" spans="1:14">
      <c r="A601" t="s">
        <v>1540</v>
      </c>
      <c r="B601" t="s">
        <v>1467</v>
      </c>
      <c r="C601" t="s">
        <v>29</v>
      </c>
      <c r="D601" s="6">
        <v>0</v>
      </c>
      <c r="E601" t="s">
        <v>1467</v>
      </c>
      <c r="F601" t="s">
        <v>30</v>
      </c>
      <c r="G601" t="s">
        <v>31</v>
      </c>
      <c r="H601" t="s">
        <v>1541</v>
      </c>
      <c r="I601" s="5">
        <v>47600</v>
      </c>
      <c r="L601" s="5">
        <v>47600</v>
      </c>
      <c r="M601" s="5">
        <v>5100</v>
      </c>
      <c r="N601" s="5">
        <v>42500</v>
      </c>
    </row>
    <row r="602" spans="1:14">
      <c r="A602" t="s">
        <v>1542</v>
      </c>
      <c r="B602" t="s">
        <v>1467</v>
      </c>
      <c r="C602" t="s">
        <v>29</v>
      </c>
      <c r="D602" s="6">
        <v>0</v>
      </c>
      <c r="E602" t="s">
        <v>1467</v>
      </c>
      <c r="F602" t="s">
        <v>30</v>
      </c>
      <c r="G602" t="s">
        <v>155</v>
      </c>
      <c r="H602" t="s">
        <v>1543</v>
      </c>
      <c r="I602" s="5">
        <v>22175</v>
      </c>
      <c r="L602" s="5">
        <v>22175</v>
      </c>
      <c r="M602" s="5">
        <v>2375.89</v>
      </c>
      <c r="N602" s="5">
        <v>19799.11</v>
      </c>
    </row>
    <row r="603" spans="1:14">
      <c r="A603" t="s">
        <v>1544</v>
      </c>
      <c r="B603" t="s">
        <v>1467</v>
      </c>
      <c r="C603" t="s">
        <v>29</v>
      </c>
      <c r="D603" s="6">
        <v>0</v>
      </c>
      <c r="E603" t="s">
        <v>1467</v>
      </c>
      <c r="F603" t="s">
        <v>30</v>
      </c>
      <c r="G603" t="s">
        <v>31</v>
      </c>
      <c r="H603" t="s">
        <v>1545</v>
      </c>
      <c r="I603" s="5">
        <v>12600</v>
      </c>
      <c r="L603" s="5">
        <v>12600</v>
      </c>
      <c r="M603" s="5">
        <v>1350</v>
      </c>
      <c r="N603" s="5">
        <v>11250</v>
      </c>
    </row>
    <row r="604" spans="1:14">
      <c r="A604" t="s">
        <v>1546</v>
      </c>
      <c r="B604" t="s">
        <v>1467</v>
      </c>
      <c r="C604" t="s">
        <v>29</v>
      </c>
      <c r="D604" s="6">
        <v>0</v>
      </c>
      <c r="E604" t="s">
        <v>1467</v>
      </c>
      <c r="F604" t="s">
        <v>30</v>
      </c>
      <c r="G604" t="s">
        <v>31</v>
      </c>
      <c r="H604" t="s">
        <v>1547</v>
      </c>
      <c r="I604" s="5">
        <v>2600</v>
      </c>
      <c r="L604" s="5">
        <v>2600</v>
      </c>
      <c r="M604" s="7">
        <v>278.57</v>
      </c>
      <c r="N604" s="5">
        <v>2321.4299999999998</v>
      </c>
    </row>
    <row r="605" spans="1:14">
      <c r="A605" t="s">
        <v>1548</v>
      </c>
      <c r="B605" t="s">
        <v>1467</v>
      </c>
      <c r="C605" t="s">
        <v>29</v>
      </c>
      <c r="D605" s="6">
        <v>0</v>
      </c>
      <c r="E605" t="s">
        <v>1467</v>
      </c>
      <c r="F605" t="s">
        <v>30</v>
      </c>
      <c r="G605" t="s">
        <v>31</v>
      </c>
      <c r="H605" t="s">
        <v>1549</v>
      </c>
      <c r="I605" s="5">
        <v>32250</v>
      </c>
      <c r="L605" s="5">
        <v>32250</v>
      </c>
      <c r="M605" s="5">
        <v>3455.36</v>
      </c>
      <c r="N605" s="5">
        <v>28794.639999999999</v>
      </c>
    </row>
    <row r="606" spans="1:14">
      <c r="A606" t="s">
        <v>1550</v>
      </c>
      <c r="B606" t="s">
        <v>1467</v>
      </c>
      <c r="C606" t="s">
        <v>68</v>
      </c>
      <c r="D606" s="6">
        <v>60</v>
      </c>
      <c r="E606" t="s">
        <v>1495</v>
      </c>
      <c r="F606" t="s">
        <v>69</v>
      </c>
      <c r="G606" t="s">
        <v>70</v>
      </c>
      <c r="H606" t="s">
        <v>1551</v>
      </c>
      <c r="I606" s="5">
        <v>2419200</v>
      </c>
      <c r="L606" s="5">
        <v>2419200</v>
      </c>
      <c r="M606" s="5">
        <v>259200</v>
      </c>
      <c r="N606" s="5">
        <v>2160000</v>
      </c>
    </row>
    <row r="607" spans="1:14">
      <c r="A607" t="s">
        <v>1552</v>
      </c>
      <c r="B607" t="s">
        <v>1553</v>
      </c>
      <c r="C607" t="s">
        <v>167</v>
      </c>
      <c r="D607" s="6">
        <v>90</v>
      </c>
      <c r="E607" t="s">
        <v>1554</v>
      </c>
      <c r="F607" t="s">
        <v>56</v>
      </c>
      <c r="G607" t="s">
        <v>168</v>
      </c>
      <c r="H607" t="s">
        <v>1555</v>
      </c>
      <c r="I607" s="5">
        <v>776544</v>
      </c>
      <c r="L607" s="5">
        <v>776544</v>
      </c>
      <c r="M607" s="5">
        <v>83201.14</v>
      </c>
      <c r="N607" s="5">
        <v>693342.86</v>
      </c>
    </row>
    <row r="608" spans="1:14">
      <c r="A608" t="s">
        <v>1556</v>
      </c>
      <c r="B608" t="s">
        <v>1553</v>
      </c>
      <c r="C608" t="s">
        <v>151</v>
      </c>
      <c r="D608" s="6">
        <v>60</v>
      </c>
      <c r="E608" t="s">
        <v>1557</v>
      </c>
      <c r="F608" t="s">
        <v>69</v>
      </c>
      <c r="G608" t="s">
        <v>1518</v>
      </c>
      <c r="H608" t="s">
        <v>1558</v>
      </c>
      <c r="I608" s="5">
        <v>231000</v>
      </c>
      <c r="L608" s="5">
        <v>231000</v>
      </c>
      <c r="M608" s="5">
        <v>24750</v>
      </c>
      <c r="N608" s="5">
        <v>206250</v>
      </c>
    </row>
    <row r="609" spans="1:14">
      <c r="A609" t="s">
        <v>1559</v>
      </c>
      <c r="B609" t="s">
        <v>1553</v>
      </c>
      <c r="C609" t="s">
        <v>146</v>
      </c>
      <c r="D609" s="6">
        <v>90</v>
      </c>
      <c r="E609" t="s">
        <v>1554</v>
      </c>
      <c r="F609" t="s">
        <v>139</v>
      </c>
      <c r="G609" t="s">
        <v>1560</v>
      </c>
      <c r="H609" t="s">
        <v>1561</v>
      </c>
      <c r="I609" s="5">
        <v>272703</v>
      </c>
      <c r="L609" s="5">
        <v>272703</v>
      </c>
      <c r="M609" s="5">
        <v>29218.18</v>
      </c>
      <c r="N609" s="5">
        <v>243484.82</v>
      </c>
    </row>
    <row r="610" spans="1:14">
      <c r="A610" t="s">
        <v>1562</v>
      </c>
      <c r="B610" t="s">
        <v>1553</v>
      </c>
      <c r="C610" t="s">
        <v>1563</v>
      </c>
      <c r="D610" s="6">
        <v>45</v>
      </c>
      <c r="E610" t="s">
        <v>692</v>
      </c>
      <c r="F610" t="s">
        <v>139</v>
      </c>
      <c r="G610" t="s">
        <v>1564</v>
      </c>
      <c r="H610" t="s">
        <v>1565</v>
      </c>
      <c r="I610" s="5">
        <v>164075</v>
      </c>
      <c r="L610" s="5">
        <v>164075</v>
      </c>
      <c r="M610" s="5">
        <v>17579.46</v>
      </c>
      <c r="N610" s="5">
        <v>146495.54</v>
      </c>
    </row>
    <row r="611" spans="1:14">
      <c r="A611" t="s">
        <v>1566</v>
      </c>
      <c r="B611" t="s">
        <v>1553</v>
      </c>
      <c r="C611" t="s">
        <v>151</v>
      </c>
      <c r="D611" s="6">
        <v>60</v>
      </c>
      <c r="E611" t="s">
        <v>1557</v>
      </c>
      <c r="F611" t="s">
        <v>36</v>
      </c>
      <c r="G611" t="s">
        <v>187</v>
      </c>
      <c r="H611" t="s">
        <v>1567</v>
      </c>
      <c r="I611" s="5">
        <v>24544</v>
      </c>
      <c r="L611" s="5">
        <v>24544</v>
      </c>
      <c r="M611" s="5">
        <v>2629.71</v>
      </c>
      <c r="N611" s="5">
        <v>21914.29</v>
      </c>
    </row>
    <row r="612" spans="1:14">
      <c r="A612" t="s">
        <v>1568</v>
      </c>
      <c r="B612" t="s">
        <v>1553</v>
      </c>
      <c r="C612" t="s">
        <v>369</v>
      </c>
      <c r="D612" s="6">
        <v>30</v>
      </c>
      <c r="E612" t="s">
        <v>1569</v>
      </c>
      <c r="F612" t="s">
        <v>139</v>
      </c>
      <c r="G612" t="s">
        <v>371</v>
      </c>
      <c r="H612" t="s">
        <v>1570</v>
      </c>
      <c r="I612" s="5">
        <v>96530</v>
      </c>
      <c r="L612" s="5">
        <v>96530</v>
      </c>
      <c r="M612" s="5">
        <v>10342.5</v>
      </c>
      <c r="N612" s="5">
        <v>86187.5</v>
      </c>
    </row>
    <row r="613" spans="1:14">
      <c r="A613" t="s">
        <v>1571</v>
      </c>
      <c r="B613" t="s">
        <v>1553</v>
      </c>
      <c r="C613" t="s">
        <v>369</v>
      </c>
      <c r="D613" s="6">
        <v>30</v>
      </c>
      <c r="E613" t="s">
        <v>1569</v>
      </c>
      <c r="F613" t="s">
        <v>139</v>
      </c>
      <c r="G613" t="s">
        <v>371</v>
      </c>
      <c r="H613" t="s">
        <v>1572</v>
      </c>
      <c r="I613" s="5">
        <v>138347</v>
      </c>
      <c r="L613" s="5">
        <v>138347</v>
      </c>
      <c r="M613" s="5">
        <v>14822.89</v>
      </c>
      <c r="N613" s="5">
        <v>123524.11</v>
      </c>
    </row>
    <row r="614" spans="1:14">
      <c r="A614" t="s">
        <v>1573</v>
      </c>
      <c r="B614" t="s">
        <v>1553</v>
      </c>
      <c r="C614" t="s">
        <v>18</v>
      </c>
      <c r="D614" s="6">
        <v>0</v>
      </c>
      <c r="E614" t="s">
        <v>1553</v>
      </c>
      <c r="F614" t="s">
        <v>270</v>
      </c>
      <c r="G614" t="s">
        <v>70</v>
      </c>
      <c r="H614" t="s">
        <v>1574</v>
      </c>
      <c r="I614" s="5">
        <v>24540</v>
      </c>
      <c r="L614" s="5">
        <v>24540</v>
      </c>
      <c r="M614" s="5">
        <v>2629.29</v>
      </c>
      <c r="N614" s="5">
        <v>21910.71</v>
      </c>
    </row>
    <row r="615" spans="1:14">
      <c r="A615" t="s">
        <v>1575</v>
      </c>
      <c r="B615" t="s">
        <v>1553</v>
      </c>
      <c r="C615" t="s">
        <v>658</v>
      </c>
      <c r="D615" s="6">
        <v>60</v>
      </c>
      <c r="E615" t="s">
        <v>1557</v>
      </c>
      <c r="F615" t="s">
        <v>46</v>
      </c>
      <c r="G615" t="s">
        <v>787</v>
      </c>
      <c r="H615" t="s">
        <v>1576</v>
      </c>
      <c r="I615" s="5">
        <v>45666</v>
      </c>
      <c r="L615" s="5">
        <v>45666</v>
      </c>
      <c r="M615" s="5">
        <v>4892.79</v>
      </c>
      <c r="N615" s="5">
        <v>40773.21</v>
      </c>
    </row>
    <row r="616" spans="1:14">
      <c r="A616" t="s">
        <v>1577</v>
      </c>
      <c r="B616" t="s">
        <v>1553</v>
      </c>
      <c r="C616" t="s">
        <v>73</v>
      </c>
      <c r="D616" s="6">
        <v>30</v>
      </c>
      <c r="E616" t="s">
        <v>1569</v>
      </c>
      <c r="F616" t="s">
        <v>56</v>
      </c>
      <c r="G616" t="s">
        <v>812</v>
      </c>
      <c r="H616" t="s">
        <v>1578</v>
      </c>
      <c r="I616" s="5">
        <v>33964</v>
      </c>
      <c r="L616" s="5">
        <v>33964</v>
      </c>
      <c r="M616" s="5">
        <v>3639</v>
      </c>
      <c r="N616" s="5">
        <v>30325</v>
      </c>
    </row>
    <row r="617" spans="1:14">
      <c r="A617" t="s">
        <v>1579</v>
      </c>
      <c r="B617" t="s">
        <v>1553</v>
      </c>
      <c r="C617" t="s">
        <v>146</v>
      </c>
      <c r="D617" s="6">
        <v>90</v>
      </c>
      <c r="E617" t="s">
        <v>1554</v>
      </c>
      <c r="F617" t="s">
        <v>759</v>
      </c>
      <c r="G617" t="s">
        <v>1580</v>
      </c>
      <c r="H617" t="s">
        <v>1581</v>
      </c>
      <c r="I617" s="5">
        <v>2105000</v>
      </c>
      <c r="L617" s="5">
        <v>2105000</v>
      </c>
      <c r="M617" s="5">
        <v>225535.71</v>
      </c>
      <c r="N617" s="5">
        <v>1879464.29</v>
      </c>
    </row>
    <row r="618" spans="1:14">
      <c r="A618" t="s">
        <v>1582</v>
      </c>
      <c r="B618" t="s">
        <v>1553</v>
      </c>
      <c r="C618" t="s">
        <v>146</v>
      </c>
      <c r="D618" s="6">
        <v>90</v>
      </c>
      <c r="E618" t="s">
        <v>1554</v>
      </c>
      <c r="F618" t="s">
        <v>759</v>
      </c>
      <c r="G618" t="s">
        <v>1580</v>
      </c>
      <c r="H618" t="s">
        <v>1583</v>
      </c>
      <c r="I618" s="5">
        <v>1496900</v>
      </c>
      <c r="L618" s="5">
        <v>1496900</v>
      </c>
      <c r="M618" s="5">
        <v>160382.14000000001</v>
      </c>
      <c r="N618" s="5">
        <v>1336517.8600000001</v>
      </c>
    </row>
    <row r="619" spans="1:14">
      <c r="A619" t="s">
        <v>1584</v>
      </c>
      <c r="B619" t="s">
        <v>1553</v>
      </c>
      <c r="C619" t="s">
        <v>23</v>
      </c>
      <c r="D619" s="6">
        <v>30</v>
      </c>
      <c r="E619" t="s">
        <v>1569</v>
      </c>
      <c r="F619" t="s">
        <v>180</v>
      </c>
      <c r="G619" t="s">
        <v>224</v>
      </c>
      <c r="H619" t="s">
        <v>1585</v>
      </c>
      <c r="I619" s="5">
        <v>57200</v>
      </c>
      <c r="L619" s="5">
        <v>57200</v>
      </c>
      <c r="M619" s="5">
        <v>6128.57</v>
      </c>
      <c r="N619" s="5">
        <v>51071.43</v>
      </c>
    </row>
    <row r="620" spans="1:14">
      <c r="A620" t="s">
        <v>1586</v>
      </c>
      <c r="B620" t="s">
        <v>1553</v>
      </c>
      <c r="C620" t="s">
        <v>64</v>
      </c>
      <c r="D620" s="6">
        <v>30</v>
      </c>
      <c r="E620" t="s">
        <v>1569</v>
      </c>
      <c r="F620" t="s">
        <v>25</v>
      </c>
      <c r="G620" t="s">
        <v>26</v>
      </c>
      <c r="H620" t="s">
        <v>1420</v>
      </c>
      <c r="I620" s="5">
        <v>264274</v>
      </c>
      <c r="K620" s="5">
        <v>35300</v>
      </c>
      <c r="L620" s="5">
        <v>299574</v>
      </c>
      <c r="M620" s="5">
        <v>32097.21</v>
      </c>
      <c r="N620" s="5">
        <v>267476.78999999998</v>
      </c>
    </row>
    <row r="621" spans="1:14">
      <c r="A621" t="s">
        <v>1587</v>
      </c>
      <c r="B621" t="s">
        <v>1553</v>
      </c>
      <c r="C621" t="s">
        <v>23</v>
      </c>
      <c r="D621" s="6">
        <v>30</v>
      </c>
      <c r="E621" t="s">
        <v>1569</v>
      </c>
      <c r="F621" t="s">
        <v>180</v>
      </c>
      <c r="G621" t="s">
        <v>224</v>
      </c>
      <c r="H621" t="s">
        <v>1588</v>
      </c>
      <c r="I621" s="5">
        <v>45800</v>
      </c>
      <c r="L621" s="5">
        <v>45800</v>
      </c>
      <c r="M621" s="5">
        <v>4907.1400000000003</v>
      </c>
      <c r="N621" s="5">
        <v>40892.86</v>
      </c>
    </row>
    <row r="622" spans="1:14">
      <c r="A622" t="s">
        <v>1589</v>
      </c>
      <c r="B622" t="s">
        <v>1553</v>
      </c>
      <c r="C622" t="s">
        <v>34</v>
      </c>
      <c r="D622" s="6">
        <v>60</v>
      </c>
      <c r="E622" t="s">
        <v>1557</v>
      </c>
      <c r="F622" t="s">
        <v>19</v>
      </c>
      <c r="G622" t="s">
        <v>287</v>
      </c>
      <c r="H622" t="s">
        <v>1590</v>
      </c>
      <c r="I622" s="5">
        <v>110500</v>
      </c>
      <c r="L622" s="5">
        <v>110500</v>
      </c>
      <c r="M622" s="5">
        <v>11839.29</v>
      </c>
      <c r="N622" s="5">
        <v>98660.71</v>
      </c>
    </row>
    <row r="623" spans="1:14">
      <c r="A623" t="s">
        <v>1591</v>
      </c>
      <c r="B623" t="s">
        <v>1553</v>
      </c>
      <c r="C623" t="s">
        <v>60</v>
      </c>
      <c r="D623" s="6">
        <v>0</v>
      </c>
      <c r="E623" t="s">
        <v>1553</v>
      </c>
      <c r="F623" t="s">
        <v>30</v>
      </c>
      <c r="G623" t="s">
        <v>406</v>
      </c>
      <c r="H623" t="s">
        <v>1592</v>
      </c>
      <c r="I623" s="5">
        <v>728000</v>
      </c>
      <c r="J623" s="4">
        <v>-21840</v>
      </c>
      <c r="L623" s="5">
        <v>706160</v>
      </c>
      <c r="M623" s="5">
        <v>75660</v>
      </c>
      <c r="N623" s="5">
        <v>630500</v>
      </c>
    </row>
    <row r="624" spans="1:14">
      <c r="A624" t="s">
        <v>1593</v>
      </c>
      <c r="B624" t="s">
        <v>1553</v>
      </c>
      <c r="C624" t="s">
        <v>29</v>
      </c>
      <c r="D624" s="6">
        <v>0</v>
      </c>
      <c r="E624" t="s">
        <v>1553</v>
      </c>
      <c r="F624" t="s">
        <v>30</v>
      </c>
      <c r="G624" t="s">
        <v>218</v>
      </c>
      <c r="H624" t="s">
        <v>1594</v>
      </c>
      <c r="I624" s="5">
        <v>517172</v>
      </c>
      <c r="J624" s="4">
        <v>-15515.16</v>
      </c>
      <c r="L624" s="5">
        <v>501656.84</v>
      </c>
      <c r="M624" s="5">
        <v>53748.95</v>
      </c>
      <c r="N624" s="5">
        <v>447907.89</v>
      </c>
    </row>
    <row r="625" spans="1:14">
      <c r="A625" t="s">
        <v>1595</v>
      </c>
      <c r="B625" t="s">
        <v>1553</v>
      </c>
      <c r="C625" t="s">
        <v>29</v>
      </c>
      <c r="D625" s="6">
        <v>0</v>
      </c>
      <c r="E625" t="s">
        <v>1553</v>
      </c>
      <c r="F625" t="s">
        <v>30</v>
      </c>
      <c r="G625" t="s">
        <v>218</v>
      </c>
      <c r="H625" t="s">
        <v>1596</v>
      </c>
      <c r="I625" s="5">
        <v>152454</v>
      </c>
      <c r="J625" s="4">
        <v>-4573.62</v>
      </c>
      <c r="L625" s="5">
        <v>147880.38</v>
      </c>
      <c r="M625" s="5">
        <v>15844.33</v>
      </c>
      <c r="N625" s="5">
        <v>132036.04999999999</v>
      </c>
    </row>
    <row r="626" spans="1:14">
      <c r="A626" t="s">
        <v>1597</v>
      </c>
      <c r="B626" t="s">
        <v>1553</v>
      </c>
      <c r="C626" t="s">
        <v>73</v>
      </c>
      <c r="D626" s="6">
        <v>30</v>
      </c>
      <c r="E626" t="s">
        <v>1569</v>
      </c>
      <c r="F626" t="s">
        <v>56</v>
      </c>
      <c r="G626" t="s">
        <v>812</v>
      </c>
      <c r="H626" t="s">
        <v>1598</v>
      </c>
      <c r="I626" s="5">
        <v>246330</v>
      </c>
      <c r="L626" s="5">
        <v>246330</v>
      </c>
      <c r="M626" s="5">
        <v>26392.5</v>
      </c>
      <c r="N626" s="5">
        <v>219937.5</v>
      </c>
    </row>
    <row r="627" spans="1:14">
      <c r="A627" t="s">
        <v>1599</v>
      </c>
      <c r="B627" t="s">
        <v>1553</v>
      </c>
      <c r="C627" t="s">
        <v>60</v>
      </c>
      <c r="D627" s="6">
        <v>0</v>
      </c>
      <c r="E627" t="s">
        <v>1553</v>
      </c>
      <c r="F627" t="s">
        <v>56</v>
      </c>
      <c r="G627" t="s">
        <v>196</v>
      </c>
      <c r="H627" t="s">
        <v>1600</v>
      </c>
      <c r="I627" s="5">
        <v>20090</v>
      </c>
      <c r="L627" s="5">
        <v>20090</v>
      </c>
      <c r="M627" s="5">
        <v>2152.5</v>
      </c>
      <c r="N627" s="5">
        <v>17937.5</v>
      </c>
    </row>
    <row r="628" spans="1:14">
      <c r="A628" t="s">
        <v>1601</v>
      </c>
      <c r="B628" t="s">
        <v>1553</v>
      </c>
      <c r="C628" t="s">
        <v>60</v>
      </c>
      <c r="D628" s="6">
        <v>0</v>
      </c>
      <c r="E628" t="s">
        <v>1553</v>
      </c>
      <c r="F628" t="s">
        <v>56</v>
      </c>
      <c r="G628" t="s">
        <v>196</v>
      </c>
      <c r="H628" t="s">
        <v>1602</v>
      </c>
      <c r="I628" s="5">
        <v>60268</v>
      </c>
      <c r="L628" s="5">
        <v>60268</v>
      </c>
      <c r="M628" s="5">
        <v>6457.29</v>
      </c>
      <c r="N628" s="5">
        <v>53810.71</v>
      </c>
    </row>
    <row r="629" spans="1:14">
      <c r="A629" t="s">
        <v>1603</v>
      </c>
      <c r="B629" t="s">
        <v>1553</v>
      </c>
      <c r="C629" t="s">
        <v>54</v>
      </c>
      <c r="D629" s="6">
        <v>90</v>
      </c>
      <c r="E629" t="s">
        <v>1554</v>
      </c>
      <c r="F629" t="s">
        <v>19</v>
      </c>
      <c r="G629" t="s">
        <v>937</v>
      </c>
      <c r="H629" t="s">
        <v>1604</v>
      </c>
      <c r="I629" s="5">
        <v>537500</v>
      </c>
      <c r="L629" s="5">
        <v>537500</v>
      </c>
      <c r="M629" s="5">
        <v>57589.29</v>
      </c>
      <c r="N629" s="5">
        <v>479910.71</v>
      </c>
    </row>
    <row r="630" spans="1:14">
      <c r="A630" t="s">
        <v>1605</v>
      </c>
      <c r="B630" t="s">
        <v>1553</v>
      </c>
      <c r="C630" t="s">
        <v>18</v>
      </c>
      <c r="D630" s="6">
        <v>0</v>
      </c>
      <c r="E630" t="s">
        <v>1553</v>
      </c>
      <c r="F630" t="s">
        <v>30</v>
      </c>
      <c r="G630" t="s">
        <v>581</v>
      </c>
      <c r="H630" t="s">
        <v>1606</v>
      </c>
      <c r="I630" s="5">
        <v>353460</v>
      </c>
      <c r="L630" s="5">
        <v>353460</v>
      </c>
      <c r="M630" s="5">
        <v>37870.71</v>
      </c>
      <c r="N630" s="5">
        <v>315589.28999999998</v>
      </c>
    </row>
    <row r="631" spans="1:14">
      <c r="A631" t="s">
        <v>1607</v>
      </c>
      <c r="B631" t="s">
        <v>1553</v>
      </c>
      <c r="C631" t="s">
        <v>18</v>
      </c>
      <c r="D631" s="6">
        <v>0</v>
      </c>
      <c r="E631" t="s">
        <v>1553</v>
      </c>
      <c r="F631" t="s">
        <v>30</v>
      </c>
      <c r="G631" t="s">
        <v>581</v>
      </c>
      <c r="H631" t="s">
        <v>1608</v>
      </c>
      <c r="I631" s="5">
        <v>1011060</v>
      </c>
      <c r="L631" s="5">
        <v>1011060</v>
      </c>
      <c r="M631" s="5">
        <v>108327.86</v>
      </c>
      <c r="N631" s="5">
        <v>902732.14</v>
      </c>
    </row>
    <row r="632" spans="1:14">
      <c r="A632" t="s">
        <v>1609</v>
      </c>
      <c r="B632" t="s">
        <v>1553</v>
      </c>
      <c r="C632" t="s">
        <v>18</v>
      </c>
      <c r="D632" s="6">
        <v>0</v>
      </c>
      <c r="E632" t="s">
        <v>1553</v>
      </c>
      <c r="F632" t="s">
        <v>30</v>
      </c>
      <c r="G632" t="s">
        <v>581</v>
      </c>
      <c r="H632" t="s">
        <v>1610</v>
      </c>
      <c r="I632" s="5">
        <v>16440</v>
      </c>
      <c r="L632" s="5">
        <v>16440</v>
      </c>
      <c r="M632" s="5">
        <v>1761.43</v>
      </c>
      <c r="N632" s="5">
        <v>14678.57</v>
      </c>
    </row>
    <row r="633" spans="1:14">
      <c r="A633" t="s">
        <v>1611</v>
      </c>
      <c r="B633" t="s">
        <v>1553</v>
      </c>
      <c r="C633" t="s">
        <v>369</v>
      </c>
      <c r="D633" s="6">
        <v>30</v>
      </c>
      <c r="E633" t="s">
        <v>1569</v>
      </c>
      <c r="F633" t="s">
        <v>139</v>
      </c>
      <c r="G633" t="s">
        <v>371</v>
      </c>
      <c r="H633" t="s">
        <v>1612</v>
      </c>
      <c r="I633" s="5">
        <v>20540</v>
      </c>
      <c r="L633" s="5">
        <v>20540</v>
      </c>
      <c r="M633" s="5">
        <v>2200.71</v>
      </c>
      <c r="N633" s="5">
        <v>18339.29</v>
      </c>
    </row>
    <row r="634" spans="1:14">
      <c r="A634" t="s">
        <v>1613</v>
      </c>
      <c r="B634" t="s">
        <v>1553</v>
      </c>
      <c r="C634" t="s">
        <v>1011</v>
      </c>
      <c r="D634" s="6">
        <v>60</v>
      </c>
      <c r="E634" t="s">
        <v>1557</v>
      </c>
      <c r="F634" t="s">
        <v>204</v>
      </c>
      <c r="G634" t="s">
        <v>1614</v>
      </c>
      <c r="H634" t="s">
        <v>1615</v>
      </c>
      <c r="I634" s="5">
        <v>163920</v>
      </c>
      <c r="L634" s="5">
        <v>163920</v>
      </c>
      <c r="M634" s="5">
        <v>17562.86</v>
      </c>
      <c r="N634" s="5">
        <v>146357.14000000001</v>
      </c>
    </row>
    <row r="635" spans="1:14">
      <c r="A635" t="s">
        <v>1616</v>
      </c>
      <c r="B635" t="s">
        <v>1553</v>
      </c>
      <c r="C635" t="s">
        <v>1011</v>
      </c>
      <c r="D635" s="6">
        <v>60</v>
      </c>
      <c r="E635" t="s">
        <v>1557</v>
      </c>
      <c r="F635" t="s">
        <v>204</v>
      </c>
      <c r="G635" t="s">
        <v>1614</v>
      </c>
      <c r="H635" t="s">
        <v>1617</v>
      </c>
      <c r="I635" s="5">
        <v>280978</v>
      </c>
      <c r="L635" s="5">
        <v>280978</v>
      </c>
      <c r="M635" s="5">
        <v>30104.79</v>
      </c>
      <c r="N635" s="5">
        <v>250873.21</v>
      </c>
    </row>
    <row r="636" spans="1:14">
      <c r="A636" t="s">
        <v>1618</v>
      </c>
      <c r="B636" t="s">
        <v>1553</v>
      </c>
      <c r="C636" t="s">
        <v>151</v>
      </c>
      <c r="D636" s="6">
        <v>60</v>
      </c>
      <c r="E636" t="s">
        <v>1557</v>
      </c>
      <c r="F636" t="s">
        <v>56</v>
      </c>
      <c r="G636" t="s">
        <v>152</v>
      </c>
      <c r="H636" t="s">
        <v>1619</v>
      </c>
      <c r="I636" s="5">
        <v>21504</v>
      </c>
      <c r="L636" s="5">
        <v>21504</v>
      </c>
      <c r="M636" s="5">
        <v>2304</v>
      </c>
      <c r="N636" s="5">
        <v>19200</v>
      </c>
    </row>
    <row r="637" spans="1:14">
      <c r="A637" t="s">
        <v>1620</v>
      </c>
      <c r="B637" t="s">
        <v>1553</v>
      </c>
      <c r="C637" t="s">
        <v>68</v>
      </c>
      <c r="D637" s="6">
        <v>60</v>
      </c>
      <c r="E637" t="s">
        <v>1557</v>
      </c>
      <c r="F637" t="s">
        <v>69</v>
      </c>
      <c r="G637" t="s">
        <v>70</v>
      </c>
      <c r="H637" t="s">
        <v>1621</v>
      </c>
      <c r="I637" s="5">
        <v>2419200</v>
      </c>
      <c r="L637" s="5">
        <v>2419200</v>
      </c>
      <c r="M637" s="5">
        <v>259200</v>
      </c>
      <c r="N637" s="5">
        <v>2160000</v>
      </c>
    </row>
    <row r="638" spans="1:14">
      <c r="A638" t="s">
        <v>1622</v>
      </c>
      <c r="B638" t="s">
        <v>93</v>
      </c>
      <c r="C638" t="s">
        <v>146</v>
      </c>
      <c r="D638" s="6">
        <v>90</v>
      </c>
      <c r="E638" t="s">
        <v>147</v>
      </c>
      <c r="F638" t="s">
        <v>139</v>
      </c>
      <c r="G638" t="s">
        <v>589</v>
      </c>
      <c r="H638" t="s">
        <v>1623</v>
      </c>
      <c r="I638" s="4">
        <v>-1.25</v>
      </c>
      <c r="L638" s="4">
        <v>-1.25</v>
      </c>
      <c r="N638" s="4">
        <v>-1.25</v>
      </c>
    </row>
    <row r="639" spans="1:14">
      <c r="A639" t="s">
        <v>1624</v>
      </c>
      <c r="B639" t="s">
        <v>448</v>
      </c>
      <c r="C639" t="s">
        <v>146</v>
      </c>
      <c r="D639" s="6">
        <v>90</v>
      </c>
      <c r="E639" t="s">
        <v>479</v>
      </c>
      <c r="F639" t="s">
        <v>139</v>
      </c>
      <c r="G639" t="s">
        <v>589</v>
      </c>
      <c r="H639" t="s">
        <v>1625</v>
      </c>
      <c r="I639" s="4">
        <v>-0.14000000000000001</v>
      </c>
      <c r="L639" s="4">
        <v>-0.14000000000000001</v>
      </c>
      <c r="N639" s="4">
        <v>-0.14000000000000001</v>
      </c>
    </row>
    <row r="640" spans="1:14">
      <c r="A640" t="s">
        <v>1626</v>
      </c>
      <c r="B640" t="s">
        <v>505</v>
      </c>
      <c r="C640" t="s">
        <v>243</v>
      </c>
      <c r="D640" s="6">
        <v>30</v>
      </c>
      <c r="E640" t="s">
        <v>518</v>
      </c>
      <c r="F640" t="s">
        <v>139</v>
      </c>
      <c r="G640" t="s">
        <v>1405</v>
      </c>
      <c r="H640" t="s">
        <v>1627</v>
      </c>
      <c r="I640" s="4">
        <v>-0.99</v>
      </c>
      <c r="L640" s="4">
        <v>-0.99</v>
      </c>
      <c r="N640" s="4">
        <v>-0.99</v>
      </c>
    </row>
    <row r="641" spans="1:14">
      <c r="A641" t="s">
        <v>1628</v>
      </c>
      <c r="B641" t="s">
        <v>505</v>
      </c>
      <c r="C641" t="s">
        <v>73</v>
      </c>
      <c r="D641" s="6">
        <v>30</v>
      </c>
      <c r="E641" t="s">
        <v>518</v>
      </c>
      <c r="F641" t="s">
        <v>19</v>
      </c>
      <c r="G641" t="s">
        <v>267</v>
      </c>
      <c r="H641" t="s">
        <v>1629</v>
      </c>
      <c r="I641" s="4">
        <v>-134200</v>
      </c>
      <c r="L641" s="4">
        <v>-134200</v>
      </c>
      <c r="M641" s="4">
        <v>-14378.57</v>
      </c>
      <c r="N641" s="4">
        <v>-119821.43</v>
      </c>
    </row>
    <row r="642" spans="1:14">
      <c r="A642" t="s">
        <v>1630</v>
      </c>
      <c r="B642" t="s">
        <v>505</v>
      </c>
      <c r="C642" t="s">
        <v>104</v>
      </c>
      <c r="D642" s="6">
        <v>0</v>
      </c>
      <c r="E642" t="s">
        <v>505</v>
      </c>
      <c r="F642" t="s">
        <v>30</v>
      </c>
      <c r="G642" t="s">
        <v>490</v>
      </c>
      <c r="H642" t="s">
        <v>1631</v>
      </c>
      <c r="I642" s="4">
        <v>-0.54</v>
      </c>
      <c r="L642" s="4">
        <v>-0.54</v>
      </c>
      <c r="N642" s="4">
        <v>-0.54</v>
      </c>
    </row>
    <row r="643" spans="1:14">
      <c r="A643" t="s">
        <v>1632</v>
      </c>
      <c r="B643" t="s">
        <v>596</v>
      </c>
      <c r="C643" t="s">
        <v>151</v>
      </c>
      <c r="D643" s="6">
        <v>60</v>
      </c>
      <c r="E643" t="s">
        <v>613</v>
      </c>
      <c r="F643" t="s">
        <v>105</v>
      </c>
      <c r="G643" t="s">
        <v>1633</v>
      </c>
      <c r="H643" t="s">
        <v>1634</v>
      </c>
      <c r="I643" s="4">
        <v>-2</v>
      </c>
      <c r="L643" s="4">
        <v>-2</v>
      </c>
      <c r="N643" s="4">
        <v>-2</v>
      </c>
    </row>
    <row r="644" spans="1:14">
      <c r="A644" t="s">
        <v>1635</v>
      </c>
      <c r="B644" t="s">
        <v>596</v>
      </c>
      <c r="C644" t="s">
        <v>79</v>
      </c>
      <c r="D644" s="6">
        <v>30</v>
      </c>
      <c r="E644" t="s">
        <v>619</v>
      </c>
      <c r="F644" t="s">
        <v>69</v>
      </c>
      <c r="G644" t="s">
        <v>1636</v>
      </c>
      <c r="H644" t="s">
        <v>1637</v>
      </c>
      <c r="I644" s="4">
        <v>-637070</v>
      </c>
      <c r="L644" s="4">
        <v>-637070</v>
      </c>
      <c r="M644" s="4">
        <v>-68257.5</v>
      </c>
      <c r="N644" s="4">
        <v>-568812.5</v>
      </c>
    </row>
    <row r="645" spans="1:14">
      <c r="A645" t="s">
        <v>1638</v>
      </c>
      <c r="B645" t="s">
        <v>596</v>
      </c>
      <c r="C645" t="s">
        <v>79</v>
      </c>
      <c r="D645" s="6">
        <v>30</v>
      </c>
      <c r="E645" t="s">
        <v>619</v>
      </c>
      <c r="F645" t="s">
        <v>69</v>
      </c>
      <c r="G645" t="s">
        <v>1636</v>
      </c>
      <c r="H645" t="s">
        <v>1639</v>
      </c>
      <c r="I645" s="4">
        <v>-115297</v>
      </c>
      <c r="L645" s="4">
        <v>-115297</v>
      </c>
      <c r="M645" s="4">
        <v>-12353.25</v>
      </c>
      <c r="N645" s="4">
        <v>-102943.75</v>
      </c>
    </row>
    <row r="646" spans="1:14">
      <c r="A646" t="s">
        <v>1640</v>
      </c>
      <c r="B646" t="s">
        <v>596</v>
      </c>
      <c r="C646" t="s">
        <v>79</v>
      </c>
      <c r="D646" s="6">
        <v>30</v>
      </c>
      <c r="E646" t="s">
        <v>619</v>
      </c>
      <c r="F646" t="s">
        <v>69</v>
      </c>
      <c r="G646" t="s">
        <v>1636</v>
      </c>
      <c r="H646" t="s">
        <v>1641</v>
      </c>
      <c r="I646" s="4">
        <v>-663000</v>
      </c>
      <c r="L646" s="4">
        <v>-663000</v>
      </c>
      <c r="M646" s="4">
        <v>-71035.710000000006</v>
      </c>
      <c r="N646" s="4">
        <v>-591964.29</v>
      </c>
    </row>
    <row r="647" spans="1:14">
      <c r="A647" t="s">
        <v>1642</v>
      </c>
      <c r="B647" t="s">
        <v>596</v>
      </c>
      <c r="C647" t="s">
        <v>79</v>
      </c>
      <c r="D647" s="6">
        <v>30</v>
      </c>
      <c r="E647" t="s">
        <v>619</v>
      </c>
      <c r="F647" t="s">
        <v>69</v>
      </c>
      <c r="G647" t="s">
        <v>1636</v>
      </c>
      <c r="H647" t="s">
        <v>1643</v>
      </c>
      <c r="I647" s="4">
        <v>-343200</v>
      </c>
      <c r="L647" s="4">
        <v>-343200</v>
      </c>
      <c r="M647" s="4">
        <v>-36771.43</v>
      </c>
      <c r="N647" s="4">
        <v>-306428.57</v>
      </c>
    </row>
    <row r="648" spans="1:14">
      <c r="A648" t="s">
        <v>1644</v>
      </c>
      <c r="B648" t="s">
        <v>596</v>
      </c>
      <c r="C648" t="s">
        <v>79</v>
      </c>
      <c r="D648" s="6">
        <v>30</v>
      </c>
      <c r="E648" t="s">
        <v>619</v>
      </c>
      <c r="F648" t="s">
        <v>69</v>
      </c>
      <c r="G648" t="s">
        <v>1636</v>
      </c>
      <c r="H648" t="s">
        <v>1645</v>
      </c>
      <c r="I648" s="4">
        <v>-53150</v>
      </c>
      <c r="L648" s="4">
        <v>-53150</v>
      </c>
      <c r="M648" s="4">
        <v>-5694.64</v>
      </c>
      <c r="N648" s="4">
        <v>-47455.360000000001</v>
      </c>
    </row>
    <row r="649" spans="1:14">
      <c r="A649" t="s">
        <v>1646</v>
      </c>
      <c r="B649" t="s">
        <v>596</v>
      </c>
      <c r="C649" t="s">
        <v>79</v>
      </c>
      <c r="D649" s="6">
        <v>30</v>
      </c>
      <c r="E649" t="s">
        <v>619</v>
      </c>
      <c r="F649" t="s">
        <v>69</v>
      </c>
      <c r="G649" t="s">
        <v>1636</v>
      </c>
      <c r="H649" t="s">
        <v>1647</v>
      </c>
      <c r="I649" s="4">
        <v>-66750</v>
      </c>
      <c r="L649" s="4">
        <v>-66750</v>
      </c>
      <c r="M649" s="4">
        <v>-7151.79</v>
      </c>
      <c r="N649" s="4">
        <v>-59598.21</v>
      </c>
    </row>
    <row r="650" spans="1:14">
      <c r="A650" t="s">
        <v>1648</v>
      </c>
      <c r="B650" t="s">
        <v>596</v>
      </c>
      <c r="C650" t="s">
        <v>79</v>
      </c>
      <c r="D650" s="6">
        <v>30</v>
      </c>
      <c r="E650" t="s">
        <v>619</v>
      </c>
      <c r="F650" t="s">
        <v>69</v>
      </c>
      <c r="G650" t="s">
        <v>1636</v>
      </c>
      <c r="H650" t="s">
        <v>1649</v>
      </c>
      <c r="I650" s="4">
        <v>-122650</v>
      </c>
      <c r="L650" s="4">
        <v>-122650</v>
      </c>
      <c r="M650" s="4">
        <v>-13141.07</v>
      </c>
      <c r="N650" s="4">
        <v>-109508.93</v>
      </c>
    </row>
    <row r="651" spans="1:14">
      <c r="A651" t="s">
        <v>1650</v>
      </c>
      <c r="B651" t="s">
        <v>1651</v>
      </c>
      <c r="C651" t="s">
        <v>60</v>
      </c>
      <c r="D651" s="6">
        <v>0</v>
      </c>
      <c r="E651" t="s">
        <v>1651</v>
      </c>
      <c r="F651" t="s">
        <v>56</v>
      </c>
      <c r="G651" t="s">
        <v>1127</v>
      </c>
      <c r="H651" t="s">
        <v>1652</v>
      </c>
      <c r="I651" s="4">
        <v>-0.4</v>
      </c>
      <c r="L651" s="4">
        <v>-0.4</v>
      </c>
      <c r="N651" s="4">
        <v>-0.4</v>
      </c>
    </row>
    <row r="652" spans="1:14">
      <c r="A652" t="s">
        <v>1653</v>
      </c>
      <c r="B652" t="s">
        <v>689</v>
      </c>
      <c r="C652" t="s">
        <v>60</v>
      </c>
      <c r="D652" s="6">
        <v>0</v>
      </c>
      <c r="E652" t="s">
        <v>689</v>
      </c>
      <c r="F652" t="s">
        <v>56</v>
      </c>
      <c r="G652" t="s">
        <v>790</v>
      </c>
      <c r="H652" t="s">
        <v>1654</v>
      </c>
      <c r="I652" s="4">
        <v>-0.2</v>
      </c>
      <c r="L652" s="4">
        <v>-0.2</v>
      </c>
      <c r="N652" s="4">
        <v>-0.2</v>
      </c>
    </row>
    <row r="653" spans="1:14">
      <c r="A653" t="s">
        <v>1655</v>
      </c>
      <c r="B653" t="s">
        <v>1117</v>
      </c>
      <c r="C653" t="s">
        <v>34</v>
      </c>
      <c r="D653" s="6">
        <v>60</v>
      </c>
      <c r="E653" t="s">
        <v>1139</v>
      </c>
      <c r="F653" t="s">
        <v>329</v>
      </c>
      <c r="G653" t="s">
        <v>330</v>
      </c>
      <c r="H653" t="s">
        <v>1656</v>
      </c>
      <c r="I653" s="4">
        <v>-0.36</v>
      </c>
      <c r="L653" s="4">
        <v>-0.36</v>
      </c>
      <c r="N653" s="4">
        <v>-0.36</v>
      </c>
    </row>
    <row r="654" spans="1:14">
      <c r="A654" t="s">
        <v>1657</v>
      </c>
      <c r="B654" t="s">
        <v>1217</v>
      </c>
      <c r="C654" t="s">
        <v>146</v>
      </c>
      <c r="D654" s="6">
        <v>90</v>
      </c>
      <c r="E654" t="s">
        <v>1235</v>
      </c>
      <c r="F654" t="s">
        <v>50</v>
      </c>
      <c r="G654" t="s">
        <v>1658</v>
      </c>
      <c r="H654" t="s">
        <v>1659</v>
      </c>
      <c r="I654" s="4">
        <v>-0.43</v>
      </c>
      <c r="L654" s="4">
        <v>-0.43</v>
      </c>
      <c r="N654" s="4">
        <v>-0.43</v>
      </c>
    </row>
    <row r="655" spans="1:14">
      <c r="A655" t="s">
        <v>1660</v>
      </c>
      <c r="B655" t="s">
        <v>1553</v>
      </c>
      <c r="C655" t="s">
        <v>18</v>
      </c>
      <c r="D655" s="6">
        <v>0</v>
      </c>
      <c r="E655" t="s">
        <v>1553</v>
      </c>
      <c r="F655" t="s">
        <v>46</v>
      </c>
      <c r="G655" t="s">
        <v>1122</v>
      </c>
      <c r="H655" t="s">
        <v>1661</v>
      </c>
      <c r="I655" s="4">
        <v>-0.04</v>
      </c>
      <c r="L655" s="4">
        <v>-0.04</v>
      </c>
      <c r="N655" s="4">
        <v>-0.04</v>
      </c>
    </row>
    <row r="656" spans="1:14">
      <c r="A656" t="s">
        <v>1662</v>
      </c>
      <c r="B656" t="s">
        <v>1553</v>
      </c>
      <c r="C656" t="s">
        <v>104</v>
      </c>
      <c r="D656" s="6">
        <v>0</v>
      </c>
      <c r="E656" t="s">
        <v>1553</v>
      </c>
      <c r="F656" t="s">
        <v>30</v>
      </c>
      <c r="G656" t="s">
        <v>490</v>
      </c>
      <c r="H656" t="s">
        <v>1663</v>
      </c>
      <c r="I656" s="4">
        <v>-0.54</v>
      </c>
      <c r="L656" s="4">
        <v>-0.54</v>
      </c>
      <c r="N656" s="4">
        <v>-0.54</v>
      </c>
    </row>
    <row r="657" spans="1:14">
      <c r="A657" t="s">
        <v>1664</v>
      </c>
      <c r="B657" t="s">
        <v>1553</v>
      </c>
      <c r="C657" t="s">
        <v>23</v>
      </c>
      <c r="D657" s="6">
        <v>30</v>
      </c>
      <c r="E657" t="s">
        <v>1569</v>
      </c>
      <c r="F657" t="s">
        <v>180</v>
      </c>
      <c r="G657" t="s">
        <v>1665</v>
      </c>
      <c r="H657" t="s">
        <v>1666</v>
      </c>
      <c r="I657" s="4">
        <v>-0.69</v>
      </c>
      <c r="L657" s="4">
        <v>-0.69</v>
      </c>
      <c r="N657" s="4">
        <v>-0.69</v>
      </c>
    </row>
    <row r="658" spans="1:14">
      <c r="A658" t="s">
        <v>1667</v>
      </c>
      <c r="B658" t="s">
        <v>1553</v>
      </c>
      <c r="C658" t="s">
        <v>60</v>
      </c>
      <c r="D658" s="6">
        <v>0</v>
      </c>
      <c r="E658" t="s">
        <v>1553</v>
      </c>
      <c r="F658" t="s">
        <v>56</v>
      </c>
      <c r="G658" t="s">
        <v>1668</v>
      </c>
      <c r="H658" t="s">
        <v>1669</v>
      </c>
      <c r="I658" s="4">
        <v>-0.02</v>
      </c>
      <c r="L658" s="4">
        <v>-0.02</v>
      </c>
      <c r="N658" s="4">
        <v>-0.02</v>
      </c>
    </row>
    <row r="659" spans="1:14">
      <c r="A659" t="s">
        <v>1670</v>
      </c>
      <c r="B659" t="s">
        <v>1553</v>
      </c>
      <c r="C659" t="s">
        <v>104</v>
      </c>
      <c r="D659" s="6">
        <v>0</v>
      </c>
      <c r="E659" t="s">
        <v>1553</v>
      </c>
      <c r="F659" t="s">
        <v>30</v>
      </c>
      <c r="G659" t="s">
        <v>40</v>
      </c>
      <c r="H659" t="s">
        <v>1671</v>
      </c>
      <c r="I659" s="4">
        <v>-1</v>
      </c>
      <c r="L659" s="4">
        <v>-1</v>
      </c>
      <c r="N659" s="4">
        <v>-1</v>
      </c>
    </row>
    <row r="660" spans="1:14">
      <c r="A660" t="s">
        <v>1672</v>
      </c>
      <c r="B660" t="s">
        <v>1553</v>
      </c>
      <c r="C660" t="s">
        <v>60</v>
      </c>
      <c r="D660" s="6">
        <v>0</v>
      </c>
      <c r="E660" t="s">
        <v>1553</v>
      </c>
      <c r="F660" t="s">
        <v>139</v>
      </c>
      <c r="G660" t="s">
        <v>1097</v>
      </c>
      <c r="H660" t="s">
        <v>1673</v>
      </c>
      <c r="I660" s="4">
        <v>-0.5</v>
      </c>
      <c r="L660" s="4">
        <v>-0.5</v>
      </c>
      <c r="N660" s="4">
        <v>-0.5</v>
      </c>
    </row>
    <row r="661" spans="1:14">
      <c r="A661" t="s">
        <v>1674</v>
      </c>
      <c r="B661" t="s">
        <v>93</v>
      </c>
      <c r="C661" t="s">
        <v>237</v>
      </c>
      <c r="D661" s="6">
        <v>60</v>
      </c>
      <c r="E661" t="s">
        <v>136</v>
      </c>
      <c r="F661" t="s">
        <v>69</v>
      </c>
      <c r="G661" t="s">
        <v>303</v>
      </c>
      <c r="H661" t="s">
        <v>1675</v>
      </c>
      <c r="I661" s="4">
        <v>-108810.63</v>
      </c>
      <c r="L661" s="4">
        <v>-108810.63</v>
      </c>
      <c r="M661" s="4">
        <v>-97152.35</v>
      </c>
      <c r="N661" s="4">
        <v>-11658.28</v>
      </c>
    </row>
    <row r="662" spans="1:14">
      <c r="A662" t="s">
        <v>1676</v>
      </c>
      <c r="B662" t="s">
        <v>368</v>
      </c>
      <c r="C662" t="s">
        <v>60</v>
      </c>
      <c r="D662" s="6">
        <v>0</v>
      </c>
      <c r="E662" t="s">
        <v>368</v>
      </c>
      <c r="F662" t="s">
        <v>56</v>
      </c>
      <c r="G662" t="s">
        <v>412</v>
      </c>
      <c r="H662" t="s">
        <v>1677</v>
      </c>
      <c r="I662" s="4">
        <v>-153648</v>
      </c>
      <c r="L662" s="4">
        <v>-153648</v>
      </c>
      <c r="M662" s="4">
        <v>-16462.29</v>
      </c>
      <c r="N662" s="4">
        <v>-137185.71</v>
      </c>
    </row>
    <row r="663" spans="1:14">
      <c r="A663" t="s">
        <v>1678</v>
      </c>
      <c r="B663" t="s">
        <v>596</v>
      </c>
      <c r="C663" t="s">
        <v>162</v>
      </c>
      <c r="D663" s="6">
        <v>90</v>
      </c>
      <c r="E663" t="s">
        <v>597</v>
      </c>
      <c r="F663" t="s">
        <v>19</v>
      </c>
      <c r="G663" t="s">
        <v>543</v>
      </c>
      <c r="H663" t="s">
        <v>1679</v>
      </c>
      <c r="I663" s="4">
        <v>-93820</v>
      </c>
      <c r="L663" s="4">
        <v>-93820</v>
      </c>
      <c r="M663" s="4">
        <v>-10052.14</v>
      </c>
      <c r="N663" s="4">
        <v>-83767.86</v>
      </c>
    </row>
    <row r="664" spans="1:14">
      <c r="A664" t="s">
        <v>1680</v>
      </c>
      <c r="B664" t="s">
        <v>596</v>
      </c>
      <c r="C664" t="s">
        <v>29</v>
      </c>
      <c r="D664" s="6">
        <v>0</v>
      </c>
      <c r="E664" t="s">
        <v>596</v>
      </c>
      <c r="F664" t="s">
        <v>30</v>
      </c>
      <c r="G664" t="s">
        <v>40</v>
      </c>
      <c r="H664" t="s">
        <v>1681</v>
      </c>
      <c r="I664" s="4">
        <v>-1008800</v>
      </c>
      <c r="L664" s="4">
        <v>-1008800</v>
      </c>
      <c r="M664" s="4">
        <v>-108085.71</v>
      </c>
      <c r="N664" s="4">
        <v>-900714.29</v>
      </c>
    </row>
    <row r="665" spans="1:14">
      <c r="A665" t="s">
        <v>1682</v>
      </c>
      <c r="B665" t="s">
        <v>596</v>
      </c>
      <c r="C665" t="s">
        <v>29</v>
      </c>
      <c r="D665" s="6">
        <v>0</v>
      </c>
      <c r="E665" t="s">
        <v>596</v>
      </c>
      <c r="F665" t="s">
        <v>30</v>
      </c>
      <c r="G665" t="s">
        <v>40</v>
      </c>
      <c r="H665" t="s">
        <v>1683</v>
      </c>
      <c r="I665" s="4">
        <v>-70000</v>
      </c>
      <c r="L665" s="4">
        <v>-70000</v>
      </c>
      <c r="M665" s="4">
        <v>-7500</v>
      </c>
      <c r="N665" s="4">
        <v>-62500</v>
      </c>
    </row>
    <row r="666" spans="1:14">
      <c r="A666" t="s">
        <v>1684</v>
      </c>
      <c r="B666" t="s">
        <v>637</v>
      </c>
      <c r="C666" t="s">
        <v>162</v>
      </c>
      <c r="D666" s="6">
        <v>90</v>
      </c>
      <c r="E666" t="s">
        <v>655</v>
      </c>
      <c r="F666" t="s">
        <v>19</v>
      </c>
      <c r="G666" t="s">
        <v>672</v>
      </c>
      <c r="H666" t="s">
        <v>1685</v>
      </c>
      <c r="I666" s="4">
        <v>-11760</v>
      </c>
      <c r="L666" s="4">
        <v>-11760</v>
      </c>
      <c r="M666" s="4">
        <v>-1260</v>
      </c>
      <c r="N666" s="4">
        <v>-10500</v>
      </c>
    </row>
    <row r="667" spans="1:14">
      <c r="A667" t="s">
        <v>1686</v>
      </c>
      <c r="B667" t="s">
        <v>637</v>
      </c>
      <c r="C667" t="s">
        <v>146</v>
      </c>
      <c r="D667" s="6">
        <v>90</v>
      </c>
      <c r="E667" t="s">
        <v>655</v>
      </c>
      <c r="F667" t="s">
        <v>69</v>
      </c>
      <c r="G667" t="s">
        <v>1687</v>
      </c>
      <c r="H667" t="s">
        <v>1688</v>
      </c>
      <c r="I667" s="4">
        <v>-44226</v>
      </c>
      <c r="L667" s="4">
        <v>-44226</v>
      </c>
      <c r="M667" s="4">
        <v>-4738.5</v>
      </c>
      <c r="N667" s="4">
        <v>-39487.5</v>
      </c>
    </row>
    <row r="668" spans="1:14">
      <c r="A668" t="s">
        <v>1689</v>
      </c>
      <c r="B668" t="s">
        <v>1651</v>
      </c>
      <c r="C668" t="s">
        <v>237</v>
      </c>
      <c r="D668" s="6">
        <v>60</v>
      </c>
      <c r="E668" t="s">
        <v>1690</v>
      </c>
      <c r="F668" t="s">
        <v>69</v>
      </c>
      <c r="G668" t="s">
        <v>303</v>
      </c>
      <c r="H668" t="s">
        <v>1691</v>
      </c>
      <c r="I668" s="4">
        <v>-45284.47</v>
      </c>
      <c r="L668" s="4">
        <v>-45284.47</v>
      </c>
      <c r="M668" s="4">
        <v>-4851.91</v>
      </c>
      <c r="N668" s="4">
        <v>-40432.559999999998</v>
      </c>
    </row>
    <row r="669" spans="1:14">
      <c r="A669" t="s">
        <v>1692</v>
      </c>
      <c r="B669" t="s">
        <v>1651</v>
      </c>
      <c r="C669" t="s">
        <v>237</v>
      </c>
      <c r="D669" s="6">
        <v>60</v>
      </c>
      <c r="E669" t="s">
        <v>1690</v>
      </c>
      <c r="F669" t="s">
        <v>69</v>
      </c>
      <c r="G669" t="s">
        <v>303</v>
      </c>
      <c r="H669" t="s">
        <v>1693</v>
      </c>
      <c r="I669" s="4">
        <v>-28851.599999999999</v>
      </c>
      <c r="L669" s="4">
        <v>-28851.599999999999</v>
      </c>
      <c r="M669" s="4">
        <v>-3091.24</v>
      </c>
      <c r="N669" s="4">
        <v>-25760.36</v>
      </c>
    </row>
    <row r="670" spans="1:14">
      <c r="A670" t="s">
        <v>1694</v>
      </c>
      <c r="B670" t="s">
        <v>689</v>
      </c>
      <c r="C670" t="s">
        <v>151</v>
      </c>
      <c r="D670" s="6">
        <v>60</v>
      </c>
      <c r="E670" t="s">
        <v>692</v>
      </c>
      <c r="F670" t="s">
        <v>727</v>
      </c>
      <c r="G670" t="s">
        <v>728</v>
      </c>
      <c r="H670" t="s">
        <v>1695</v>
      </c>
      <c r="I670" s="4">
        <v>-313000</v>
      </c>
      <c r="L670" s="4">
        <v>-313000</v>
      </c>
      <c r="M670" s="4">
        <v>-33535.71</v>
      </c>
      <c r="N670" s="4">
        <v>-279464.28999999998</v>
      </c>
    </row>
    <row r="671" spans="1:14">
      <c r="A671" t="s">
        <v>1696</v>
      </c>
      <c r="B671" t="s">
        <v>769</v>
      </c>
      <c r="C671" t="s">
        <v>68</v>
      </c>
      <c r="D671" s="6">
        <v>60</v>
      </c>
      <c r="E671" t="s">
        <v>770</v>
      </c>
      <c r="F671" t="s">
        <v>69</v>
      </c>
      <c r="G671" t="s">
        <v>574</v>
      </c>
      <c r="H671" t="s">
        <v>1697</v>
      </c>
      <c r="I671" s="4">
        <v>-70510</v>
      </c>
      <c r="L671" s="4">
        <v>-70510</v>
      </c>
      <c r="M671" s="4">
        <v>-7554.64</v>
      </c>
      <c r="N671" s="4">
        <v>-62955.360000000001</v>
      </c>
    </row>
    <row r="672" spans="1:14">
      <c r="A672" t="s">
        <v>1698</v>
      </c>
      <c r="B672" t="s">
        <v>769</v>
      </c>
      <c r="C672" t="s">
        <v>151</v>
      </c>
      <c r="D672" s="6">
        <v>60</v>
      </c>
      <c r="E672" t="s">
        <v>770</v>
      </c>
      <c r="F672" t="s">
        <v>69</v>
      </c>
      <c r="G672" t="s">
        <v>574</v>
      </c>
      <c r="H672" t="s">
        <v>1699</v>
      </c>
      <c r="I672" s="4">
        <v>-70510</v>
      </c>
      <c r="L672" s="4">
        <v>-70510</v>
      </c>
      <c r="M672" s="4">
        <v>-7554.64</v>
      </c>
      <c r="N672" s="4">
        <v>-62955.360000000001</v>
      </c>
    </row>
    <row r="673" spans="1:14">
      <c r="A673" t="s">
        <v>1700</v>
      </c>
      <c r="B673" t="s">
        <v>866</v>
      </c>
      <c r="C673" t="s">
        <v>369</v>
      </c>
      <c r="D673" s="6">
        <v>30</v>
      </c>
      <c r="E673" t="s">
        <v>880</v>
      </c>
      <c r="F673" t="s">
        <v>139</v>
      </c>
      <c r="G673" t="s">
        <v>371</v>
      </c>
      <c r="H673" t="s">
        <v>1701</v>
      </c>
      <c r="I673" s="4">
        <v>-128240</v>
      </c>
      <c r="L673" s="4">
        <v>-128240</v>
      </c>
      <c r="M673" s="4">
        <v>-13740</v>
      </c>
      <c r="N673" s="4">
        <v>-114500</v>
      </c>
    </row>
    <row r="674" spans="1:14">
      <c r="A674" t="s">
        <v>1702</v>
      </c>
      <c r="B674" t="s">
        <v>866</v>
      </c>
      <c r="C674" t="s">
        <v>237</v>
      </c>
      <c r="D674" s="6">
        <v>60</v>
      </c>
      <c r="E674" t="s">
        <v>873</v>
      </c>
      <c r="F674" t="s">
        <v>759</v>
      </c>
      <c r="G674" t="s">
        <v>1703</v>
      </c>
      <c r="H674" t="s">
        <v>1704</v>
      </c>
      <c r="I674" s="4">
        <v>-10914.5</v>
      </c>
      <c r="L674" s="4">
        <v>-10914.5</v>
      </c>
      <c r="M674" s="4">
        <v>-1169.4100000000001</v>
      </c>
      <c r="N674" s="4">
        <v>-9745.09</v>
      </c>
    </row>
    <row r="675" spans="1:14">
      <c r="A675" t="s">
        <v>1705</v>
      </c>
      <c r="B675" t="s">
        <v>915</v>
      </c>
      <c r="C675" t="s">
        <v>73</v>
      </c>
      <c r="D675" s="6">
        <v>30</v>
      </c>
      <c r="E675" t="s">
        <v>916</v>
      </c>
      <c r="F675" t="s">
        <v>56</v>
      </c>
      <c r="G675" t="s">
        <v>812</v>
      </c>
      <c r="H675" t="s">
        <v>1706</v>
      </c>
      <c r="I675" s="4">
        <v>-127702</v>
      </c>
      <c r="L675" s="4">
        <v>-127702</v>
      </c>
      <c r="M675" s="4">
        <v>-13682.36</v>
      </c>
      <c r="N675" s="4">
        <v>-114019.64</v>
      </c>
    </row>
    <row r="676" spans="1:14">
      <c r="A676" t="s">
        <v>1707</v>
      </c>
      <c r="B676" t="s">
        <v>1048</v>
      </c>
      <c r="C676" t="s">
        <v>1074</v>
      </c>
      <c r="D676" s="6">
        <v>0</v>
      </c>
      <c r="E676" t="s">
        <v>1048</v>
      </c>
      <c r="F676" t="s">
        <v>56</v>
      </c>
      <c r="G676" t="s">
        <v>1075</v>
      </c>
      <c r="H676" t="s">
        <v>1708</v>
      </c>
      <c r="I676" s="4">
        <v>-901423.6</v>
      </c>
      <c r="L676" s="4">
        <v>-901423.6</v>
      </c>
      <c r="M676" s="4">
        <v>-96581.1</v>
      </c>
      <c r="N676" s="4">
        <v>-804842.5</v>
      </c>
    </row>
    <row r="677" spans="1:14">
      <c r="A677" t="s">
        <v>1709</v>
      </c>
      <c r="B677" t="s">
        <v>1048</v>
      </c>
      <c r="C677" t="s">
        <v>333</v>
      </c>
      <c r="D677" s="6">
        <v>30</v>
      </c>
      <c r="E677" t="s">
        <v>1056</v>
      </c>
      <c r="F677" t="s">
        <v>270</v>
      </c>
      <c r="G677" t="s">
        <v>340</v>
      </c>
      <c r="H677" t="s">
        <v>1710</v>
      </c>
      <c r="I677" s="4">
        <v>-196112</v>
      </c>
      <c r="L677" s="4">
        <v>-196112</v>
      </c>
      <c r="M677" s="4">
        <v>-21012</v>
      </c>
      <c r="N677" s="4">
        <v>-175100</v>
      </c>
    </row>
    <row r="678" spans="1:14">
      <c r="A678" t="s">
        <v>1711</v>
      </c>
      <c r="B678" t="s">
        <v>1048</v>
      </c>
      <c r="C678" t="s">
        <v>333</v>
      </c>
      <c r="D678" s="6">
        <v>30</v>
      </c>
      <c r="E678" t="s">
        <v>1056</v>
      </c>
      <c r="F678" t="s">
        <v>270</v>
      </c>
      <c r="G678" t="s">
        <v>340</v>
      </c>
      <c r="H678" t="s">
        <v>1712</v>
      </c>
      <c r="I678" s="4">
        <v>-309050</v>
      </c>
      <c r="L678" s="4">
        <v>-309050</v>
      </c>
      <c r="M678" s="4">
        <v>-33112.5</v>
      </c>
      <c r="N678" s="4">
        <v>-275937.5</v>
      </c>
    </row>
    <row r="679" spans="1:14">
      <c r="A679" t="s">
        <v>1713</v>
      </c>
      <c r="B679" t="s">
        <v>1048</v>
      </c>
      <c r="C679" t="s">
        <v>237</v>
      </c>
      <c r="D679" s="6">
        <v>60</v>
      </c>
      <c r="E679" t="s">
        <v>1067</v>
      </c>
      <c r="F679" t="s">
        <v>270</v>
      </c>
      <c r="G679" t="s">
        <v>337</v>
      </c>
      <c r="H679" t="s">
        <v>1714</v>
      </c>
      <c r="I679" s="4">
        <v>-143215</v>
      </c>
      <c r="L679" s="4">
        <v>-143215</v>
      </c>
      <c r="M679" s="4">
        <v>-15344.46</v>
      </c>
      <c r="N679" s="4">
        <v>-127870.54</v>
      </c>
    </row>
    <row r="680" spans="1:14">
      <c r="A680" t="s">
        <v>1715</v>
      </c>
      <c r="B680" t="s">
        <v>1287</v>
      </c>
      <c r="C680" t="s">
        <v>151</v>
      </c>
      <c r="D680" s="6">
        <v>60</v>
      </c>
      <c r="E680" t="s">
        <v>1331</v>
      </c>
      <c r="F680" t="s">
        <v>139</v>
      </c>
      <c r="G680" t="s">
        <v>264</v>
      </c>
      <c r="H680" t="s">
        <v>1716</v>
      </c>
      <c r="I680" s="4">
        <v>-736</v>
      </c>
      <c r="L680" s="4">
        <v>-736</v>
      </c>
      <c r="M680" s="4">
        <v>-78.86</v>
      </c>
      <c r="N680" s="4">
        <v>-657.14</v>
      </c>
    </row>
    <row r="681" spans="1:14">
      <c r="A681" t="s">
        <v>1717</v>
      </c>
      <c r="B681" t="s">
        <v>1372</v>
      </c>
      <c r="C681" t="s">
        <v>333</v>
      </c>
      <c r="D681" s="6">
        <v>30</v>
      </c>
      <c r="E681" t="s">
        <v>1389</v>
      </c>
      <c r="F681" t="s">
        <v>270</v>
      </c>
      <c r="G681" t="s">
        <v>1262</v>
      </c>
      <c r="H681" t="s">
        <v>1718</v>
      </c>
      <c r="I681" s="4">
        <v>-261896</v>
      </c>
      <c r="L681" s="4">
        <v>-261896</v>
      </c>
      <c r="M681" s="4">
        <v>-28060.29</v>
      </c>
      <c r="N681" s="4">
        <v>-233835.71</v>
      </c>
    </row>
    <row r="682" spans="1:14">
      <c r="A682" t="s">
        <v>1719</v>
      </c>
      <c r="B682" t="s">
        <v>1372</v>
      </c>
      <c r="C682" t="s">
        <v>333</v>
      </c>
      <c r="D682" s="6">
        <v>30</v>
      </c>
      <c r="E682" t="s">
        <v>1389</v>
      </c>
      <c r="F682" t="s">
        <v>270</v>
      </c>
      <c r="G682" t="s">
        <v>1262</v>
      </c>
      <c r="H682" t="s">
        <v>1720</v>
      </c>
      <c r="I682" s="4">
        <v>-212525</v>
      </c>
      <c r="L682" s="4">
        <v>-212525</v>
      </c>
      <c r="M682" s="4">
        <v>-22770.54</v>
      </c>
      <c r="N682" s="4">
        <v>-189754.46</v>
      </c>
    </row>
    <row r="683" spans="1:14">
      <c r="A683" t="s">
        <v>1721</v>
      </c>
      <c r="B683" t="s">
        <v>1372</v>
      </c>
      <c r="C683" t="s">
        <v>34</v>
      </c>
      <c r="D683" s="6">
        <v>60</v>
      </c>
      <c r="E683" t="s">
        <v>1373</v>
      </c>
      <c r="F683" t="s">
        <v>46</v>
      </c>
      <c r="G683" t="s">
        <v>1226</v>
      </c>
      <c r="H683" t="s">
        <v>1722</v>
      </c>
      <c r="I683" s="4">
        <v>-9261</v>
      </c>
      <c r="L683" s="4">
        <v>-9261</v>
      </c>
      <c r="M683" s="4">
        <v>-992.25</v>
      </c>
      <c r="N683" s="4">
        <v>-8268.75</v>
      </c>
    </row>
    <row r="684" spans="1:14">
      <c r="A684" t="s">
        <v>1723</v>
      </c>
      <c r="B684" t="s">
        <v>1467</v>
      </c>
      <c r="C684" t="s">
        <v>333</v>
      </c>
      <c r="D684" s="6">
        <v>30</v>
      </c>
      <c r="E684" t="s">
        <v>1492</v>
      </c>
      <c r="F684" t="s">
        <v>270</v>
      </c>
      <c r="G684" t="s">
        <v>1262</v>
      </c>
      <c r="H684" t="s">
        <v>1724</v>
      </c>
      <c r="I684" s="4">
        <v>-261896</v>
      </c>
      <c r="L684" s="4">
        <v>-261896</v>
      </c>
      <c r="M684" s="4">
        <v>-28060.29</v>
      </c>
      <c r="N684" s="4">
        <v>-233835.71</v>
      </c>
    </row>
    <row r="685" spans="1:14">
      <c r="A685" t="s">
        <v>1725</v>
      </c>
      <c r="B685" t="s">
        <v>1467</v>
      </c>
      <c r="C685" t="s">
        <v>333</v>
      </c>
      <c r="D685" s="6">
        <v>30</v>
      </c>
      <c r="E685" t="s">
        <v>1492</v>
      </c>
      <c r="F685" t="s">
        <v>270</v>
      </c>
      <c r="G685" t="s">
        <v>1262</v>
      </c>
      <c r="H685" t="s">
        <v>1726</v>
      </c>
      <c r="I685" s="4">
        <v>-212525</v>
      </c>
      <c r="L685" s="4">
        <v>-212525</v>
      </c>
      <c r="M685" s="4">
        <v>-22770.54</v>
      </c>
      <c r="N685" s="4">
        <v>-189754.46</v>
      </c>
    </row>
    <row r="686" spans="1:14">
      <c r="A686" t="s">
        <v>1727</v>
      </c>
      <c r="B686" t="s">
        <v>1553</v>
      </c>
      <c r="C686" t="s">
        <v>64</v>
      </c>
      <c r="D686" s="6">
        <v>30</v>
      </c>
      <c r="E686" t="s">
        <v>1569</v>
      </c>
      <c r="F686" t="s">
        <v>25</v>
      </c>
      <c r="G686" t="s">
        <v>26</v>
      </c>
      <c r="H686" t="s">
        <v>1728</v>
      </c>
      <c r="I686" s="4">
        <v>-299574</v>
      </c>
      <c r="L686" s="4">
        <v>-299574</v>
      </c>
      <c r="M686" s="4">
        <v>-32097.21</v>
      </c>
      <c r="N686" s="4">
        <v>-267476.78999999998</v>
      </c>
    </row>
    <row r="687" spans="1:14">
      <c r="A687" t="s">
        <v>1729</v>
      </c>
      <c r="B687" t="s">
        <v>1553</v>
      </c>
      <c r="C687" t="s">
        <v>18</v>
      </c>
      <c r="D687" s="6">
        <v>0</v>
      </c>
      <c r="E687" t="s">
        <v>1553</v>
      </c>
      <c r="F687" t="s">
        <v>56</v>
      </c>
      <c r="G687" t="s">
        <v>61</v>
      </c>
      <c r="H687" t="s">
        <v>1730</v>
      </c>
      <c r="I687" s="4">
        <v>-251365.1</v>
      </c>
      <c r="L687" s="4">
        <v>-251365.1</v>
      </c>
      <c r="M687" s="4">
        <v>-26931.98</v>
      </c>
      <c r="N687" s="4">
        <v>-224433.12</v>
      </c>
    </row>
    <row r="688" spans="1:14">
      <c r="A688" t="s">
        <v>1731</v>
      </c>
      <c r="B688" t="s">
        <v>1553</v>
      </c>
      <c r="C688" t="s">
        <v>681</v>
      </c>
      <c r="D688" s="6">
        <v>0</v>
      </c>
      <c r="E688" t="s">
        <v>1553</v>
      </c>
      <c r="F688" t="s">
        <v>46</v>
      </c>
      <c r="G688" t="s">
        <v>682</v>
      </c>
      <c r="H688" t="s">
        <v>1732</v>
      </c>
      <c r="I688" s="4">
        <v>-27968</v>
      </c>
      <c r="L688" s="4">
        <v>-27968</v>
      </c>
      <c r="M688" s="4">
        <v>-2996.57</v>
      </c>
      <c r="N688" s="4">
        <v>-24971.43</v>
      </c>
    </row>
    <row r="689" spans="1:14">
      <c r="A689" t="s">
        <v>1733</v>
      </c>
      <c r="B689" t="s">
        <v>1553</v>
      </c>
      <c r="C689" t="s">
        <v>23</v>
      </c>
      <c r="D689" s="6">
        <v>30</v>
      </c>
      <c r="E689" t="s">
        <v>1569</v>
      </c>
      <c r="F689" t="s">
        <v>139</v>
      </c>
      <c r="G689" t="s">
        <v>1734</v>
      </c>
      <c r="H689" t="s">
        <v>1735</v>
      </c>
      <c r="I689" s="4">
        <v>-68600</v>
      </c>
      <c r="L689" s="4">
        <v>-68600</v>
      </c>
      <c r="M689" s="4">
        <v>-7350</v>
      </c>
      <c r="N689" s="4">
        <v>-61250</v>
      </c>
    </row>
    <row r="690" spans="1:14">
      <c r="A690" t="s">
        <v>1736</v>
      </c>
      <c r="B690" t="s">
        <v>1553</v>
      </c>
      <c r="C690" t="s">
        <v>237</v>
      </c>
      <c r="D690" s="6">
        <v>60</v>
      </c>
      <c r="E690" t="s">
        <v>1557</v>
      </c>
      <c r="F690" t="s">
        <v>69</v>
      </c>
      <c r="G690" t="s">
        <v>303</v>
      </c>
      <c r="H690" t="s">
        <v>1737</v>
      </c>
      <c r="I690" s="4">
        <v>-10453.35</v>
      </c>
      <c r="L690" s="4">
        <v>-10453.35</v>
      </c>
      <c r="M690" s="4">
        <v>-1120</v>
      </c>
      <c r="N690" s="4">
        <v>-9333.35</v>
      </c>
    </row>
    <row r="691" spans="1:14">
      <c r="A691" t="s">
        <v>1738</v>
      </c>
      <c r="B691" t="s">
        <v>505</v>
      </c>
      <c r="C691" t="s">
        <v>60</v>
      </c>
      <c r="D691" s="6">
        <v>0</v>
      </c>
      <c r="E691" t="s">
        <v>505</v>
      </c>
      <c r="F691" t="s">
        <v>56</v>
      </c>
      <c r="G691" t="s">
        <v>196</v>
      </c>
      <c r="H691" t="s">
        <v>1739</v>
      </c>
      <c r="I691" s="5">
        <v>1250</v>
      </c>
      <c r="L691" s="5">
        <v>1250</v>
      </c>
      <c r="N691" s="5">
        <v>1250</v>
      </c>
    </row>
    <row r="692" spans="1:14">
      <c r="A692" t="s">
        <v>1740</v>
      </c>
      <c r="B692" t="s">
        <v>505</v>
      </c>
      <c r="C692" t="s">
        <v>60</v>
      </c>
      <c r="D692" s="6">
        <v>0</v>
      </c>
      <c r="E692" t="s">
        <v>505</v>
      </c>
      <c r="F692" t="s">
        <v>56</v>
      </c>
      <c r="G692" t="s">
        <v>190</v>
      </c>
      <c r="H692" t="s">
        <v>1741</v>
      </c>
      <c r="I692" s="7">
        <v>500</v>
      </c>
      <c r="L692" s="7">
        <v>500</v>
      </c>
      <c r="N692" s="7">
        <v>500</v>
      </c>
    </row>
    <row r="693" spans="1:14">
      <c r="A693" t="s">
        <v>1742</v>
      </c>
      <c r="B693" t="s">
        <v>505</v>
      </c>
      <c r="C693" t="s">
        <v>60</v>
      </c>
      <c r="D693" s="6">
        <v>0</v>
      </c>
      <c r="E693" t="s">
        <v>505</v>
      </c>
      <c r="F693" t="s">
        <v>56</v>
      </c>
      <c r="G693" t="s">
        <v>190</v>
      </c>
      <c r="H693" t="s">
        <v>1743</v>
      </c>
      <c r="I693" s="5">
        <v>2250</v>
      </c>
      <c r="L693" s="5">
        <v>2250</v>
      </c>
      <c r="N693" s="5">
        <v>2250</v>
      </c>
    </row>
    <row r="694" spans="1:14">
      <c r="A694" t="s">
        <v>1744</v>
      </c>
      <c r="B694" t="s">
        <v>637</v>
      </c>
      <c r="C694" t="s">
        <v>60</v>
      </c>
      <c r="D694" s="6">
        <v>0</v>
      </c>
      <c r="E694" t="s">
        <v>637</v>
      </c>
      <c r="F694" t="s">
        <v>56</v>
      </c>
      <c r="G694" t="s">
        <v>412</v>
      </c>
      <c r="H694" t="s">
        <v>1745</v>
      </c>
      <c r="I694" s="5">
        <v>2800</v>
      </c>
      <c r="L694" s="5">
        <v>2800</v>
      </c>
      <c r="N694" s="5">
        <v>2800</v>
      </c>
    </row>
    <row r="695" spans="1:14">
      <c r="A695" t="s">
        <v>1746</v>
      </c>
      <c r="B695" t="s">
        <v>1651</v>
      </c>
      <c r="C695" t="s">
        <v>18</v>
      </c>
      <c r="D695" s="6">
        <v>0</v>
      </c>
      <c r="E695" t="s">
        <v>1651</v>
      </c>
      <c r="F695" t="s">
        <v>56</v>
      </c>
      <c r="G695" t="s">
        <v>1127</v>
      </c>
      <c r="H695" t="s">
        <v>1747</v>
      </c>
      <c r="I695" s="5">
        <v>1500</v>
      </c>
      <c r="L695" s="5">
        <v>1500</v>
      </c>
      <c r="N695" s="5">
        <v>1500</v>
      </c>
    </row>
    <row r="696" spans="1:14">
      <c r="A696" t="s">
        <v>1748</v>
      </c>
      <c r="B696" t="s">
        <v>689</v>
      </c>
      <c r="E696" t="s">
        <v>689</v>
      </c>
      <c r="G696" t="s">
        <v>809</v>
      </c>
      <c r="H696" t="s">
        <v>1749</v>
      </c>
      <c r="I696" s="5">
        <v>6000</v>
      </c>
      <c r="L696" s="5">
        <v>6000</v>
      </c>
      <c r="N696" s="5">
        <v>6000</v>
      </c>
    </row>
    <row r="697" spans="1:14">
      <c r="A697" t="s">
        <v>1750</v>
      </c>
      <c r="B697" t="s">
        <v>866</v>
      </c>
      <c r="E697" t="s">
        <v>866</v>
      </c>
      <c r="G697" t="s">
        <v>581</v>
      </c>
      <c r="H697" t="s">
        <v>1751</v>
      </c>
      <c r="I697" s="7">
        <v>924</v>
      </c>
      <c r="L697" s="7">
        <v>924</v>
      </c>
      <c r="N697" s="7">
        <v>924</v>
      </c>
    </row>
    <row r="698" spans="1:14">
      <c r="A698" t="s">
        <v>1752</v>
      </c>
      <c r="B698" t="s">
        <v>971</v>
      </c>
      <c r="C698" t="s">
        <v>18</v>
      </c>
      <c r="D698" s="6">
        <v>0</v>
      </c>
      <c r="E698" t="s">
        <v>971</v>
      </c>
      <c r="F698" t="s">
        <v>270</v>
      </c>
      <c r="G698" t="s">
        <v>979</v>
      </c>
      <c r="H698" t="s">
        <v>1753</v>
      </c>
      <c r="I698" s="5">
        <v>30000</v>
      </c>
      <c r="L698" s="5">
        <v>30000</v>
      </c>
      <c r="N698" s="5">
        <v>30000</v>
      </c>
    </row>
    <row r="699" spans="1:14">
      <c r="A699" t="s">
        <v>1754</v>
      </c>
      <c r="B699" t="s">
        <v>971</v>
      </c>
      <c r="C699" t="s">
        <v>60</v>
      </c>
      <c r="D699" s="6">
        <v>0</v>
      </c>
      <c r="E699" t="s">
        <v>971</v>
      </c>
      <c r="F699" t="s">
        <v>56</v>
      </c>
      <c r="G699" t="s">
        <v>190</v>
      </c>
      <c r="H699" t="s">
        <v>1755</v>
      </c>
      <c r="I699" s="5">
        <v>4000</v>
      </c>
      <c r="L699" s="5">
        <v>4000</v>
      </c>
      <c r="N699" s="5">
        <v>4000</v>
      </c>
    </row>
    <row r="700" spans="1:14">
      <c r="A700" t="s">
        <v>1756</v>
      </c>
      <c r="B700" t="s">
        <v>1048</v>
      </c>
      <c r="C700" t="s">
        <v>167</v>
      </c>
      <c r="D700" s="6">
        <v>90</v>
      </c>
      <c r="E700" t="s">
        <v>1064</v>
      </c>
      <c r="F700" t="s">
        <v>56</v>
      </c>
      <c r="G700" t="s">
        <v>190</v>
      </c>
      <c r="H700" t="s">
        <v>1757</v>
      </c>
      <c r="I700" s="5">
        <v>3000</v>
      </c>
      <c r="L700" s="5">
        <v>3000</v>
      </c>
      <c r="N700" s="5">
        <v>3000</v>
      </c>
    </row>
    <row r="701" spans="1:14">
      <c r="A701" t="s">
        <v>1758</v>
      </c>
      <c r="B701" t="s">
        <v>1048</v>
      </c>
      <c r="E701" t="s">
        <v>1048</v>
      </c>
      <c r="G701" t="s">
        <v>190</v>
      </c>
      <c r="H701" t="s">
        <v>1759</v>
      </c>
      <c r="I701" s="5">
        <v>18000</v>
      </c>
      <c r="L701" s="5">
        <v>18000</v>
      </c>
      <c r="N701" s="5">
        <v>18000</v>
      </c>
    </row>
    <row r="702" spans="1:14">
      <c r="A702" t="s">
        <v>1760</v>
      </c>
      <c r="B702" t="s">
        <v>1287</v>
      </c>
      <c r="C702" t="s">
        <v>18</v>
      </c>
      <c r="D702" s="6">
        <v>0</v>
      </c>
      <c r="E702" t="s">
        <v>1287</v>
      </c>
      <c r="F702" t="s">
        <v>46</v>
      </c>
      <c r="G702" t="s">
        <v>1288</v>
      </c>
      <c r="H702" t="s">
        <v>1761</v>
      </c>
      <c r="I702" s="5">
        <v>8000</v>
      </c>
      <c r="L702" s="5">
        <v>8000</v>
      </c>
      <c r="N702" s="5">
        <v>8000</v>
      </c>
    </row>
    <row r="703" spans="1:14">
      <c r="A703" t="s">
        <v>1762</v>
      </c>
      <c r="B703" t="s">
        <v>1553</v>
      </c>
      <c r="C703" t="s">
        <v>60</v>
      </c>
      <c r="D703" s="6">
        <v>0</v>
      </c>
      <c r="E703" t="s">
        <v>1553</v>
      </c>
      <c r="F703" t="s">
        <v>56</v>
      </c>
      <c r="G703" t="s">
        <v>605</v>
      </c>
      <c r="H703" t="s">
        <v>1763</v>
      </c>
      <c r="I703" s="5">
        <v>6000</v>
      </c>
      <c r="L703" s="5">
        <v>6000</v>
      </c>
      <c r="N703" s="5">
        <v>6000</v>
      </c>
    </row>
    <row r="704" spans="1:14">
      <c r="A704" t="s">
        <v>1764</v>
      </c>
      <c r="B704" t="s">
        <v>1553</v>
      </c>
      <c r="C704" t="s">
        <v>60</v>
      </c>
      <c r="D704" s="6">
        <v>0</v>
      </c>
      <c r="E704" t="s">
        <v>1553</v>
      </c>
      <c r="F704" t="s">
        <v>56</v>
      </c>
      <c r="G704" t="s">
        <v>196</v>
      </c>
      <c r="H704" t="s">
        <v>1765</v>
      </c>
      <c r="I704" s="5">
        <v>1000</v>
      </c>
      <c r="L704" s="5">
        <v>1000</v>
      </c>
      <c r="N704" s="5">
        <v>1000</v>
      </c>
    </row>
    <row r="705" spans="8:14">
      <c r="H705" s="1" t="s">
        <v>1766</v>
      </c>
      <c r="I705" s="1">
        <v>147567400.16999999</v>
      </c>
      <c r="J705" s="1">
        <v>-361440.31</v>
      </c>
      <c r="K705" s="1">
        <v>193550</v>
      </c>
      <c r="L705" s="1">
        <v>147399509.86000001</v>
      </c>
      <c r="M705" s="1">
        <v>15598446.59</v>
      </c>
      <c r="N705" s="1">
        <v>131801063.27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0"/>
  <sheetViews>
    <sheetView workbookViewId="0">
      <pane xSplit="7" ySplit="4" topLeftCell="I688" activePane="bottomRight" state="frozen"/>
      <selection pane="topRight" activeCell="I1" sqref="I1"/>
      <selection pane="bottomLeft" activeCell="A4" sqref="A4"/>
      <selection pane="bottomRight" activeCell="K726" sqref="K726"/>
    </sheetView>
  </sheetViews>
  <sheetFormatPr defaultRowHeight="15"/>
  <cols>
    <col min="1" max="1" width="10.28515625" customWidth="1"/>
    <col min="2" max="2" width="9.7109375" customWidth="1"/>
    <col min="3" max="3" width="29.85546875" hidden="1" customWidth="1"/>
    <col min="4" max="4" width="6" hidden="1" customWidth="1"/>
    <col min="5" max="5" width="13" hidden="1" customWidth="1"/>
    <col min="6" max="6" width="42.42578125" customWidth="1"/>
    <col min="7" max="8" width="18.28515625" hidden="1" customWidth="1"/>
    <col min="9" max="9" width="0.140625" customWidth="1"/>
    <col min="10" max="10" width="12" customWidth="1"/>
    <col min="11" max="11" width="16.28515625" customWidth="1"/>
    <col min="12" max="12" width="16.85546875" hidden="1" customWidth="1"/>
    <col min="13" max="13" width="18.28515625" hidden="1" customWidth="1"/>
    <col min="14" max="14" width="15.5703125" customWidth="1"/>
    <col min="15" max="15" width="10" hidden="1" customWidth="1"/>
    <col min="16" max="16" width="0.42578125" customWidth="1"/>
    <col min="17" max="17" width="29.85546875" customWidth="1"/>
    <col min="18" max="18" width="11.28515625" customWidth="1"/>
    <col min="19" max="19" width="11.7109375" customWidth="1"/>
  </cols>
  <sheetData>
    <row r="1" spans="1:20" s="14" customFormat="1">
      <c r="A1" s="14" t="s">
        <v>1774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0" s="14" customFormat="1">
      <c r="A2" s="15" t="s">
        <v>1775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0" s="3" customFormat="1">
      <c r="A3" s="13"/>
    </row>
    <row r="4" spans="1:20">
      <c r="A4" s="22" t="s">
        <v>3</v>
      </c>
      <c r="B4" s="22" t="s">
        <v>1772</v>
      </c>
      <c r="C4" s="22" t="s">
        <v>4</v>
      </c>
      <c r="D4" s="22" t="s">
        <v>5</v>
      </c>
      <c r="E4" s="22" t="s">
        <v>6</v>
      </c>
      <c r="F4" s="22" t="s">
        <v>1773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1769</v>
      </c>
      <c r="L4" s="22" t="s">
        <v>14</v>
      </c>
      <c r="M4" s="22" t="s">
        <v>15</v>
      </c>
      <c r="N4" s="22" t="s">
        <v>1770</v>
      </c>
      <c r="O4" s="23"/>
      <c r="P4" s="23"/>
      <c r="Q4" s="29" t="s">
        <v>1777</v>
      </c>
    </row>
    <row r="5" spans="1:20">
      <c r="A5" s="2" t="s">
        <v>17</v>
      </c>
      <c r="B5" s="2" t="s">
        <v>16</v>
      </c>
      <c r="C5" s="2" t="s">
        <v>18</v>
      </c>
      <c r="D5" s="16">
        <v>0</v>
      </c>
      <c r="E5" s="2" t="s">
        <v>17</v>
      </c>
      <c r="F5" s="2" t="s">
        <v>20</v>
      </c>
      <c r="G5" s="2" t="s">
        <v>21</v>
      </c>
      <c r="H5" s="17">
        <v>105000</v>
      </c>
      <c r="I5" s="2"/>
      <c r="J5" s="2"/>
      <c r="K5" s="17">
        <v>105000</v>
      </c>
      <c r="L5" s="17">
        <v>11250</v>
      </c>
      <c r="M5" s="17">
        <v>93750</v>
      </c>
      <c r="N5" s="17">
        <v>105000</v>
      </c>
      <c r="O5" s="2"/>
      <c r="P5" s="2"/>
      <c r="Q5" s="2" t="s">
        <v>19</v>
      </c>
      <c r="R5" s="5">
        <f>+J5+K5</f>
        <v>105000</v>
      </c>
      <c r="S5" s="5">
        <f>+N5</f>
        <v>105000</v>
      </c>
      <c r="T5" s="5">
        <f>+R5-S5</f>
        <v>0</v>
      </c>
    </row>
    <row r="6" spans="1:20">
      <c r="A6" s="2" t="s">
        <v>17</v>
      </c>
      <c r="B6" s="2" t="s">
        <v>22</v>
      </c>
      <c r="C6" s="2" t="s">
        <v>23</v>
      </c>
      <c r="D6" s="16">
        <v>30</v>
      </c>
      <c r="E6" s="2" t="s">
        <v>24</v>
      </c>
      <c r="F6" s="2" t="s">
        <v>26</v>
      </c>
      <c r="G6" s="2" t="s">
        <v>27</v>
      </c>
      <c r="H6" s="17">
        <v>344364.5</v>
      </c>
      <c r="I6" s="2"/>
      <c r="J6" s="2"/>
      <c r="K6" s="17">
        <v>344364.5</v>
      </c>
      <c r="L6" s="17">
        <v>36896.199999999997</v>
      </c>
      <c r="M6" s="17">
        <v>307468.3</v>
      </c>
      <c r="N6" s="17">
        <v>344364.5</v>
      </c>
      <c r="O6" s="2"/>
      <c r="P6" s="2"/>
      <c r="Q6" s="2" t="s">
        <v>25</v>
      </c>
      <c r="R6" s="5">
        <f t="shared" ref="R6:R69" si="0">+J6+K6</f>
        <v>344364.5</v>
      </c>
      <c r="S6" s="5">
        <f t="shared" ref="S6:S69" si="1">+N6</f>
        <v>344364.5</v>
      </c>
      <c r="T6" s="5">
        <f t="shared" ref="T6:T69" si="2">+R6-S6</f>
        <v>0</v>
      </c>
    </row>
    <row r="7" spans="1:20">
      <c r="A7" s="2" t="s">
        <v>17</v>
      </c>
      <c r="B7" s="2" t="s">
        <v>28</v>
      </c>
      <c r="C7" s="2" t="s">
        <v>29</v>
      </c>
      <c r="D7" s="16">
        <v>0</v>
      </c>
      <c r="E7" s="2" t="s">
        <v>17</v>
      </c>
      <c r="F7" s="2" t="s">
        <v>31</v>
      </c>
      <c r="G7" s="2" t="s">
        <v>32</v>
      </c>
      <c r="H7" s="17">
        <v>208698</v>
      </c>
      <c r="I7" s="2"/>
      <c r="J7" s="2"/>
      <c r="K7" s="17">
        <v>208698</v>
      </c>
      <c r="L7" s="17">
        <v>22360.5</v>
      </c>
      <c r="M7" s="17">
        <v>186337.5</v>
      </c>
      <c r="N7" s="17">
        <v>208698</v>
      </c>
      <c r="O7" s="2"/>
      <c r="P7" s="2"/>
      <c r="Q7" s="2" t="s">
        <v>30</v>
      </c>
      <c r="R7" s="5">
        <f t="shared" si="0"/>
        <v>208698</v>
      </c>
      <c r="S7" s="5">
        <f t="shared" si="1"/>
        <v>208698</v>
      </c>
      <c r="T7" s="5">
        <f t="shared" si="2"/>
        <v>0</v>
      </c>
    </row>
    <row r="8" spans="1:20">
      <c r="A8" s="2" t="s">
        <v>17</v>
      </c>
      <c r="B8" s="2" t="s">
        <v>33</v>
      </c>
      <c r="C8" s="2" t="s">
        <v>34</v>
      </c>
      <c r="D8" s="16">
        <v>60</v>
      </c>
      <c r="E8" s="2" t="s">
        <v>35</v>
      </c>
      <c r="F8" s="2" t="s">
        <v>37</v>
      </c>
      <c r="G8" s="2" t="s">
        <v>38</v>
      </c>
      <c r="H8" s="17">
        <v>173450.58</v>
      </c>
      <c r="I8" s="2"/>
      <c r="J8" s="2"/>
      <c r="K8" s="17">
        <v>173450.58</v>
      </c>
      <c r="L8" s="17">
        <v>18583.990000000002</v>
      </c>
      <c r="M8" s="17">
        <v>154866.59</v>
      </c>
      <c r="N8" s="17">
        <v>173450.58</v>
      </c>
      <c r="O8" s="2"/>
      <c r="P8" s="2"/>
      <c r="Q8" s="2" t="s">
        <v>36</v>
      </c>
      <c r="R8" s="5">
        <f t="shared" si="0"/>
        <v>173450.58</v>
      </c>
      <c r="S8" s="5">
        <f t="shared" si="1"/>
        <v>173450.58</v>
      </c>
      <c r="T8" s="5">
        <f t="shared" si="2"/>
        <v>0</v>
      </c>
    </row>
    <row r="9" spans="1:20">
      <c r="A9" s="2" t="s">
        <v>17</v>
      </c>
      <c r="B9" s="2" t="s">
        <v>39</v>
      </c>
      <c r="C9" s="2" t="s">
        <v>29</v>
      </c>
      <c r="D9" s="16">
        <v>0</v>
      </c>
      <c r="E9" s="2" t="s">
        <v>17</v>
      </c>
      <c r="F9" s="2" t="s">
        <v>40</v>
      </c>
      <c r="G9" s="2" t="s">
        <v>41</v>
      </c>
      <c r="H9" s="17">
        <v>186500</v>
      </c>
      <c r="I9" s="2"/>
      <c r="J9" s="2"/>
      <c r="K9" s="17">
        <v>186500</v>
      </c>
      <c r="L9" s="17">
        <v>19982.14</v>
      </c>
      <c r="M9" s="17">
        <v>166517.85999999999</v>
      </c>
      <c r="N9" s="17">
        <v>186500</v>
      </c>
      <c r="O9" s="2"/>
      <c r="P9" s="2"/>
      <c r="Q9" s="2" t="s">
        <v>30</v>
      </c>
      <c r="R9" s="5">
        <f t="shared" si="0"/>
        <v>186500</v>
      </c>
      <c r="S9" s="5">
        <f t="shared" si="1"/>
        <v>186500</v>
      </c>
      <c r="T9" s="5">
        <f t="shared" si="2"/>
        <v>0</v>
      </c>
    </row>
    <row r="10" spans="1:20">
      <c r="A10" s="2" t="s">
        <v>17</v>
      </c>
      <c r="B10" s="2" t="s">
        <v>42</v>
      </c>
      <c r="C10" s="2" t="s">
        <v>29</v>
      </c>
      <c r="D10" s="16">
        <v>0</v>
      </c>
      <c r="E10" s="2" t="s">
        <v>17</v>
      </c>
      <c r="F10" s="2" t="s">
        <v>40</v>
      </c>
      <c r="G10" s="2" t="s">
        <v>43</v>
      </c>
      <c r="H10" s="17">
        <v>70000</v>
      </c>
      <c r="I10" s="2"/>
      <c r="J10" s="2"/>
      <c r="K10" s="17">
        <v>70000</v>
      </c>
      <c r="L10" s="17">
        <v>7500</v>
      </c>
      <c r="M10" s="17">
        <v>62500</v>
      </c>
      <c r="N10" s="17">
        <v>70000</v>
      </c>
      <c r="O10" s="2"/>
      <c r="P10" s="2"/>
      <c r="Q10" s="2" t="s">
        <v>30</v>
      </c>
      <c r="R10" s="5">
        <f t="shared" si="0"/>
        <v>70000</v>
      </c>
      <c r="S10" s="5">
        <f t="shared" si="1"/>
        <v>70000</v>
      </c>
      <c r="T10" s="5">
        <f t="shared" si="2"/>
        <v>0</v>
      </c>
    </row>
    <row r="11" spans="1:20">
      <c r="A11" s="2" t="s">
        <v>17</v>
      </c>
      <c r="B11" s="2" t="s">
        <v>44</v>
      </c>
      <c r="C11" s="2" t="s">
        <v>45</v>
      </c>
      <c r="D11" s="16">
        <v>0</v>
      </c>
      <c r="E11" s="2" t="s">
        <v>17</v>
      </c>
      <c r="F11" s="2" t="s">
        <v>47</v>
      </c>
      <c r="G11" s="2" t="s">
        <v>48</v>
      </c>
      <c r="H11" s="17">
        <v>5880</v>
      </c>
      <c r="I11" s="2"/>
      <c r="J11" s="2"/>
      <c r="K11" s="17">
        <v>5880</v>
      </c>
      <c r="L11" s="18">
        <v>630</v>
      </c>
      <c r="M11" s="17">
        <v>5250</v>
      </c>
      <c r="N11" s="17">
        <v>5880</v>
      </c>
      <c r="O11" s="2"/>
      <c r="P11" s="2"/>
      <c r="Q11" s="2" t="s">
        <v>46</v>
      </c>
      <c r="R11" s="5">
        <f t="shared" si="0"/>
        <v>5880</v>
      </c>
      <c r="S11" s="5">
        <f t="shared" si="1"/>
        <v>5880</v>
      </c>
      <c r="T11" s="5">
        <f t="shared" si="2"/>
        <v>0</v>
      </c>
    </row>
    <row r="12" spans="1:20">
      <c r="A12" s="2" t="s">
        <v>17</v>
      </c>
      <c r="B12" s="2" t="s">
        <v>49</v>
      </c>
      <c r="C12" s="2" t="s">
        <v>29</v>
      </c>
      <c r="D12" s="16">
        <v>0</v>
      </c>
      <c r="E12" s="2" t="s">
        <v>17</v>
      </c>
      <c r="F12" s="2" t="s">
        <v>51</v>
      </c>
      <c r="G12" s="2" t="s">
        <v>52</v>
      </c>
      <c r="H12" s="17">
        <v>11602.84</v>
      </c>
      <c r="I12" s="2"/>
      <c r="J12" s="17">
        <v>11602.84</v>
      </c>
      <c r="K12" s="2">
        <v>0</v>
      </c>
      <c r="L12" s="17">
        <v>1243.1600000000001</v>
      </c>
      <c r="M12" s="17">
        <v>10359.68</v>
      </c>
      <c r="N12" s="17">
        <v>11602.84</v>
      </c>
      <c r="O12" s="2" t="s">
        <v>1767</v>
      </c>
      <c r="P12" s="2"/>
      <c r="Q12" s="2" t="s">
        <v>50</v>
      </c>
      <c r="R12" s="5">
        <f t="shared" si="0"/>
        <v>11602.84</v>
      </c>
      <c r="S12" s="5">
        <f t="shared" si="1"/>
        <v>11602.84</v>
      </c>
      <c r="T12" s="5">
        <f t="shared" si="2"/>
        <v>0</v>
      </c>
    </row>
    <row r="13" spans="1:20">
      <c r="A13" s="2" t="s">
        <v>17</v>
      </c>
      <c r="B13" s="2" t="s">
        <v>53</v>
      </c>
      <c r="C13" s="2" t="s">
        <v>54</v>
      </c>
      <c r="D13" s="16">
        <v>90</v>
      </c>
      <c r="E13" s="2" t="s">
        <v>55</v>
      </c>
      <c r="F13" s="2" t="s">
        <v>57</v>
      </c>
      <c r="G13" s="2" t="s">
        <v>58</v>
      </c>
      <c r="H13" s="17">
        <v>1176000</v>
      </c>
      <c r="I13" s="2"/>
      <c r="J13" s="2"/>
      <c r="K13" s="17">
        <v>1176000</v>
      </c>
      <c r="L13" s="17">
        <v>126000</v>
      </c>
      <c r="M13" s="17">
        <v>1050000</v>
      </c>
      <c r="N13" s="17">
        <v>1176000</v>
      </c>
      <c r="O13" s="2"/>
      <c r="P13" s="2"/>
      <c r="Q13" s="2" t="s">
        <v>56</v>
      </c>
      <c r="R13" s="5">
        <f t="shared" si="0"/>
        <v>1176000</v>
      </c>
      <c r="S13" s="5">
        <f t="shared" si="1"/>
        <v>1176000</v>
      </c>
      <c r="T13" s="5">
        <f t="shared" si="2"/>
        <v>0</v>
      </c>
    </row>
    <row r="14" spans="1:20">
      <c r="A14" s="2" t="s">
        <v>17</v>
      </c>
      <c r="B14" s="2" t="s">
        <v>59</v>
      </c>
      <c r="C14" s="2" t="s">
        <v>60</v>
      </c>
      <c r="D14" s="16">
        <v>0</v>
      </c>
      <c r="E14" s="2" t="s">
        <v>17</v>
      </c>
      <c r="F14" s="2" t="s">
        <v>61</v>
      </c>
      <c r="G14" s="2" t="s">
        <v>62</v>
      </c>
      <c r="H14" s="17">
        <v>26000</v>
      </c>
      <c r="I14" s="19">
        <v>-520</v>
      </c>
      <c r="J14" s="2"/>
      <c r="K14" s="17">
        <v>25480</v>
      </c>
      <c r="L14" s="17">
        <v>2730</v>
      </c>
      <c r="M14" s="17">
        <v>22750</v>
      </c>
      <c r="N14" s="17">
        <v>25480</v>
      </c>
      <c r="O14" s="2"/>
      <c r="P14" s="2"/>
      <c r="Q14" s="2" t="s">
        <v>56</v>
      </c>
      <c r="R14" s="5">
        <f t="shared" si="0"/>
        <v>25480</v>
      </c>
      <c r="S14" s="5">
        <f t="shared" si="1"/>
        <v>25480</v>
      </c>
      <c r="T14" s="5">
        <f t="shared" si="2"/>
        <v>0</v>
      </c>
    </row>
    <row r="15" spans="1:20">
      <c r="A15" s="2" t="s">
        <v>17</v>
      </c>
      <c r="B15" s="2" t="s">
        <v>63</v>
      </c>
      <c r="C15" s="2" t="s">
        <v>64</v>
      </c>
      <c r="D15" s="16">
        <v>30</v>
      </c>
      <c r="E15" s="2" t="s">
        <v>24</v>
      </c>
      <c r="F15" s="2" t="s">
        <v>65</v>
      </c>
      <c r="G15" s="2" t="s">
        <v>66</v>
      </c>
      <c r="H15" s="17">
        <v>603830</v>
      </c>
      <c r="I15" s="2"/>
      <c r="J15" s="2"/>
      <c r="K15" s="17">
        <v>603830</v>
      </c>
      <c r="L15" s="17">
        <v>64696.07</v>
      </c>
      <c r="M15" s="17">
        <v>539133.93000000005</v>
      </c>
      <c r="N15" s="17">
        <v>603830</v>
      </c>
      <c r="O15" s="2"/>
      <c r="P15" s="2"/>
      <c r="Q15" s="2" t="s">
        <v>56</v>
      </c>
      <c r="R15" s="5">
        <f t="shared" si="0"/>
        <v>603830</v>
      </c>
      <c r="S15" s="5">
        <f t="shared" si="1"/>
        <v>603830</v>
      </c>
      <c r="T15" s="5">
        <f t="shared" si="2"/>
        <v>0</v>
      </c>
    </row>
    <row r="16" spans="1:20">
      <c r="A16" s="2" t="s">
        <v>17</v>
      </c>
      <c r="B16" s="2" t="s">
        <v>67</v>
      </c>
      <c r="C16" s="2" t="s">
        <v>68</v>
      </c>
      <c r="D16" s="16">
        <v>60</v>
      </c>
      <c r="E16" s="2" t="s">
        <v>35</v>
      </c>
      <c r="F16" s="2" t="s">
        <v>70</v>
      </c>
      <c r="G16" s="2" t="s">
        <v>71</v>
      </c>
      <c r="H16" s="17">
        <v>2419200</v>
      </c>
      <c r="I16" s="2"/>
      <c r="J16" s="2"/>
      <c r="K16" s="17">
        <v>2419200</v>
      </c>
      <c r="L16" s="17">
        <v>259200</v>
      </c>
      <c r="M16" s="17">
        <v>2160000</v>
      </c>
      <c r="N16" s="17">
        <v>2419200</v>
      </c>
      <c r="O16" s="2"/>
      <c r="P16" s="2"/>
      <c r="Q16" s="2" t="s">
        <v>69</v>
      </c>
      <c r="R16" s="5">
        <f t="shared" si="0"/>
        <v>2419200</v>
      </c>
      <c r="S16" s="5">
        <f t="shared" si="1"/>
        <v>2419200</v>
      </c>
      <c r="T16" s="5">
        <f t="shared" si="2"/>
        <v>0</v>
      </c>
    </row>
    <row r="17" spans="1:20">
      <c r="A17" s="2" t="s">
        <v>17</v>
      </c>
      <c r="B17" s="2" t="s">
        <v>72</v>
      </c>
      <c r="C17" s="2" t="s">
        <v>73</v>
      </c>
      <c r="D17" s="16">
        <v>30</v>
      </c>
      <c r="E17" s="2" t="s">
        <v>24</v>
      </c>
      <c r="F17" s="2" t="s">
        <v>74</v>
      </c>
      <c r="G17" s="2" t="s">
        <v>75</v>
      </c>
      <c r="H17" s="17">
        <v>369000</v>
      </c>
      <c r="I17" s="2"/>
      <c r="J17" s="2"/>
      <c r="K17" s="17">
        <v>369000</v>
      </c>
      <c r="L17" s="17">
        <v>39535.71</v>
      </c>
      <c r="M17" s="17">
        <v>329464.28999999998</v>
      </c>
      <c r="N17" s="17">
        <v>369000</v>
      </c>
      <c r="O17" s="2"/>
      <c r="P17" s="2"/>
      <c r="Q17" s="2" t="s">
        <v>19</v>
      </c>
      <c r="R17" s="5">
        <f t="shared" si="0"/>
        <v>369000</v>
      </c>
      <c r="S17" s="5">
        <f t="shared" si="1"/>
        <v>369000</v>
      </c>
      <c r="T17" s="5">
        <f t="shared" si="2"/>
        <v>0</v>
      </c>
    </row>
    <row r="18" spans="1:20">
      <c r="A18" s="2" t="s">
        <v>17</v>
      </c>
      <c r="B18" s="2" t="s">
        <v>76</v>
      </c>
      <c r="C18" s="2" t="s">
        <v>68</v>
      </c>
      <c r="D18" s="16">
        <v>60</v>
      </c>
      <c r="E18" s="2" t="s">
        <v>35</v>
      </c>
      <c r="F18" s="2" t="s">
        <v>70</v>
      </c>
      <c r="G18" s="2" t="s">
        <v>77</v>
      </c>
      <c r="H18" s="17">
        <v>316320</v>
      </c>
      <c r="I18" s="2"/>
      <c r="J18" s="2"/>
      <c r="K18" s="17">
        <v>316320</v>
      </c>
      <c r="L18" s="17">
        <v>33891.43</v>
      </c>
      <c r="M18" s="17">
        <v>282428.57</v>
      </c>
      <c r="N18" s="17">
        <v>316320</v>
      </c>
      <c r="O18" s="2"/>
      <c r="P18" s="2"/>
      <c r="Q18" s="2" t="s">
        <v>69</v>
      </c>
      <c r="R18" s="5">
        <f t="shared" si="0"/>
        <v>316320</v>
      </c>
      <c r="S18" s="5">
        <f t="shared" si="1"/>
        <v>316320</v>
      </c>
      <c r="T18" s="5">
        <f t="shared" si="2"/>
        <v>0</v>
      </c>
    </row>
    <row r="19" spans="1:20">
      <c r="A19" s="2" t="s">
        <v>17</v>
      </c>
      <c r="B19" s="2" t="s">
        <v>78</v>
      </c>
      <c r="C19" s="2" t="s">
        <v>79</v>
      </c>
      <c r="D19" s="16">
        <v>30</v>
      </c>
      <c r="E19" s="2" t="s">
        <v>24</v>
      </c>
      <c r="F19" s="2" t="s">
        <v>80</v>
      </c>
      <c r="G19" s="2" t="s">
        <v>81</v>
      </c>
      <c r="H19" s="17">
        <v>23350</v>
      </c>
      <c r="I19" s="2"/>
      <c r="J19" s="2"/>
      <c r="K19" s="17">
        <v>23350</v>
      </c>
      <c r="L19" s="17">
        <v>2501.79</v>
      </c>
      <c r="M19" s="17">
        <v>20848.21</v>
      </c>
      <c r="N19" s="17">
        <v>23350</v>
      </c>
      <c r="O19" s="2"/>
      <c r="P19" s="2"/>
      <c r="Q19" s="2" t="s">
        <v>69</v>
      </c>
      <c r="R19" s="5">
        <f t="shared" si="0"/>
        <v>23350</v>
      </c>
      <c r="S19" s="5">
        <f t="shared" si="1"/>
        <v>23350</v>
      </c>
      <c r="T19" s="5">
        <f t="shared" si="2"/>
        <v>0</v>
      </c>
    </row>
    <row r="20" spans="1:20">
      <c r="A20" s="2" t="s">
        <v>17</v>
      </c>
      <c r="B20" s="2" t="s">
        <v>82</v>
      </c>
      <c r="C20" s="2" t="s">
        <v>79</v>
      </c>
      <c r="D20" s="16">
        <v>30</v>
      </c>
      <c r="E20" s="2" t="s">
        <v>24</v>
      </c>
      <c r="F20" s="2" t="s">
        <v>80</v>
      </c>
      <c r="G20" s="2" t="s">
        <v>83</v>
      </c>
      <c r="H20" s="17">
        <v>6675</v>
      </c>
      <c r="I20" s="2"/>
      <c r="J20" s="2"/>
      <c r="K20" s="17">
        <v>6675</v>
      </c>
      <c r="L20" s="18">
        <v>715.18</v>
      </c>
      <c r="M20" s="17">
        <v>5959.82</v>
      </c>
      <c r="N20" s="17">
        <v>6675</v>
      </c>
      <c r="O20" s="2"/>
      <c r="P20" s="2"/>
      <c r="Q20" s="2" t="s">
        <v>69</v>
      </c>
      <c r="R20" s="5">
        <f t="shared" si="0"/>
        <v>6675</v>
      </c>
      <c r="S20" s="5">
        <f t="shared" si="1"/>
        <v>6675</v>
      </c>
      <c r="T20" s="5">
        <f t="shared" si="2"/>
        <v>0</v>
      </c>
    </row>
    <row r="21" spans="1:20">
      <c r="A21" s="2" t="s">
        <v>17</v>
      </c>
      <c r="B21" s="2" t="s">
        <v>84</v>
      </c>
      <c r="C21" s="2" t="s">
        <v>60</v>
      </c>
      <c r="D21" s="16">
        <v>0</v>
      </c>
      <c r="E21" s="2" t="s">
        <v>17</v>
      </c>
      <c r="F21" s="2" t="s">
        <v>85</v>
      </c>
      <c r="G21" s="2" t="s">
        <v>86</v>
      </c>
      <c r="H21" s="17">
        <v>266373</v>
      </c>
      <c r="I21" s="2"/>
      <c r="J21" s="2"/>
      <c r="K21" s="17">
        <v>266373</v>
      </c>
      <c r="L21" s="17">
        <v>28539.96</v>
      </c>
      <c r="M21" s="17">
        <v>237833.04</v>
      </c>
      <c r="N21" s="17">
        <v>266373</v>
      </c>
      <c r="O21" s="2"/>
      <c r="P21" s="2"/>
      <c r="Q21" s="2" t="s">
        <v>30</v>
      </c>
      <c r="R21" s="5">
        <f t="shared" si="0"/>
        <v>266373</v>
      </c>
      <c r="S21" s="5">
        <f t="shared" si="1"/>
        <v>266373</v>
      </c>
      <c r="T21" s="5">
        <f t="shared" si="2"/>
        <v>0</v>
      </c>
    </row>
    <row r="22" spans="1:20">
      <c r="A22" s="2" t="s">
        <v>17</v>
      </c>
      <c r="B22" s="2" t="s">
        <v>87</v>
      </c>
      <c r="C22" s="2" t="s">
        <v>29</v>
      </c>
      <c r="D22" s="16">
        <v>0</v>
      </c>
      <c r="E22" s="2" t="s">
        <v>17</v>
      </c>
      <c r="F22" s="2" t="s">
        <v>40</v>
      </c>
      <c r="G22" s="2" t="s">
        <v>88</v>
      </c>
      <c r="H22" s="17">
        <v>1008800</v>
      </c>
      <c r="I22" s="2"/>
      <c r="J22" s="2"/>
      <c r="K22" s="17">
        <v>1008800</v>
      </c>
      <c r="L22" s="17">
        <v>108085.71</v>
      </c>
      <c r="M22" s="17">
        <v>900714.29</v>
      </c>
      <c r="N22" s="17">
        <v>1008800</v>
      </c>
      <c r="O22" s="2"/>
      <c r="P22" s="2"/>
      <c r="Q22" s="2" t="s">
        <v>30</v>
      </c>
      <c r="R22" s="5">
        <f t="shared" si="0"/>
        <v>1008800</v>
      </c>
      <c r="S22" s="5">
        <f t="shared" si="1"/>
        <v>1008800</v>
      </c>
      <c r="T22" s="5">
        <f t="shared" si="2"/>
        <v>0</v>
      </c>
    </row>
    <row r="23" spans="1:20">
      <c r="A23" s="2" t="s">
        <v>17</v>
      </c>
      <c r="B23" s="2" t="s">
        <v>89</v>
      </c>
      <c r="C23" s="2" t="s">
        <v>73</v>
      </c>
      <c r="D23" s="16">
        <v>30</v>
      </c>
      <c r="E23" s="2" t="s">
        <v>24</v>
      </c>
      <c r="F23" s="2" t="s">
        <v>90</v>
      </c>
      <c r="G23" s="2" t="s">
        <v>91</v>
      </c>
      <c r="H23" s="17">
        <v>182032</v>
      </c>
      <c r="I23" s="2"/>
      <c r="J23" s="2"/>
      <c r="K23" s="17">
        <v>182032</v>
      </c>
      <c r="L23" s="17">
        <v>19503.43</v>
      </c>
      <c r="M23" s="17">
        <v>162528.57</v>
      </c>
      <c r="N23" s="17">
        <v>182032</v>
      </c>
      <c r="O23" s="2"/>
      <c r="P23" s="2"/>
      <c r="Q23" s="2" t="s">
        <v>56</v>
      </c>
      <c r="R23" s="5">
        <f t="shared" si="0"/>
        <v>182032</v>
      </c>
      <c r="S23" s="5">
        <f t="shared" si="1"/>
        <v>182032</v>
      </c>
      <c r="T23" s="5">
        <f t="shared" si="2"/>
        <v>0</v>
      </c>
    </row>
    <row r="24" spans="1:20">
      <c r="A24" s="2" t="s">
        <v>93</v>
      </c>
      <c r="B24" s="2" t="s">
        <v>92</v>
      </c>
      <c r="C24" s="2" t="s">
        <v>94</v>
      </c>
      <c r="D24" s="16">
        <v>0</v>
      </c>
      <c r="E24" s="2" t="s">
        <v>93</v>
      </c>
      <c r="F24" s="2" t="s">
        <v>95</v>
      </c>
      <c r="G24" s="2" t="s">
        <v>96</v>
      </c>
      <c r="H24" s="17">
        <v>422500</v>
      </c>
      <c r="I24" s="2"/>
      <c r="J24" s="2"/>
      <c r="K24" s="17">
        <v>422500</v>
      </c>
      <c r="L24" s="17">
        <v>45267.86</v>
      </c>
      <c r="M24" s="17">
        <v>377232.14</v>
      </c>
      <c r="N24" s="17">
        <v>422500</v>
      </c>
      <c r="O24" s="2"/>
      <c r="P24" s="2"/>
      <c r="Q24" s="2" t="s">
        <v>46</v>
      </c>
      <c r="R24" s="5">
        <f t="shared" si="0"/>
        <v>422500</v>
      </c>
      <c r="S24" s="5">
        <f t="shared" si="1"/>
        <v>422500</v>
      </c>
      <c r="T24" s="5">
        <f t="shared" si="2"/>
        <v>0</v>
      </c>
    </row>
    <row r="25" spans="1:20">
      <c r="A25" s="2" t="s">
        <v>93</v>
      </c>
      <c r="B25" s="2" t="s">
        <v>97</v>
      </c>
      <c r="C25" s="2" t="s">
        <v>98</v>
      </c>
      <c r="D25" s="16">
        <v>0</v>
      </c>
      <c r="E25" s="2" t="s">
        <v>93</v>
      </c>
      <c r="F25" s="2" t="s">
        <v>99</v>
      </c>
      <c r="G25" s="2" t="s">
        <v>100</v>
      </c>
      <c r="H25" s="17">
        <v>96500</v>
      </c>
      <c r="I25" s="19">
        <v>-2895</v>
      </c>
      <c r="J25" s="2"/>
      <c r="K25" s="17">
        <v>93605</v>
      </c>
      <c r="L25" s="17">
        <v>10029.11</v>
      </c>
      <c r="M25" s="17">
        <v>83575.89</v>
      </c>
      <c r="N25" s="17">
        <v>93605</v>
      </c>
      <c r="O25" s="2"/>
      <c r="P25" s="2"/>
      <c r="Q25" s="2" t="s">
        <v>69</v>
      </c>
      <c r="R25" s="5">
        <f t="shared" si="0"/>
        <v>93605</v>
      </c>
      <c r="S25" s="5">
        <f t="shared" si="1"/>
        <v>93605</v>
      </c>
      <c r="T25" s="5">
        <f t="shared" si="2"/>
        <v>0</v>
      </c>
    </row>
    <row r="26" spans="1:20">
      <c r="A26" s="2" t="s">
        <v>93</v>
      </c>
      <c r="B26" s="2" t="s">
        <v>101</v>
      </c>
      <c r="C26" s="2" t="s">
        <v>98</v>
      </c>
      <c r="D26" s="16">
        <v>0</v>
      </c>
      <c r="E26" s="2" t="s">
        <v>93</v>
      </c>
      <c r="F26" s="2" t="s">
        <v>99</v>
      </c>
      <c r="G26" s="2" t="s">
        <v>102</v>
      </c>
      <c r="H26" s="17">
        <v>205360</v>
      </c>
      <c r="I26" s="19">
        <v>-6160.8</v>
      </c>
      <c r="J26" s="2"/>
      <c r="K26" s="17">
        <v>199199.2</v>
      </c>
      <c r="L26" s="17">
        <v>21342.77</v>
      </c>
      <c r="M26" s="17">
        <v>177856.43</v>
      </c>
      <c r="N26" s="17">
        <v>199199.2</v>
      </c>
      <c r="O26" s="2"/>
      <c r="P26" s="2"/>
      <c r="Q26" s="2" t="s">
        <v>69</v>
      </c>
      <c r="R26" s="5">
        <f t="shared" si="0"/>
        <v>199199.2</v>
      </c>
      <c r="S26" s="5">
        <f t="shared" si="1"/>
        <v>199199.2</v>
      </c>
      <c r="T26" s="5">
        <f t="shared" si="2"/>
        <v>0</v>
      </c>
    </row>
    <row r="27" spans="1:20">
      <c r="A27" s="2" t="s">
        <v>93</v>
      </c>
      <c r="B27" s="2" t="s">
        <v>103</v>
      </c>
      <c r="C27" s="2" t="s">
        <v>104</v>
      </c>
      <c r="D27" s="16">
        <v>0</v>
      </c>
      <c r="E27" s="2" t="s">
        <v>93</v>
      </c>
      <c r="F27" s="2" t="s">
        <v>106</v>
      </c>
      <c r="G27" s="2" t="s">
        <v>107</v>
      </c>
      <c r="H27" s="17">
        <v>114000</v>
      </c>
      <c r="I27" s="19">
        <v>-3420</v>
      </c>
      <c r="J27" s="2"/>
      <c r="K27" s="17">
        <v>110580</v>
      </c>
      <c r="L27" s="17">
        <v>11847.86</v>
      </c>
      <c r="M27" s="17">
        <v>98732.14</v>
      </c>
      <c r="N27" s="17">
        <v>110580</v>
      </c>
      <c r="O27" s="2"/>
      <c r="P27" s="2"/>
      <c r="Q27" s="2" t="s">
        <v>105</v>
      </c>
      <c r="R27" s="5">
        <f t="shared" si="0"/>
        <v>110580</v>
      </c>
      <c r="S27" s="5">
        <f t="shared" si="1"/>
        <v>110580</v>
      </c>
      <c r="T27" s="5">
        <f t="shared" si="2"/>
        <v>0</v>
      </c>
    </row>
    <row r="28" spans="1:20">
      <c r="A28" s="2" t="s">
        <v>93</v>
      </c>
      <c r="B28" s="2" t="s">
        <v>108</v>
      </c>
      <c r="C28" s="2" t="s">
        <v>104</v>
      </c>
      <c r="D28" s="16">
        <v>0</v>
      </c>
      <c r="E28" s="2" t="s">
        <v>93</v>
      </c>
      <c r="F28" s="2" t="s">
        <v>106</v>
      </c>
      <c r="G28" s="2" t="s">
        <v>109</v>
      </c>
      <c r="H28" s="17">
        <v>260000</v>
      </c>
      <c r="I28" s="19">
        <v>-7800</v>
      </c>
      <c r="J28" s="2"/>
      <c r="K28" s="17">
        <v>252200</v>
      </c>
      <c r="L28" s="17">
        <v>27021.43</v>
      </c>
      <c r="M28" s="17">
        <v>225178.57</v>
      </c>
      <c r="N28" s="17">
        <v>252200</v>
      </c>
      <c r="O28" s="2"/>
      <c r="P28" s="2"/>
      <c r="Q28" s="2" t="s">
        <v>105</v>
      </c>
      <c r="R28" s="5">
        <f t="shared" si="0"/>
        <v>252200</v>
      </c>
      <c r="S28" s="5">
        <f t="shared" si="1"/>
        <v>252200</v>
      </c>
      <c r="T28" s="5">
        <f t="shared" si="2"/>
        <v>0</v>
      </c>
    </row>
    <row r="29" spans="1:20">
      <c r="A29" s="2" t="s">
        <v>93</v>
      </c>
      <c r="B29" s="2" t="s">
        <v>110</v>
      </c>
      <c r="C29" s="2" t="s">
        <v>18</v>
      </c>
      <c r="D29" s="16">
        <v>0</v>
      </c>
      <c r="E29" s="2" t="s">
        <v>93</v>
      </c>
      <c r="F29" s="2" t="s">
        <v>111</v>
      </c>
      <c r="G29" s="2" t="s">
        <v>112</v>
      </c>
      <c r="H29" s="17">
        <v>18378</v>
      </c>
      <c r="I29" s="2"/>
      <c r="J29" s="17">
        <v>6000</v>
      </c>
      <c r="K29" s="17">
        <f>24378-J29</f>
        <v>18378</v>
      </c>
      <c r="L29" s="17">
        <v>2611.9299999999998</v>
      </c>
      <c r="M29" s="17">
        <v>21766.07</v>
      </c>
      <c r="N29" s="17">
        <v>24378</v>
      </c>
      <c r="O29" s="2"/>
      <c r="P29" s="2"/>
      <c r="Q29" s="2" t="s">
        <v>46</v>
      </c>
      <c r="R29" s="5">
        <f t="shared" si="0"/>
        <v>24378</v>
      </c>
      <c r="S29" s="5">
        <f t="shared" si="1"/>
        <v>24378</v>
      </c>
      <c r="T29" s="5">
        <f t="shared" si="2"/>
        <v>0</v>
      </c>
    </row>
    <row r="30" spans="1:20">
      <c r="A30" s="2" t="s">
        <v>93</v>
      </c>
      <c r="B30" s="2" t="s">
        <v>113</v>
      </c>
      <c r="C30" s="2" t="s">
        <v>60</v>
      </c>
      <c r="D30" s="16">
        <v>0</v>
      </c>
      <c r="E30" s="2" t="s">
        <v>93</v>
      </c>
      <c r="F30" s="2" t="s">
        <v>114</v>
      </c>
      <c r="G30" s="2" t="s">
        <v>115</v>
      </c>
      <c r="H30" s="17">
        <v>272065</v>
      </c>
      <c r="I30" s="2"/>
      <c r="J30" s="2"/>
      <c r="K30" s="17">
        <v>272065</v>
      </c>
      <c r="L30" s="17">
        <v>29149.82</v>
      </c>
      <c r="M30" s="17">
        <v>242915.18</v>
      </c>
      <c r="N30" s="17">
        <v>272065</v>
      </c>
      <c r="O30" s="2"/>
      <c r="P30" s="2"/>
      <c r="Q30" s="2" t="s">
        <v>56</v>
      </c>
      <c r="R30" s="5">
        <f t="shared" si="0"/>
        <v>272065</v>
      </c>
      <c r="S30" s="5">
        <f t="shared" si="1"/>
        <v>272065</v>
      </c>
      <c r="T30" s="5">
        <f t="shared" si="2"/>
        <v>0</v>
      </c>
    </row>
    <row r="31" spans="1:20">
      <c r="A31" s="2" t="s">
        <v>93</v>
      </c>
      <c r="B31" s="2" t="s">
        <v>116</v>
      </c>
      <c r="C31" s="2" t="s">
        <v>117</v>
      </c>
      <c r="D31" s="16">
        <v>120</v>
      </c>
      <c r="E31" s="2" t="s">
        <v>118</v>
      </c>
      <c r="F31" s="2" t="s">
        <v>119</v>
      </c>
      <c r="G31" s="2" t="s">
        <v>120</v>
      </c>
      <c r="H31" s="17">
        <v>201354</v>
      </c>
      <c r="I31" s="2"/>
      <c r="J31" s="2"/>
      <c r="K31" s="17">
        <v>201354</v>
      </c>
      <c r="L31" s="17">
        <v>21573.64</v>
      </c>
      <c r="M31" s="17">
        <v>179780.36</v>
      </c>
      <c r="N31" s="17">
        <v>201354</v>
      </c>
      <c r="O31" s="2"/>
      <c r="P31" s="2"/>
      <c r="Q31" s="2" t="s">
        <v>56</v>
      </c>
      <c r="R31" s="5">
        <f t="shared" si="0"/>
        <v>201354</v>
      </c>
      <c r="S31" s="5">
        <f t="shared" si="1"/>
        <v>201354</v>
      </c>
      <c r="T31" s="5">
        <f t="shared" si="2"/>
        <v>0</v>
      </c>
    </row>
    <row r="32" spans="1:20">
      <c r="A32" s="2" t="s">
        <v>93</v>
      </c>
      <c r="B32" s="2" t="s">
        <v>121</v>
      </c>
      <c r="C32" s="2" t="s">
        <v>117</v>
      </c>
      <c r="D32" s="16">
        <v>120</v>
      </c>
      <c r="E32" s="2" t="s">
        <v>118</v>
      </c>
      <c r="F32" s="2" t="s">
        <v>119</v>
      </c>
      <c r="G32" s="2" t="s">
        <v>122</v>
      </c>
      <c r="H32" s="17">
        <v>25672</v>
      </c>
      <c r="I32" s="2"/>
      <c r="J32" s="2"/>
      <c r="K32" s="17">
        <v>25672</v>
      </c>
      <c r="L32" s="17">
        <v>2750.57</v>
      </c>
      <c r="M32" s="17">
        <v>22921.43</v>
      </c>
      <c r="N32" s="17">
        <v>25672</v>
      </c>
      <c r="O32" s="2"/>
      <c r="P32" s="2"/>
      <c r="Q32" s="2" t="s">
        <v>56</v>
      </c>
      <c r="R32" s="5">
        <f t="shared" si="0"/>
        <v>25672</v>
      </c>
      <c r="S32" s="5">
        <f t="shared" si="1"/>
        <v>25672</v>
      </c>
      <c r="T32" s="5">
        <f t="shared" si="2"/>
        <v>0</v>
      </c>
    </row>
    <row r="33" spans="1:20">
      <c r="A33" s="2" t="s">
        <v>93</v>
      </c>
      <c r="B33" s="2" t="s">
        <v>123</v>
      </c>
      <c r="C33" s="2" t="s">
        <v>117</v>
      </c>
      <c r="D33" s="16">
        <v>120</v>
      </c>
      <c r="E33" s="2" t="s">
        <v>118</v>
      </c>
      <c r="F33" s="2" t="s">
        <v>119</v>
      </c>
      <c r="G33" s="2" t="s">
        <v>124</v>
      </c>
      <c r="H33" s="17">
        <v>116892</v>
      </c>
      <c r="I33" s="2"/>
      <c r="J33" s="2"/>
      <c r="K33" s="17">
        <v>116892</v>
      </c>
      <c r="L33" s="17">
        <v>12524.14</v>
      </c>
      <c r="M33" s="17">
        <v>104367.86</v>
      </c>
      <c r="N33" s="17">
        <v>116892</v>
      </c>
      <c r="O33" s="2"/>
      <c r="P33" s="2"/>
      <c r="Q33" s="2" t="s">
        <v>56</v>
      </c>
      <c r="R33" s="5">
        <f t="shared" si="0"/>
        <v>116892</v>
      </c>
      <c r="S33" s="5">
        <f t="shared" si="1"/>
        <v>116892</v>
      </c>
      <c r="T33" s="5">
        <f t="shared" si="2"/>
        <v>0</v>
      </c>
    </row>
    <row r="34" spans="1:20">
      <c r="A34" s="2" t="s">
        <v>93</v>
      </c>
      <c r="B34" s="2" t="s">
        <v>125</v>
      </c>
      <c r="C34" s="2" t="s">
        <v>60</v>
      </c>
      <c r="D34" s="16">
        <v>0</v>
      </c>
      <c r="E34" s="2" t="s">
        <v>93</v>
      </c>
      <c r="F34" s="2" t="s">
        <v>126</v>
      </c>
      <c r="G34" s="2" t="s">
        <v>127</v>
      </c>
      <c r="H34" s="17">
        <v>19600</v>
      </c>
      <c r="I34" s="2"/>
      <c r="J34" s="2"/>
      <c r="K34" s="17">
        <v>19600</v>
      </c>
      <c r="L34" s="17">
        <v>2100</v>
      </c>
      <c r="M34" s="17">
        <v>17500</v>
      </c>
      <c r="N34" s="17">
        <v>19600</v>
      </c>
      <c r="O34" s="2"/>
      <c r="P34" s="2"/>
      <c r="Q34" s="2" t="s">
        <v>56</v>
      </c>
      <c r="R34" s="5">
        <f t="shared" si="0"/>
        <v>19600</v>
      </c>
      <c r="S34" s="5">
        <f t="shared" si="1"/>
        <v>19600</v>
      </c>
      <c r="T34" s="5">
        <f t="shared" si="2"/>
        <v>0</v>
      </c>
    </row>
    <row r="35" spans="1:20">
      <c r="A35" s="2" t="s">
        <v>93</v>
      </c>
      <c r="B35" s="2" t="s">
        <v>128</v>
      </c>
      <c r="C35" s="2" t="s">
        <v>60</v>
      </c>
      <c r="D35" s="16">
        <v>0</v>
      </c>
      <c r="E35" s="2" t="s">
        <v>93</v>
      </c>
      <c r="F35" s="2" t="s">
        <v>129</v>
      </c>
      <c r="G35" s="2" t="s">
        <v>130</v>
      </c>
      <c r="H35" s="17">
        <v>170715</v>
      </c>
      <c r="I35" s="19">
        <v>-3414.3</v>
      </c>
      <c r="J35" s="2"/>
      <c r="K35" s="17">
        <v>167300.70000000001</v>
      </c>
      <c r="L35" s="17">
        <v>17925.07</v>
      </c>
      <c r="M35" s="17">
        <v>149375.63</v>
      </c>
      <c r="N35" s="17">
        <v>167300.70000000001</v>
      </c>
      <c r="O35" s="2"/>
      <c r="P35" s="2"/>
      <c r="Q35" s="2" t="s">
        <v>46</v>
      </c>
      <c r="R35" s="5">
        <f t="shared" si="0"/>
        <v>167300.70000000001</v>
      </c>
      <c r="S35" s="5">
        <f t="shared" si="1"/>
        <v>167300.70000000001</v>
      </c>
      <c r="T35" s="5">
        <f t="shared" si="2"/>
        <v>0</v>
      </c>
    </row>
    <row r="36" spans="1:20">
      <c r="A36" s="2" t="s">
        <v>93</v>
      </c>
      <c r="B36" s="2" t="s">
        <v>131</v>
      </c>
      <c r="C36" s="2" t="s">
        <v>132</v>
      </c>
      <c r="D36" s="16">
        <v>0</v>
      </c>
      <c r="E36" s="2" t="s">
        <v>93</v>
      </c>
      <c r="F36" s="2" t="s">
        <v>133</v>
      </c>
      <c r="G36" s="2" t="s">
        <v>134</v>
      </c>
      <c r="H36" s="17">
        <v>55350</v>
      </c>
      <c r="I36" s="2"/>
      <c r="J36" s="2"/>
      <c r="K36" s="17">
        <v>55350</v>
      </c>
      <c r="L36" s="17">
        <v>5930.36</v>
      </c>
      <c r="M36" s="17">
        <v>49419.64</v>
      </c>
      <c r="N36" s="17">
        <v>55350</v>
      </c>
      <c r="O36" s="2"/>
      <c r="P36" s="2"/>
      <c r="Q36" s="2" t="s">
        <v>30</v>
      </c>
      <c r="R36" s="5">
        <f t="shared" si="0"/>
        <v>55350</v>
      </c>
      <c r="S36" s="5">
        <f t="shared" si="1"/>
        <v>55350</v>
      </c>
      <c r="T36" s="5">
        <f t="shared" si="2"/>
        <v>0</v>
      </c>
    </row>
    <row r="37" spans="1:20">
      <c r="A37" s="2" t="s">
        <v>93</v>
      </c>
      <c r="B37" s="2" t="s">
        <v>135</v>
      </c>
      <c r="C37" s="2" t="s">
        <v>34</v>
      </c>
      <c r="D37" s="16">
        <v>60</v>
      </c>
      <c r="E37" s="2" t="s">
        <v>136</v>
      </c>
      <c r="F37" s="2" t="s">
        <v>37</v>
      </c>
      <c r="G37" s="2" t="s">
        <v>137</v>
      </c>
      <c r="H37" s="17">
        <v>32101.08</v>
      </c>
      <c r="I37" s="2"/>
      <c r="J37" s="2"/>
      <c r="K37" s="17">
        <v>32101.08</v>
      </c>
      <c r="L37" s="17">
        <v>3439.4</v>
      </c>
      <c r="M37" s="17">
        <v>28661.68</v>
      </c>
      <c r="N37" s="17">
        <v>32101.08</v>
      </c>
      <c r="O37" s="2"/>
      <c r="P37" s="2"/>
      <c r="Q37" s="2" t="s">
        <v>36</v>
      </c>
      <c r="R37" s="5">
        <f t="shared" si="0"/>
        <v>32101.08</v>
      </c>
      <c r="S37" s="5">
        <f t="shared" si="1"/>
        <v>32101.08</v>
      </c>
      <c r="T37" s="5">
        <f t="shared" si="2"/>
        <v>0</v>
      </c>
    </row>
    <row r="38" spans="1:20">
      <c r="A38" s="2" t="s">
        <v>93</v>
      </c>
      <c r="B38" s="2" t="s">
        <v>138</v>
      </c>
      <c r="C38" s="2" t="s">
        <v>29</v>
      </c>
      <c r="D38" s="16">
        <v>0</v>
      </c>
      <c r="E38" s="2" t="s">
        <v>93</v>
      </c>
      <c r="F38" s="2" t="s">
        <v>140</v>
      </c>
      <c r="G38" s="2" t="s">
        <v>141</v>
      </c>
      <c r="H38" s="17">
        <v>8428</v>
      </c>
      <c r="I38" s="2"/>
      <c r="J38" s="2"/>
      <c r="K38" s="17">
        <v>8428</v>
      </c>
      <c r="L38" s="18">
        <v>903</v>
      </c>
      <c r="M38" s="17">
        <v>7525</v>
      </c>
      <c r="N38" s="17">
        <v>8428</v>
      </c>
      <c r="O38" s="2"/>
      <c r="P38" s="2"/>
      <c r="Q38" s="2" t="s">
        <v>139</v>
      </c>
      <c r="R38" s="5">
        <f t="shared" si="0"/>
        <v>8428</v>
      </c>
      <c r="S38" s="5">
        <f t="shared" si="1"/>
        <v>8428</v>
      </c>
      <c r="T38" s="5">
        <f t="shared" si="2"/>
        <v>0</v>
      </c>
    </row>
    <row r="39" spans="1:20">
      <c r="A39" s="2" t="s">
        <v>93</v>
      </c>
      <c r="B39" s="2" t="s">
        <v>142</v>
      </c>
      <c r="C39" s="2" t="s">
        <v>60</v>
      </c>
      <c r="D39" s="16">
        <v>0</v>
      </c>
      <c r="E39" s="2" t="s">
        <v>93</v>
      </c>
      <c r="F39" s="2" t="s">
        <v>143</v>
      </c>
      <c r="G39" s="2" t="s">
        <v>144</v>
      </c>
      <c r="H39" s="17">
        <v>58800</v>
      </c>
      <c r="I39" s="19">
        <v>-1764</v>
      </c>
      <c r="J39" s="2"/>
      <c r="K39" s="17">
        <v>57036</v>
      </c>
      <c r="L39" s="17">
        <v>6111</v>
      </c>
      <c r="M39" s="17">
        <v>50925</v>
      </c>
      <c r="N39" s="17">
        <v>57036</v>
      </c>
      <c r="O39" s="2"/>
      <c r="P39" s="2"/>
      <c r="Q39" s="2" t="s">
        <v>139</v>
      </c>
      <c r="R39" s="5">
        <f t="shared" si="0"/>
        <v>57036</v>
      </c>
      <c r="S39" s="5">
        <f t="shared" si="1"/>
        <v>57036</v>
      </c>
      <c r="T39" s="5">
        <f t="shared" si="2"/>
        <v>0</v>
      </c>
    </row>
    <row r="40" spans="1:20">
      <c r="A40" s="2" t="s">
        <v>93</v>
      </c>
      <c r="B40" s="2" t="s">
        <v>145</v>
      </c>
      <c r="C40" s="2" t="s">
        <v>146</v>
      </c>
      <c r="D40" s="16">
        <v>90</v>
      </c>
      <c r="E40" s="2" t="s">
        <v>147</v>
      </c>
      <c r="F40" s="2" t="s">
        <v>148</v>
      </c>
      <c r="G40" s="2" t="s">
        <v>149</v>
      </c>
      <c r="H40" s="17">
        <v>91954.87</v>
      </c>
      <c r="I40" s="2"/>
      <c r="J40" s="2"/>
      <c r="K40" s="17">
        <v>91954.87</v>
      </c>
      <c r="L40" s="17">
        <v>9852.31</v>
      </c>
      <c r="M40" s="17">
        <v>82102.559999999998</v>
      </c>
      <c r="N40" s="17">
        <v>91954.87</v>
      </c>
      <c r="O40" s="2"/>
      <c r="P40" s="2"/>
      <c r="Q40" s="2" t="s">
        <v>69</v>
      </c>
      <c r="R40" s="5">
        <f t="shared" si="0"/>
        <v>91954.87</v>
      </c>
      <c r="S40" s="5">
        <f t="shared" si="1"/>
        <v>91954.87</v>
      </c>
      <c r="T40" s="5">
        <f t="shared" si="2"/>
        <v>0</v>
      </c>
    </row>
    <row r="41" spans="1:20">
      <c r="A41" s="2" t="s">
        <v>93</v>
      </c>
      <c r="B41" s="2" t="s">
        <v>150</v>
      </c>
      <c r="C41" s="2" t="s">
        <v>151</v>
      </c>
      <c r="D41" s="16">
        <v>60</v>
      </c>
      <c r="E41" s="2" t="s">
        <v>136</v>
      </c>
      <c r="F41" s="2" t="s">
        <v>152</v>
      </c>
      <c r="G41" s="2" t="s">
        <v>153</v>
      </c>
      <c r="H41" s="17">
        <v>71884</v>
      </c>
      <c r="I41" s="2"/>
      <c r="J41" s="2"/>
      <c r="K41" s="17">
        <v>71884</v>
      </c>
      <c r="L41" s="17">
        <v>7701.86</v>
      </c>
      <c r="M41" s="17">
        <v>64182.14</v>
      </c>
      <c r="N41" s="17">
        <v>71884</v>
      </c>
      <c r="O41" s="2"/>
      <c r="P41" s="2"/>
      <c r="Q41" s="2" t="s">
        <v>56</v>
      </c>
      <c r="R41" s="5">
        <f t="shared" si="0"/>
        <v>71884</v>
      </c>
      <c r="S41" s="5">
        <f t="shared" si="1"/>
        <v>71884</v>
      </c>
      <c r="T41" s="5">
        <f t="shared" si="2"/>
        <v>0</v>
      </c>
    </row>
    <row r="42" spans="1:20">
      <c r="A42" s="2" t="s">
        <v>93</v>
      </c>
      <c r="B42" s="2" t="s">
        <v>154</v>
      </c>
      <c r="C42" s="2" t="s">
        <v>29</v>
      </c>
      <c r="D42" s="16">
        <v>0</v>
      </c>
      <c r="E42" s="2" t="s">
        <v>93</v>
      </c>
      <c r="F42" s="2" t="s">
        <v>155</v>
      </c>
      <c r="G42" s="2" t="s">
        <v>156</v>
      </c>
      <c r="H42" s="17">
        <v>168000</v>
      </c>
      <c r="I42" s="2"/>
      <c r="J42" s="2"/>
      <c r="K42" s="17">
        <v>168000</v>
      </c>
      <c r="L42" s="17">
        <v>18000</v>
      </c>
      <c r="M42" s="17">
        <v>150000</v>
      </c>
      <c r="N42" s="17">
        <v>168000</v>
      </c>
      <c r="O42" s="2"/>
      <c r="P42" s="2"/>
      <c r="Q42" s="2" t="s">
        <v>30</v>
      </c>
      <c r="R42" s="5">
        <f t="shared" si="0"/>
        <v>168000</v>
      </c>
      <c r="S42" s="5">
        <f t="shared" si="1"/>
        <v>168000</v>
      </c>
      <c r="T42" s="5">
        <f t="shared" si="2"/>
        <v>0</v>
      </c>
    </row>
    <row r="43" spans="1:20">
      <c r="A43" s="2" t="s">
        <v>93</v>
      </c>
      <c r="B43" s="2" t="s">
        <v>157</v>
      </c>
      <c r="C43" s="2" t="s">
        <v>29</v>
      </c>
      <c r="D43" s="16">
        <v>0</v>
      </c>
      <c r="E43" s="2" t="s">
        <v>93</v>
      </c>
      <c r="F43" s="2" t="s">
        <v>155</v>
      </c>
      <c r="G43" s="2" t="s">
        <v>158</v>
      </c>
      <c r="H43" s="17">
        <v>13800</v>
      </c>
      <c r="I43" s="2"/>
      <c r="J43" s="2"/>
      <c r="K43" s="17">
        <v>13800</v>
      </c>
      <c r="L43" s="17">
        <v>1478.57</v>
      </c>
      <c r="M43" s="17">
        <v>12321.43</v>
      </c>
      <c r="N43" s="17">
        <v>13800</v>
      </c>
      <c r="O43" s="2"/>
      <c r="P43" s="2"/>
      <c r="Q43" s="2" t="s">
        <v>30</v>
      </c>
      <c r="R43" s="5">
        <f t="shared" si="0"/>
        <v>13800</v>
      </c>
      <c r="S43" s="5">
        <f t="shared" si="1"/>
        <v>13800</v>
      </c>
      <c r="T43" s="5">
        <f t="shared" si="2"/>
        <v>0</v>
      </c>
    </row>
    <row r="44" spans="1:20">
      <c r="A44" s="2" t="s">
        <v>93</v>
      </c>
      <c r="B44" s="2" t="s">
        <v>159</v>
      </c>
      <c r="C44" s="2" t="s">
        <v>29</v>
      </c>
      <c r="D44" s="16">
        <v>0</v>
      </c>
      <c r="E44" s="2" t="s">
        <v>93</v>
      </c>
      <c r="F44" s="2" t="s">
        <v>155</v>
      </c>
      <c r="G44" s="2" t="s">
        <v>160</v>
      </c>
      <c r="H44" s="17">
        <v>109781</v>
      </c>
      <c r="I44" s="2"/>
      <c r="J44" s="2"/>
      <c r="K44" s="17">
        <v>109781</v>
      </c>
      <c r="L44" s="17">
        <v>11762.25</v>
      </c>
      <c r="M44" s="17">
        <v>98018.75</v>
      </c>
      <c r="N44" s="17">
        <v>109781</v>
      </c>
      <c r="O44" s="2"/>
      <c r="P44" s="2"/>
      <c r="Q44" s="2" t="s">
        <v>30</v>
      </c>
      <c r="R44" s="5">
        <f t="shared" si="0"/>
        <v>109781</v>
      </c>
      <c r="S44" s="5">
        <f t="shared" si="1"/>
        <v>109781</v>
      </c>
      <c r="T44" s="5">
        <f t="shared" si="2"/>
        <v>0</v>
      </c>
    </row>
    <row r="45" spans="1:20">
      <c r="A45" s="2" t="s">
        <v>93</v>
      </c>
      <c r="B45" s="2" t="s">
        <v>161</v>
      </c>
      <c r="C45" s="2" t="s">
        <v>162</v>
      </c>
      <c r="D45" s="16">
        <v>90</v>
      </c>
      <c r="E45" s="2" t="s">
        <v>147</v>
      </c>
      <c r="F45" s="2" t="s">
        <v>164</v>
      </c>
      <c r="G45" s="2" t="s">
        <v>165</v>
      </c>
      <c r="H45" s="17">
        <v>13175</v>
      </c>
      <c r="I45" s="2"/>
      <c r="J45" s="2"/>
      <c r="K45" s="17">
        <v>13175</v>
      </c>
      <c r="L45" s="17">
        <v>1411.61</v>
      </c>
      <c r="M45" s="17">
        <v>11763.39</v>
      </c>
      <c r="N45" s="17">
        <v>13175</v>
      </c>
      <c r="O45" s="2"/>
      <c r="P45" s="2"/>
      <c r="Q45" s="2" t="s">
        <v>163</v>
      </c>
      <c r="R45" s="5">
        <f t="shared" si="0"/>
        <v>13175</v>
      </c>
      <c r="S45" s="5">
        <f t="shared" si="1"/>
        <v>13175</v>
      </c>
      <c r="T45" s="5">
        <f t="shared" si="2"/>
        <v>0</v>
      </c>
    </row>
    <row r="46" spans="1:20">
      <c r="A46" s="2" t="s">
        <v>93</v>
      </c>
      <c r="B46" s="2" t="s">
        <v>166</v>
      </c>
      <c r="C46" s="2" t="s">
        <v>167</v>
      </c>
      <c r="D46" s="16">
        <v>90</v>
      </c>
      <c r="E46" s="2" t="s">
        <v>147</v>
      </c>
      <c r="F46" s="2" t="s">
        <v>168</v>
      </c>
      <c r="G46" s="2" t="s">
        <v>169</v>
      </c>
      <c r="H46" s="17">
        <v>205370</v>
      </c>
      <c r="I46" s="2"/>
      <c r="J46" s="2"/>
      <c r="K46" s="17">
        <v>205370</v>
      </c>
      <c r="L46" s="17">
        <v>22003.93</v>
      </c>
      <c r="M46" s="17">
        <v>183366.07</v>
      </c>
      <c r="N46" s="17">
        <v>205370</v>
      </c>
      <c r="O46" s="2"/>
      <c r="P46" s="2"/>
      <c r="Q46" s="2" t="s">
        <v>56</v>
      </c>
      <c r="R46" s="5">
        <f t="shared" si="0"/>
        <v>205370</v>
      </c>
      <c r="S46" s="5">
        <f t="shared" si="1"/>
        <v>205370</v>
      </c>
      <c r="T46" s="5">
        <f t="shared" si="2"/>
        <v>0</v>
      </c>
    </row>
    <row r="47" spans="1:20">
      <c r="A47" s="2" t="s">
        <v>93</v>
      </c>
      <c r="B47" s="2" t="s">
        <v>170</v>
      </c>
      <c r="C47" s="2" t="s">
        <v>167</v>
      </c>
      <c r="D47" s="16">
        <v>90</v>
      </c>
      <c r="E47" s="2" t="s">
        <v>147</v>
      </c>
      <c r="F47" s="2" t="s">
        <v>168</v>
      </c>
      <c r="G47" s="2" t="s">
        <v>171</v>
      </c>
      <c r="H47" s="17">
        <v>70560</v>
      </c>
      <c r="I47" s="2"/>
      <c r="J47" s="2"/>
      <c r="K47" s="17">
        <v>70560</v>
      </c>
      <c r="L47" s="17">
        <v>7560</v>
      </c>
      <c r="M47" s="17">
        <v>63000</v>
      </c>
      <c r="N47" s="17">
        <v>70560</v>
      </c>
      <c r="O47" s="2"/>
      <c r="P47" s="2"/>
      <c r="Q47" s="2" t="s">
        <v>56</v>
      </c>
      <c r="R47" s="5">
        <f t="shared" si="0"/>
        <v>70560</v>
      </c>
      <c r="S47" s="5">
        <f t="shared" si="1"/>
        <v>70560</v>
      </c>
      <c r="T47" s="5">
        <f t="shared" si="2"/>
        <v>0</v>
      </c>
    </row>
    <row r="48" spans="1:20">
      <c r="A48" s="2" t="s">
        <v>93</v>
      </c>
      <c r="B48" s="2" t="s">
        <v>172</v>
      </c>
      <c r="C48" s="2" t="s">
        <v>162</v>
      </c>
      <c r="D48" s="16">
        <v>90</v>
      </c>
      <c r="E48" s="2" t="s">
        <v>147</v>
      </c>
      <c r="F48" s="2" t="s">
        <v>173</v>
      </c>
      <c r="G48" s="2" t="s">
        <v>174</v>
      </c>
      <c r="H48" s="17">
        <v>36747</v>
      </c>
      <c r="I48" s="2"/>
      <c r="J48" s="2"/>
      <c r="K48" s="17">
        <v>36747</v>
      </c>
      <c r="L48" s="17">
        <v>3937.18</v>
      </c>
      <c r="M48" s="17">
        <v>32809.82</v>
      </c>
      <c r="N48" s="17">
        <v>36747</v>
      </c>
      <c r="O48" s="2"/>
      <c r="P48" s="2"/>
      <c r="Q48" s="2" t="s">
        <v>19</v>
      </c>
      <c r="R48" s="5">
        <f t="shared" si="0"/>
        <v>36747</v>
      </c>
      <c r="S48" s="5">
        <f t="shared" si="1"/>
        <v>36747</v>
      </c>
      <c r="T48" s="5">
        <f t="shared" si="2"/>
        <v>0</v>
      </c>
    </row>
    <row r="49" spans="1:20">
      <c r="A49" s="2" t="s">
        <v>93</v>
      </c>
      <c r="B49" s="2" t="s">
        <v>175</v>
      </c>
      <c r="C49" s="2" t="s">
        <v>176</v>
      </c>
      <c r="D49" s="16">
        <v>60</v>
      </c>
      <c r="E49" s="2" t="s">
        <v>136</v>
      </c>
      <c r="F49" s="2" t="s">
        <v>177</v>
      </c>
      <c r="G49" s="2" t="s">
        <v>178</v>
      </c>
      <c r="H49" s="17">
        <v>408000</v>
      </c>
      <c r="I49" s="2"/>
      <c r="J49" s="2"/>
      <c r="K49" s="17">
        <v>408000</v>
      </c>
      <c r="L49" s="17">
        <v>43714.29</v>
      </c>
      <c r="M49" s="17">
        <v>364285.71</v>
      </c>
      <c r="N49" s="17">
        <v>408000</v>
      </c>
      <c r="O49" s="2"/>
      <c r="P49" s="2"/>
      <c r="Q49" s="2" t="s">
        <v>69</v>
      </c>
      <c r="R49" s="5">
        <f t="shared" si="0"/>
        <v>408000</v>
      </c>
      <c r="S49" s="5">
        <f t="shared" si="1"/>
        <v>408000</v>
      </c>
      <c r="T49" s="5">
        <f t="shared" si="2"/>
        <v>0</v>
      </c>
    </row>
    <row r="50" spans="1:20">
      <c r="A50" s="2" t="s">
        <v>93</v>
      </c>
      <c r="B50" s="2" t="s">
        <v>179</v>
      </c>
      <c r="C50" s="2" t="s">
        <v>18</v>
      </c>
      <c r="D50" s="16">
        <v>0</v>
      </c>
      <c r="E50" s="2" t="s">
        <v>93</v>
      </c>
      <c r="F50" s="2" t="s">
        <v>181</v>
      </c>
      <c r="G50" s="2" t="s">
        <v>182</v>
      </c>
      <c r="H50" s="17">
        <v>137040</v>
      </c>
      <c r="I50" s="2"/>
      <c r="J50" s="2"/>
      <c r="K50" s="17">
        <v>137040</v>
      </c>
      <c r="L50" s="17">
        <v>14682.86</v>
      </c>
      <c r="M50" s="17">
        <v>122357.14</v>
      </c>
      <c r="N50" s="17">
        <v>137040</v>
      </c>
      <c r="O50" s="2"/>
      <c r="P50" s="2"/>
      <c r="Q50" s="2" t="s">
        <v>180</v>
      </c>
      <c r="R50" s="5">
        <f t="shared" si="0"/>
        <v>137040</v>
      </c>
      <c r="S50" s="5">
        <f t="shared" si="1"/>
        <v>137040</v>
      </c>
      <c r="T50" s="5">
        <f t="shared" si="2"/>
        <v>0</v>
      </c>
    </row>
    <row r="51" spans="1:20">
      <c r="A51" s="2" t="s">
        <v>93</v>
      </c>
      <c r="B51" s="2" t="s">
        <v>183</v>
      </c>
      <c r="C51" s="2" t="s">
        <v>60</v>
      </c>
      <c r="D51" s="16">
        <v>0</v>
      </c>
      <c r="E51" s="2" t="s">
        <v>93</v>
      </c>
      <c r="F51" s="2" t="s">
        <v>184</v>
      </c>
      <c r="G51" s="2" t="s">
        <v>185</v>
      </c>
      <c r="H51" s="17">
        <v>110631.75</v>
      </c>
      <c r="I51" s="2"/>
      <c r="J51" s="2"/>
      <c r="K51" s="17">
        <v>110631.75</v>
      </c>
      <c r="L51" s="17">
        <v>11853.4</v>
      </c>
      <c r="M51" s="17">
        <v>98778.35</v>
      </c>
      <c r="N51" s="17">
        <v>110631.75</v>
      </c>
      <c r="O51" s="2"/>
      <c r="P51" s="2"/>
      <c r="Q51" s="2" t="s">
        <v>30</v>
      </c>
      <c r="R51" s="5">
        <f t="shared" si="0"/>
        <v>110631.75</v>
      </c>
      <c r="S51" s="5">
        <f t="shared" si="1"/>
        <v>110631.75</v>
      </c>
      <c r="T51" s="5">
        <f t="shared" si="2"/>
        <v>0</v>
      </c>
    </row>
    <row r="52" spans="1:20">
      <c r="A52" s="2" t="s">
        <v>93</v>
      </c>
      <c r="B52" s="2" t="s">
        <v>186</v>
      </c>
      <c r="C52" s="2" t="s">
        <v>68</v>
      </c>
      <c r="D52" s="16">
        <v>60</v>
      </c>
      <c r="E52" s="2" t="s">
        <v>136</v>
      </c>
      <c r="F52" s="2" t="s">
        <v>187</v>
      </c>
      <c r="G52" s="2" t="s">
        <v>188</v>
      </c>
      <c r="H52" s="17">
        <v>53180</v>
      </c>
      <c r="I52" s="2"/>
      <c r="J52" s="2"/>
      <c r="K52" s="17">
        <v>53180</v>
      </c>
      <c r="L52" s="17">
        <v>5697.86</v>
      </c>
      <c r="M52" s="17">
        <v>47482.14</v>
      </c>
      <c r="N52" s="17">
        <v>53180</v>
      </c>
      <c r="O52" s="2"/>
      <c r="P52" s="2"/>
      <c r="Q52" s="2" t="s">
        <v>36</v>
      </c>
      <c r="R52" s="5">
        <f t="shared" si="0"/>
        <v>53180</v>
      </c>
      <c r="S52" s="5">
        <f t="shared" si="1"/>
        <v>53180</v>
      </c>
      <c r="T52" s="5">
        <f t="shared" si="2"/>
        <v>0</v>
      </c>
    </row>
    <row r="53" spans="1:20">
      <c r="A53" s="2" t="s">
        <v>93</v>
      </c>
      <c r="B53" s="2" t="s">
        <v>189</v>
      </c>
      <c r="C53" s="2" t="s">
        <v>60</v>
      </c>
      <c r="D53" s="16">
        <v>0</v>
      </c>
      <c r="E53" s="2" t="s">
        <v>93</v>
      </c>
      <c r="F53" s="2" t="s">
        <v>190</v>
      </c>
      <c r="G53" s="2" t="s">
        <v>191</v>
      </c>
      <c r="H53" s="17">
        <v>73932</v>
      </c>
      <c r="I53" s="2"/>
      <c r="J53" s="2"/>
      <c r="K53" s="17">
        <v>73932</v>
      </c>
      <c r="L53" s="17">
        <v>7921.29</v>
      </c>
      <c r="M53" s="17">
        <v>66010.710000000006</v>
      </c>
      <c r="N53" s="17">
        <v>73932</v>
      </c>
      <c r="O53" s="2"/>
      <c r="P53" s="2"/>
      <c r="Q53" s="2" t="s">
        <v>56</v>
      </c>
      <c r="R53" s="5">
        <f t="shared" si="0"/>
        <v>73932</v>
      </c>
      <c r="S53" s="5">
        <f t="shared" si="1"/>
        <v>73932</v>
      </c>
      <c r="T53" s="5">
        <f t="shared" si="2"/>
        <v>0</v>
      </c>
    </row>
    <row r="54" spans="1:20">
      <c r="A54" s="2" t="s">
        <v>93</v>
      </c>
      <c r="B54" s="2" t="s">
        <v>192</v>
      </c>
      <c r="C54" s="2" t="s">
        <v>162</v>
      </c>
      <c r="D54" s="16">
        <v>90</v>
      </c>
      <c r="E54" s="2" t="s">
        <v>147</v>
      </c>
      <c r="F54" s="2" t="s">
        <v>193</v>
      </c>
      <c r="G54" s="2" t="s">
        <v>194</v>
      </c>
      <c r="H54" s="17">
        <v>2053</v>
      </c>
      <c r="I54" s="2"/>
      <c r="J54" s="2"/>
      <c r="K54" s="17">
        <v>2053</v>
      </c>
      <c r="L54" s="18">
        <v>219.96</v>
      </c>
      <c r="M54" s="17">
        <v>1833.04</v>
      </c>
      <c r="N54" s="17">
        <v>2053</v>
      </c>
      <c r="O54" s="2"/>
      <c r="P54" s="2"/>
      <c r="Q54" s="2" t="s">
        <v>36</v>
      </c>
      <c r="R54" s="5">
        <f t="shared" si="0"/>
        <v>2053</v>
      </c>
      <c r="S54" s="5">
        <f t="shared" si="1"/>
        <v>2053</v>
      </c>
      <c r="T54" s="5">
        <f t="shared" si="2"/>
        <v>0</v>
      </c>
    </row>
    <row r="55" spans="1:20">
      <c r="A55" s="2" t="s">
        <v>93</v>
      </c>
      <c r="B55" s="2" t="s">
        <v>195</v>
      </c>
      <c r="C55" s="2" t="s">
        <v>60</v>
      </c>
      <c r="D55" s="16">
        <v>0</v>
      </c>
      <c r="E55" s="2" t="s">
        <v>93</v>
      </c>
      <c r="F55" s="2" t="s">
        <v>196</v>
      </c>
      <c r="G55" s="2" t="s">
        <v>197</v>
      </c>
      <c r="H55" s="17">
        <v>192020</v>
      </c>
      <c r="I55" s="2"/>
      <c r="J55" s="2"/>
      <c r="K55" s="17">
        <v>192020</v>
      </c>
      <c r="L55" s="17">
        <v>20573.57</v>
      </c>
      <c r="M55" s="17">
        <v>171446.43</v>
      </c>
      <c r="N55" s="17">
        <v>192020</v>
      </c>
      <c r="O55" s="2"/>
      <c r="P55" s="2"/>
      <c r="Q55" s="2" t="s">
        <v>56</v>
      </c>
      <c r="R55" s="5">
        <f t="shared" si="0"/>
        <v>192020</v>
      </c>
      <c r="S55" s="5">
        <f t="shared" si="1"/>
        <v>192020</v>
      </c>
      <c r="T55" s="5">
        <f t="shared" si="2"/>
        <v>0</v>
      </c>
    </row>
    <row r="56" spans="1:20">
      <c r="A56" s="2" t="s">
        <v>199</v>
      </c>
      <c r="B56" s="2" t="s">
        <v>198</v>
      </c>
      <c r="C56" s="2" t="s">
        <v>34</v>
      </c>
      <c r="D56" s="16">
        <v>60</v>
      </c>
      <c r="E56" s="2" t="s">
        <v>200</v>
      </c>
      <c r="F56" s="2" t="s">
        <v>201</v>
      </c>
      <c r="G56" s="2" t="s">
        <v>202</v>
      </c>
      <c r="H56" s="17">
        <v>7200</v>
      </c>
      <c r="I56" s="2"/>
      <c r="J56" s="2"/>
      <c r="K56" s="17">
        <v>7200</v>
      </c>
      <c r="L56" s="18">
        <v>771.43</v>
      </c>
      <c r="M56" s="17">
        <v>6428.57</v>
      </c>
      <c r="N56" s="17">
        <v>7200</v>
      </c>
      <c r="O56" s="2"/>
      <c r="P56" s="2"/>
      <c r="Q56" s="2" t="s">
        <v>30</v>
      </c>
      <c r="R56" s="5">
        <f t="shared" si="0"/>
        <v>7200</v>
      </c>
      <c r="S56" s="5">
        <f t="shared" si="1"/>
        <v>7200</v>
      </c>
      <c r="T56" s="5">
        <f t="shared" si="2"/>
        <v>0</v>
      </c>
    </row>
    <row r="57" spans="1:20">
      <c r="A57" s="2" t="s">
        <v>199</v>
      </c>
      <c r="B57" s="2" t="s">
        <v>203</v>
      </c>
      <c r="C57" s="2" t="s">
        <v>34</v>
      </c>
      <c r="D57" s="16">
        <v>60</v>
      </c>
      <c r="E57" s="2" t="s">
        <v>200</v>
      </c>
      <c r="F57" s="2" t="s">
        <v>205</v>
      </c>
      <c r="G57" s="2" t="s">
        <v>206</v>
      </c>
      <c r="H57" s="17">
        <v>45500</v>
      </c>
      <c r="I57" s="2"/>
      <c r="J57" s="2"/>
      <c r="K57" s="17">
        <v>45500</v>
      </c>
      <c r="L57" s="17">
        <v>4875</v>
      </c>
      <c r="M57" s="17">
        <v>40625</v>
      </c>
      <c r="N57" s="17">
        <v>45500</v>
      </c>
      <c r="O57" s="2"/>
      <c r="P57" s="2"/>
      <c r="Q57" s="2" t="s">
        <v>204</v>
      </c>
      <c r="R57" s="5">
        <f t="shared" si="0"/>
        <v>45500</v>
      </c>
      <c r="S57" s="5">
        <f t="shared" si="1"/>
        <v>45500</v>
      </c>
      <c r="T57" s="5">
        <f t="shared" si="2"/>
        <v>0</v>
      </c>
    </row>
    <row r="58" spans="1:20">
      <c r="A58" s="2" t="s">
        <v>199</v>
      </c>
      <c r="B58" s="2" t="s">
        <v>207</v>
      </c>
      <c r="C58" s="2" t="s">
        <v>60</v>
      </c>
      <c r="D58" s="16">
        <v>0</v>
      </c>
      <c r="E58" s="2" t="s">
        <v>199</v>
      </c>
      <c r="F58" s="2" t="s">
        <v>208</v>
      </c>
      <c r="G58" s="2" t="s">
        <v>209</v>
      </c>
      <c r="H58" s="17">
        <v>6272</v>
      </c>
      <c r="I58" s="2"/>
      <c r="J58" s="2"/>
      <c r="K58" s="17">
        <v>6272</v>
      </c>
      <c r="L58" s="18">
        <v>672</v>
      </c>
      <c r="M58" s="17">
        <v>5600</v>
      </c>
      <c r="N58" s="17">
        <v>6272</v>
      </c>
      <c r="O58" s="2"/>
      <c r="P58" s="2"/>
      <c r="Q58" s="2" t="s">
        <v>46</v>
      </c>
      <c r="R58" s="5">
        <f t="shared" si="0"/>
        <v>6272</v>
      </c>
      <c r="S58" s="5">
        <f t="shared" si="1"/>
        <v>6272</v>
      </c>
      <c r="T58" s="5">
        <f t="shared" si="2"/>
        <v>0</v>
      </c>
    </row>
    <row r="59" spans="1:20">
      <c r="A59" s="2" t="s">
        <v>199</v>
      </c>
      <c r="B59" s="2" t="s">
        <v>210</v>
      </c>
      <c r="C59" s="2" t="s">
        <v>60</v>
      </c>
      <c r="D59" s="16">
        <v>0</v>
      </c>
      <c r="E59" s="2" t="s">
        <v>199</v>
      </c>
      <c r="F59" s="2" t="s">
        <v>211</v>
      </c>
      <c r="G59" s="2" t="s">
        <v>212</v>
      </c>
      <c r="H59" s="17">
        <v>56000</v>
      </c>
      <c r="I59" s="2"/>
      <c r="J59" s="2"/>
      <c r="K59" s="17">
        <v>56000</v>
      </c>
      <c r="L59" s="17">
        <v>6000</v>
      </c>
      <c r="M59" s="17">
        <v>50000</v>
      </c>
      <c r="N59" s="17">
        <v>56000</v>
      </c>
      <c r="O59" s="2"/>
      <c r="P59" s="2"/>
      <c r="Q59" s="2" t="s">
        <v>56</v>
      </c>
      <c r="R59" s="5">
        <f t="shared" si="0"/>
        <v>56000</v>
      </c>
      <c r="S59" s="5">
        <f t="shared" si="1"/>
        <v>56000</v>
      </c>
      <c r="T59" s="5">
        <f t="shared" si="2"/>
        <v>0</v>
      </c>
    </row>
    <row r="60" spans="1:20">
      <c r="A60" s="2" t="s">
        <v>199</v>
      </c>
      <c r="B60" s="2" t="s">
        <v>213</v>
      </c>
      <c r="C60" s="2" t="s">
        <v>60</v>
      </c>
      <c r="D60" s="16">
        <v>0</v>
      </c>
      <c r="E60" s="2" t="s">
        <v>199</v>
      </c>
      <c r="F60" s="2" t="s">
        <v>211</v>
      </c>
      <c r="G60" s="2" t="s">
        <v>214</v>
      </c>
      <c r="H60" s="17">
        <v>28000</v>
      </c>
      <c r="I60" s="2"/>
      <c r="J60" s="2"/>
      <c r="K60" s="17">
        <v>28000</v>
      </c>
      <c r="L60" s="17">
        <v>3000</v>
      </c>
      <c r="M60" s="17">
        <v>25000</v>
      </c>
      <c r="N60" s="17">
        <v>28000</v>
      </c>
      <c r="O60" s="2"/>
      <c r="P60" s="2"/>
      <c r="Q60" s="2" t="s">
        <v>56</v>
      </c>
      <c r="R60" s="5">
        <f t="shared" si="0"/>
        <v>28000</v>
      </c>
      <c r="S60" s="5">
        <f t="shared" si="1"/>
        <v>28000</v>
      </c>
      <c r="T60" s="5">
        <f t="shared" si="2"/>
        <v>0</v>
      </c>
    </row>
    <row r="61" spans="1:20">
      <c r="A61" s="2" t="s">
        <v>199</v>
      </c>
      <c r="B61" s="2" t="s">
        <v>215</v>
      </c>
      <c r="C61" s="2" t="s">
        <v>60</v>
      </c>
      <c r="D61" s="16">
        <v>0</v>
      </c>
      <c r="E61" s="2" t="s">
        <v>199</v>
      </c>
      <c r="F61" s="2" t="s">
        <v>211</v>
      </c>
      <c r="G61" s="2" t="s">
        <v>216</v>
      </c>
      <c r="H61" s="17">
        <v>28000</v>
      </c>
      <c r="I61" s="2"/>
      <c r="J61" s="2"/>
      <c r="K61" s="17">
        <v>28000</v>
      </c>
      <c r="L61" s="17">
        <v>3000</v>
      </c>
      <c r="M61" s="17">
        <v>25000</v>
      </c>
      <c r="N61" s="17">
        <v>28000</v>
      </c>
      <c r="O61" s="2"/>
      <c r="P61" s="2"/>
      <c r="Q61" s="2" t="s">
        <v>56</v>
      </c>
      <c r="R61" s="5">
        <f t="shared" si="0"/>
        <v>28000</v>
      </c>
      <c r="S61" s="5">
        <f t="shared" si="1"/>
        <v>28000</v>
      </c>
      <c r="T61" s="5">
        <f t="shared" si="2"/>
        <v>0</v>
      </c>
    </row>
    <row r="62" spans="1:20">
      <c r="A62" s="2" t="s">
        <v>199</v>
      </c>
      <c r="B62" s="2" t="s">
        <v>217</v>
      </c>
      <c r="C62" s="2" t="s">
        <v>29</v>
      </c>
      <c r="D62" s="16">
        <v>0</v>
      </c>
      <c r="E62" s="2" t="s">
        <v>199</v>
      </c>
      <c r="F62" s="2" t="s">
        <v>218</v>
      </c>
      <c r="G62" s="2" t="s">
        <v>219</v>
      </c>
      <c r="H62" s="17">
        <v>1078560</v>
      </c>
      <c r="I62" s="19">
        <v>-32356.799999999999</v>
      </c>
      <c r="J62" s="2"/>
      <c r="K62" s="17">
        <v>1046203.2</v>
      </c>
      <c r="L62" s="17">
        <v>112093.2</v>
      </c>
      <c r="M62" s="17">
        <v>934110</v>
      </c>
      <c r="N62" s="17">
        <v>1046203.2</v>
      </c>
      <c r="O62" s="2"/>
      <c r="P62" s="2"/>
      <c r="Q62" s="2" t="s">
        <v>30</v>
      </c>
      <c r="R62" s="5">
        <f t="shared" si="0"/>
        <v>1046203.2</v>
      </c>
      <c r="S62" s="5">
        <f t="shared" si="1"/>
        <v>1046203.2</v>
      </c>
      <c r="T62" s="5">
        <f t="shared" si="2"/>
        <v>0</v>
      </c>
    </row>
    <row r="63" spans="1:20">
      <c r="A63" s="2" t="s">
        <v>199</v>
      </c>
      <c r="B63" s="2" t="s">
        <v>220</v>
      </c>
      <c r="C63" s="2" t="s">
        <v>60</v>
      </c>
      <c r="D63" s="16">
        <v>0</v>
      </c>
      <c r="E63" s="2" t="s">
        <v>199</v>
      </c>
      <c r="F63" s="2" t="s">
        <v>190</v>
      </c>
      <c r="G63" s="2" t="s">
        <v>221</v>
      </c>
      <c r="H63" s="17">
        <v>11407.2</v>
      </c>
      <c r="I63" s="2"/>
      <c r="J63" s="2"/>
      <c r="K63" s="17">
        <v>11407.2</v>
      </c>
      <c r="L63" s="17">
        <v>1222.2</v>
      </c>
      <c r="M63" s="17">
        <v>10185</v>
      </c>
      <c r="N63" s="17">
        <v>11407.2</v>
      </c>
      <c r="O63" s="2"/>
      <c r="P63" s="2"/>
      <c r="Q63" s="2" t="s">
        <v>56</v>
      </c>
      <c r="R63" s="5">
        <f t="shared" si="0"/>
        <v>11407.2</v>
      </c>
      <c r="S63" s="5">
        <f t="shared" si="1"/>
        <v>11407.2</v>
      </c>
      <c r="T63" s="5">
        <f t="shared" si="2"/>
        <v>0</v>
      </c>
    </row>
    <row r="64" spans="1:20">
      <c r="A64" s="2" t="s">
        <v>199</v>
      </c>
      <c r="B64" s="2" t="s">
        <v>222</v>
      </c>
      <c r="C64" s="2" t="s">
        <v>23</v>
      </c>
      <c r="D64" s="16">
        <v>30</v>
      </c>
      <c r="E64" s="2" t="s">
        <v>223</v>
      </c>
      <c r="F64" s="2" t="s">
        <v>224</v>
      </c>
      <c r="G64" s="2" t="s">
        <v>225</v>
      </c>
      <c r="H64" s="17">
        <v>68700</v>
      </c>
      <c r="I64" s="2"/>
      <c r="J64" s="2"/>
      <c r="K64" s="17">
        <v>68700</v>
      </c>
      <c r="L64" s="17">
        <v>7360.71</v>
      </c>
      <c r="M64" s="17">
        <v>61339.29</v>
      </c>
      <c r="N64" s="17">
        <v>68700</v>
      </c>
      <c r="O64" s="2"/>
      <c r="P64" s="2"/>
      <c r="Q64" s="2" t="s">
        <v>180</v>
      </c>
      <c r="R64" s="5">
        <f t="shared" si="0"/>
        <v>68700</v>
      </c>
      <c r="S64" s="5">
        <f t="shared" si="1"/>
        <v>68700</v>
      </c>
      <c r="T64" s="5">
        <f t="shared" si="2"/>
        <v>0</v>
      </c>
    </row>
    <row r="65" spans="1:20">
      <c r="A65" s="2" t="s">
        <v>199</v>
      </c>
      <c r="B65" s="2" t="s">
        <v>226</v>
      </c>
      <c r="C65" s="2" t="s">
        <v>29</v>
      </c>
      <c r="D65" s="16">
        <v>0</v>
      </c>
      <c r="E65" s="2" t="s">
        <v>199</v>
      </c>
      <c r="F65" s="2" t="s">
        <v>31</v>
      </c>
      <c r="G65" s="2" t="s">
        <v>227</v>
      </c>
      <c r="H65" s="17">
        <v>23901</v>
      </c>
      <c r="I65" s="2"/>
      <c r="J65" s="2"/>
      <c r="K65" s="17">
        <v>23901</v>
      </c>
      <c r="L65" s="17">
        <v>2560.8200000000002</v>
      </c>
      <c r="M65" s="17">
        <v>21340.18</v>
      </c>
      <c r="N65" s="17">
        <v>23901</v>
      </c>
      <c r="O65" s="2"/>
      <c r="P65" s="2"/>
      <c r="Q65" s="2" t="s">
        <v>30</v>
      </c>
      <c r="R65" s="5">
        <f t="shared" si="0"/>
        <v>23901</v>
      </c>
      <c r="S65" s="5">
        <f t="shared" si="1"/>
        <v>23901</v>
      </c>
      <c r="T65" s="5">
        <f t="shared" si="2"/>
        <v>0</v>
      </c>
    </row>
    <row r="66" spans="1:20">
      <c r="A66" s="2" t="s">
        <v>199</v>
      </c>
      <c r="B66" s="2" t="s">
        <v>228</v>
      </c>
      <c r="C66" s="2" t="s">
        <v>29</v>
      </c>
      <c r="D66" s="16">
        <v>0</v>
      </c>
      <c r="E66" s="2" t="s">
        <v>199</v>
      </c>
      <c r="F66" s="2" t="s">
        <v>31</v>
      </c>
      <c r="G66" s="2" t="s">
        <v>229</v>
      </c>
      <c r="H66" s="17">
        <v>266668</v>
      </c>
      <c r="I66" s="2"/>
      <c r="J66" s="2"/>
      <c r="K66" s="17">
        <v>266668</v>
      </c>
      <c r="L66" s="17">
        <v>28571.57</v>
      </c>
      <c r="M66" s="17">
        <v>238096.43</v>
      </c>
      <c r="N66" s="17">
        <v>266668</v>
      </c>
      <c r="O66" s="2"/>
      <c r="P66" s="2"/>
      <c r="Q66" s="2" t="s">
        <v>30</v>
      </c>
      <c r="R66" s="5">
        <f t="shared" si="0"/>
        <v>266668</v>
      </c>
      <c r="S66" s="5">
        <f t="shared" si="1"/>
        <v>266668</v>
      </c>
      <c r="T66" s="5">
        <f t="shared" si="2"/>
        <v>0</v>
      </c>
    </row>
    <row r="67" spans="1:20">
      <c r="A67" s="2" t="s">
        <v>199</v>
      </c>
      <c r="B67" s="2" t="s">
        <v>230</v>
      </c>
      <c r="C67" s="2" t="s">
        <v>68</v>
      </c>
      <c r="D67" s="16">
        <v>60</v>
      </c>
      <c r="E67" s="2" t="s">
        <v>200</v>
      </c>
      <c r="F67" s="2" t="s">
        <v>70</v>
      </c>
      <c r="G67" s="2" t="s">
        <v>231</v>
      </c>
      <c r="H67" s="17">
        <v>2419200</v>
      </c>
      <c r="I67" s="2"/>
      <c r="J67" s="2"/>
      <c r="K67" s="17">
        <v>2419200</v>
      </c>
      <c r="L67" s="17">
        <v>259200</v>
      </c>
      <c r="M67" s="17">
        <v>2160000</v>
      </c>
      <c r="N67" s="17">
        <v>2419200</v>
      </c>
      <c r="O67" s="2"/>
      <c r="P67" s="2"/>
      <c r="Q67" s="2" t="s">
        <v>69</v>
      </c>
      <c r="R67" s="5">
        <f t="shared" si="0"/>
        <v>2419200</v>
      </c>
      <c r="S67" s="5">
        <f t="shared" si="1"/>
        <v>2419200</v>
      </c>
      <c r="T67" s="5">
        <f t="shared" si="2"/>
        <v>0</v>
      </c>
    </row>
    <row r="68" spans="1:20">
      <c r="A68" s="2" t="s">
        <v>199</v>
      </c>
      <c r="B68" s="2" t="s">
        <v>232</v>
      </c>
      <c r="C68" s="2" t="s">
        <v>162</v>
      </c>
      <c r="D68" s="16">
        <v>90</v>
      </c>
      <c r="E68" s="2" t="s">
        <v>233</v>
      </c>
      <c r="F68" s="2" t="s">
        <v>234</v>
      </c>
      <c r="G68" s="2" t="s">
        <v>235</v>
      </c>
      <c r="H68" s="17">
        <v>15682</v>
      </c>
      <c r="I68" s="2"/>
      <c r="J68" s="2"/>
      <c r="K68" s="17">
        <v>15682</v>
      </c>
      <c r="L68" s="17">
        <v>1680.21</v>
      </c>
      <c r="M68" s="17">
        <v>14001.79</v>
      </c>
      <c r="N68" s="17">
        <v>15682</v>
      </c>
      <c r="O68" s="2"/>
      <c r="P68" s="2"/>
      <c r="Q68" s="2" t="s">
        <v>56</v>
      </c>
      <c r="R68" s="5">
        <f t="shared" si="0"/>
        <v>15682</v>
      </c>
      <c r="S68" s="5">
        <f t="shared" si="1"/>
        <v>15682</v>
      </c>
      <c r="T68" s="5">
        <f t="shared" si="2"/>
        <v>0</v>
      </c>
    </row>
    <row r="69" spans="1:20">
      <c r="A69" s="2" t="s">
        <v>199</v>
      </c>
      <c r="B69" s="2" t="s">
        <v>236</v>
      </c>
      <c r="C69" s="2" t="s">
        <v>237</v>
      </c>
      <c r="D69" s="16">
        <v>60</v>
      </c>
      <c r="E69" s="2" t="s">
        <v>200</v>
      </c>
      <c r="F69" s="2" t="s">
        <v>238</v>
      </c>
      <c r="G69" s="2" t="s">
        <v>239</v>
      </c>
      <c r="H69" s="17">
        <v>250950</v>
      </c>
      <c r="I69" s="2"/>
      <c r="J69" s="2"/>
      <c r="K69" s="17">
        <v>250950</v>
      </c>
      <c r="L69" s="17">
        <v>26887.5</v>
      </c>
      <c r="M69" s="17">
        <v>224062.5</v>
      </c>
      <c r="N69" s="17">
        <v>250950</v>
      </c>
      <c r="O69" s="2"/>
      <c r="P69" s="2"/>
      <c r="Q69" s="2" t="s">
        <v>180</v>
      </c>
      <c r="R69" s="5">
        <f t="shared" si="0"/>
        <v>250950</v>
      </c>
      <c r="S69" s="5">
        <f t="shared" si="1"/>
        <v>250950</v>
      </c>
      <c r="T69" s="5">
        <f t="shared" si="2"/>
        <v>0</v>
      </c>
    </row>
    <row r="70" spans="1:20">
      <c r="A70" s="2" t="s">
        <v>199</v>
      </c>
      <c r="B70" s="2" t="s">
        <v>240</v>
      </c>
      <c r="C70" s="2" t="s">
        <v>60</v>
      </c>
      <c r="D70" s="16">
        <v>0</v>
      </c>
      <c r="E70" s="2" t="s">
        <v>199</v>
      </c>
      <c r="F70" s="2" t="s">
        <v>190</v>
      </c>
      <c r="G70" s="2" t="s">
        <v>241</v>
      </c>
      <c r="H70" s="17">
        <v>7760</v>
      </c>
      <c r="I70" s="2"/>
      <c r="J70" s="2"/>
      <c r="K70" s="17">
        <v>7760</v>
      </c>
      <c r="L70" s="18">
        <v>831.43</v>
      </c>
      <c r="M70" s="17">
        <v>6928.57</v>
      </c>
      <c r="N70" s="17">
        <v>7760</v>
      </c>
      <c r="O70" s="2"/>
      <c r="P70" s="2"/>
      <c r="Q70" s="2" t="s">
        <v>56</v>
      </c>
      <c r="R70" s="5">
        <f t="shared" ref="R70:R133" si="3">+J70+K70</f>
        <v>7760</v>
      </c>
      <c r="S70" s="5">
        <f t="shared" ref="S70:S133" si="4">+N70</f>
        <v>7760</v>
      </c>
      <c r="T70" s="5">
        <f t="shared" ref="T70:T133" si="5">+R70-S70</f>
        <v>0</v>
      </c>
    </row>
    <row r="71" spans="1:20">
      <c r="A71" s="2" t="s">
        <v>199</v>
      </c>
      <c r="B71" s="2" t="s">
        <v>242</v>
      </c>
      <c r="C71" s="2" t="s">
        <v>243</v>
      </c>
      <c r="D71" s="16">
        <v>30</v>
      </c>
      <c r="E71" s="2" t="s">
        <v>223</v>
      </c>
      <c r="F71" s="2" t="s">
        <v>244</v>
      </c>
      <c r="G71" s="2" t="s">
        <v>245</v>
      </c>
      <c r="H71" s="17">
        <v>28250</v>
      </c>
      <c r="I71" s="2"/>
      <c r="J71" s="2"/>
      <c r="K71" s="17">
        <v>28250</v>
      </c>
      <c r="L71" s="17">
        <v>3026.79</v>
      </c>
      <c r="M71" s="17">
        <v>25223.21</v>
      </c>
      <c r="N71" s="17">
        <v>28250</v>
      </c>
      <c r="O71" s="2"/>
      <c r="P71" s="2"/>
      <c r="Q71" s="2" t="s">
        <v>56</v>
      </c>
      <c r="R71" s="5">
        <f t="shared" si="3"/>
        <v>28250</v>
      </c>
      <c r="S71" s="5">
        <f t="shared" si="4"/>
        <v>28250</v>
      </c>
      <c r="T71" s="5">
        <f t="shared" si="5"/>
        <v>0</v>
      </c>
    </row>
    <row r="72" spans="1:20">
      <c r="A72" s="2" t="s">
        <v>199</v>
      </c>
      <c r="B72" s="2" t="s">
        <v>246</v>
      </c>
      <c r="C72" s="2" t="s">
        <v>73</v>
      </c>
      <c r="D72" s="16">
        <v>30</v>
      </c>
      <c r="E72" s="2" t="s">
        <v>223</v>
      </c>
      <c r="F72" s="2" t="s">
        <v>247</v>
      </c>
      <c r="G72" s="2" t="s">
        <v>248</v>
      </c>
      <c r="H72" s="17">
        <v>468480</v>
      </c>
      <c r="I72" s="2"/>
      <c r="J72" s="2"/>
      <c r="K72" s="17">
        <v>468480</v>
      </c>
      <c r="L72" s="17">
        <v>50194.29</v>
      </c>
      <c r="M72" s="17">
        <v>418285.71</v>
      </c>
      <c r="N72" s="17">
        <v>468480</v>
      </c>
      <c r="O72" s="2"/>
      <c r="P72" s="2"/>
      <c r="Q72" s="2" t="s">
        <v>19</v>
      </c>
      <c r="R72" s="5">
        <f t="shared" si="3"/>
        <v>468480</v>
      </c>
      <c r="S72" s="5">
        <f t="shared" si="4"/>
        <v>468480</v>
      </c>
      <c r="T72" s="5">
        <f t="shared" si="5"/>
        <v>0</v>
      </c>
    </row>
    <row r="73" spans="1:20">
      <c r="A73" s="2" t="s">
        <v>199</v>
      </c>
      <c r="B73" s="2" t="s">
        <v>249</v>
      </c>
      <c r="C73" s="2" t="s">
        <v>146</v>
      </c>
      <c r="D73" s="16">
        <v>90</v>
      </c>
      <c r="E73" s="2" t="s">
        <v>233</v>
      </c>
      <c r="F73" s="2" t="s">
        <v>250</v>
      </c>
      <c r="G73" s="2" t="s">
        <v>251</v>
      </c>
      <c r="H73" s="17">
        <v>101126</v>
      </c>
      <c r="I73" s="2"/>
      <c r="J73" s="2"/>
      <c r="K73" s="17">
        <v>101126</v>
      </c>
      <c r="L73" s="17">
        <v>10834.93</v>
      </c>
      <c r="M73" s="17">
        <v>90291.07</v>
      </c>
      <c r="N73" s="17">
        <v>101126</v>
      </c>
      <c r="O73" s="2"/>
      <c r="P73" s="2"/>
      <c r="Q73" s="2" t="s">
        <v>139</v>
      </c>
      <c r="R73" s="5">
        <f t="shared" si="3"/>
        <v>101126</v>
      </c>
      <c r="S73" s="5">
        <f t="shared" si="4"/>
        <v>101126</v>
      </c>
      <c r="T73" s="5">
        <f t="shared" si="5"/>
        <v>0</v>
      </c>
    </row>
    <row r="74" spans="1:20">
      <c r="A74" s="2" t="s">
        <v>199</v>
      </c>
      <c r="B74" s="2" t="s">
        <v>252</v>
      </c>
      <c r="C74" s="2" t="s">
        <v>68</v>
      </c>
      <c r="D74" s="16">
        <v>60</v>
      </c>
      <c r="E74" s="2" t="s">
        <v>200</v>
      </c>
      <c r="F74" s="2" t="s">
        <v>253</v>
      </c>
      <c r="G74" s="2" t="s">
        <v>254</v>
      </c>
      <c r="H74" s="17">
        <v>219190</v>
      </c>
      <c r="I74" s="2"/>
      <c r="J74" s="2"/>
      <c r="K74" s="17">
        <v>219190</v>
      </c>
      <c r="L74" s="17">
        <v>23484.639999999999</v>
      </c>
      <c r="M74" s="17">
        <v>195705.36</v>
      </c>
      <c r="N74" s="17">
        <v>219190</v>
      </c>
      <c r="O74" s="2"/>
      <c r="P74" s="2"/>
      <c r="Q74" s="2" t="s">
        <v>69</v>
      </c>
      <c r="R74" s="5">
        <f t="shared" si="3"/>
        <v>219190</v>
      </c>
      <c r="S74" s="5">
        <f t="shared" si="4"/>
        <v>219190</v>
      </c>
      <c r="T74" s="5">
        <f t="shared" si="5"/>
        <v>0</v>
      </c>
    </row>
    <row r="75" spans="1:20">
      <c r="A75" s="2" t="s">
        <v>199</v>
      </c>
      <c r="B75" s="2" t="s">
        <v>255</v>
      </c>
      <c r="C75" s="2" t="s">
        <v>68</v>
      </c>
      <c r="D75" s="16">
        <v>60</v>
      </c>
      <c r="E75" s="2" t="s">
        <v>200</v>
      </c>
      <c r="F75" s="2" t="s">
        <v>253</v>
      </c>
      <c r="G75" s="2" t="s">
        <v>256</v>
      </c>
      <c r="H75" s="17">
        <v>255015</v>
      </c>
      <c r="I75" s="2"/>
      <c r="J75" s="2"/>
      <c r="K75" s="17">
        <v>255015</v>
      </c>
      <c r="L75" s="17">
        <v>27323.040000000001</v>
      </c>
      <c r="M75" s="17">
        <v>227691.96</v>
      </c>
      <c r="N75" s="17">
        <v>255015</v>
      </c>
      <c r="O75" s="2"/>
      <c r="P75" s="2"/>
      <c r="Q75" s="2" t="s">
        <v>69</v>
      </c>
      <c r="R75" s="5">
        <f t="shared" si="3"/>
        <v>255015</v>
      </c>
      <c r="S75" s="5">
        <f t="shared" si="4"/>
        <v>255015</v>
      </c>
      <c r="T75" s="5">
        <f t="shared" si="5"/>
        <v>0</v>
      </c>
    </row>
    <row r="76" spans="1:20">
      <c r="A76" s="2" t="s">
        <v>199</v>
      </c>
      <c r="B76" s="2" t="s">
        <v>257</v>
      </c>
      <c r="C76" s="2" t="s">
        <v>68</v>
      </c>
      <c r="D76" s="16">
        <v>60</v>
      </c>
      <c r="E76" s="2" t="s">
        <v>200</v>
      </c>
      <c r="F76" s="2" t="s">
        <v>253</v>
      </c>
      <c r="G76" s="2" t="s">
        <v>258</v>
      </c>
      <c r="H76" s="17">
        <v>264015</v>
      </c>
      <c r="I76" s="2"/>
      <c r="J76" s="2"/>
      <c r="K76" s="17">
        <v>264015</v>
      </c>
      <c r="L76" s="17">
        <v>28287.32</v>
      </c>
      <c r="M76" s="17">
        <v>235727.68</v>
      </c>
      <c r="N76" s="17">
        <v>264015</v>
      </c>
      <c r="O76" s="2"/>
      <c r="P76" s="2"/>
      <c r="Q76" s="2" t="s">
        <v>69</v>
      </c>
      <c r="R76" s="5">
        <f t="shared" si="3"/>
        <v>264015</v>
      </c>
      <c r="S76" s="5">
        <f t="shared" si="4"/>
        <v>264015</v>
      </c>
      <c r="T76" s="5">
        <f t="shared" si="5"/>
        <v>0</v>
      </c>
    </row>
    <row r="77" spans="1:20">
      <c r="A77" s="2" t="s">
        <v>199</v>
      </c>
      <c r="B77" s="2" t="s">
        <v>259</v>
      </c>
      <c r="C77" s="2" t="s">
        <v>68</v>
      </c>
      <c r="D77" s="16">
        <v>60</v>
      </c>
      <c r="E77" s="2" t="s">
        <v>200</v>
      </c>
      <c r="F77" s="2" t="s">
        <v>253</v>
      </c>
      <c r="G77" s="2" t="s">
        <v>260</v>
      </c>
      <c r="H77" s="17">
        <v>168550</v>
      </c>
      <c r="I77" s="2"/>
      <c r="J77" s="2"/>
      <c r="K77" s="17">
        <v>168550</v>
      </c>
      <c r="L77" s="17">
        <v>18058.93</v>
      </c>
      <c r="M77" s="17">
        <v>150491.07</v>
      </c>
      <c r="N77" s="17">
        <v>168550</v>
      </c>
      <c r="O77" s="2"/>
      <c r="P77" s="2"/>
      <c r="Q77" s="2" t="s">
        <v>69</v>
      </c>
      <c r="R77" s="5">
        <f t="shared" si="3"/>
        <v>168550</v>
      </c>
      <c r="S77" s="5">
        <f t="shared" si="4"/>
        <v>168550</v>
      </c>
      <c r="T77" s="5">
        <f t="shared" si="5"/>
        <v>0</v>
      </c>
    </row>
    <row r="78" spans="1:20">
      <c r="A78" s="2" t="s">
        <v>199</v>
      </c>
      <c r="B78" s="2" t="s">
        <v>261</v>
      </c>
      <c r="C78" s="2" t="s">
        <v>68</v>
      </c>
      <c r="D78" s="16">
        <v>60</v>
      </c>
      <c r="E78" s="2" t="s">
        <v>200</v>
      </c>
      <c r="F78" s="2" t="s">
        <v>253</v>
      </c>
      <c r="G78" s="2" t="s">
        <v>262</v>
      </c>
      <c r="H78" s="17">
        <v>228290</v>
      </c>
      <c r="I78" s="2"/>
      <c r="J78" s="2"/>
      <c r="K78" s="17">
        <v>228290</v>
      </c>
      <c r="L78" s="17">
        <v>24459.64</v>
      </c>
      <c r="M78" s="17">
        <v>203830.36</v>
      </c>
      <c r="N78" s="17">
        <v>228290</v>
      </c>
      <c r="O78" s="2"/>
      <c r="P78" s="2"/>
      <c r="Q78" s="2" t="s">
        <v>69</v>
      </c>
      <c r="R78" s="5">
        <f t="shared" si="3"/>
        <v>228290</v>
      </c>
      <c r="S78" s="5">
        <f t="shared" si="4"/>
        <v>228290</v>
      </c>
      <c r="T78" s="5">
        <f t="shared" si="5"/>
        <v>0</v>
      </c>
    </row>
    <row r="79" spans="1:20">
      <c r="A79" s="2" t="s">
        <v>199</v>
      </c>
      <c r="B79" s="2" t="s">
        <v>263</v>
      </c>
      <c r="C79" s="2" t="s">
        <v>151</v>
      </c>
      <c r="D79" s="16">
        <v>60</v>
      </c>
      <c r="E79" s="2" t="s">
        <v>200</v>
      </c>
      <c r="F79" s="2" t="s">
        <v>264</v>
      </c>
      <c r="G79" s="2" t="s">
        <v>265</v>
      </c>
      <c r="H79" s="17">
        <v>20960</v>
      </c>
      <c r="I79" s="2"/>
      <c r="J79" s="2"/>
      <c r="K79" s="17">
        <v>20960</v>
      </c>
      <c r="L79" s="17">
        <v>2245.71</v>
      </c>
      <c r="M79" s="17">
        <v>18714.29</v>
      </c>
      <c r="N79" s="17">
        <v>20960</v>
      </c>
      <c r="O79" s="2"/>
      <c r="P79" s="2"/>
      <c r="Q79" s="2" t="s">
        <v>139</v>
      </c>
      <c r="R79" s="5">
        <f t="shared" si="3"/>
        <v>20960</v>
      </c>
      <c r="S79" s="5">
        <f t="shared" si="4"/>
        <v>20960</v>
      </c>
      <c r="T79" s="5">
        <f t="shared" si="5"/>
        <v>0</v>
      </c>
    </row>
    <row r="80" spans="1:20">
      <c r="A80" s="2" t="s">
        <v>199</v>
      </c>
      <c r="B80" s="2" t="s">
        <v>266</v>
      </c>
      <c r="C80" s="2" t="s">
        <v>73</v>
      </c>
      <c r="D80" s="16">
        <v>30</v>
      </c>
      <c r="E80" s="2" t="s">
        <v>223</v>
      </c>
      <c r="F80" s="2" t="s">
        <v>267</v>
      </c>
      <c r="G80" s="2" t="s">
        <v>268</v>
      </c>
      <c r="H80" s="17">
        <v>219100</v>
      </c>
      <c r="I80" s="2"/>
      <c r="J80" s="17">
        <v>7500</v>
      </c>
      <c r="K80" s="17">
        <f>226600-J80</f>
        <v>219100</v>
      </c>
      <c r="L80" s="17">
        <v>24278.57</v>
      </c>
      <c r="M80" s="17">
        <v>202321.43</v>
      </c>
      <c r="N80" s="17">
        <v>226600</v>
      </c>
      <c r="O80" s="2"/>
      <c r="P80" s="2" t="s">
        <v>1771</v>
      </c>
      <c r="Q80" s="2" t="s">
        <v>19</v>
      </c>
      <c r="R80" s="5">
        <f t="shared" si="3"/>
        <v>226600</v>
      </c>
      <c r="S80" s="5">
        <f t="shared" si="4"/>
        <v>226600</v>
      </c>
      <c r="T80" s="5">
        <f t="shared" si="5"/>
        <v>0</v>
      </c>
    </row>
    <row r="81" spans="1:20">
      <c r="A81" s="2" t="s">
        <v>199</v>
      </c>
      <c r="B81" s="2" t="s">
        <v>269</v>
      </c>
      <c r="C81" s="2" t="s">
        <v>73</v>
      </c>
      <c r="D81" s="16">
        <v>30</v>
      </c>
      <c r="E81" s="2" t="s">
        <v>223</v>
      </c>
      <c r="F81" s="2" t="s">
        <v>271</v>
      </c>
      <c r="G81" s="2" t="s">
        <v>272</v>
      </c>
      <c r="H81" s="17">
        <v>220750</v>
      </c>
      <c r="I81" s="2"/>
      <c r="J81" s="2"/>
      <c r="K81" s="17">
        <v>220750</v>
      </c>
      <c r="L81" s="2"/>
      <c r="M81" s="17">
        <v>220750</v>
      </c>
      <c r="N81" s="17">
        <v>220750</v>
      </c>
      <c r="O81" s="2"/>
      <c r="P81" s="2"/>
      <c r="Q81" s="2" t="s">
        <v>270</v>
      </c>
      <c r="R81" s="5">
        <f t="shared" si="3"/>
        <v>220750</v>
      </c>
      <c r="S81" s="5">
        <f t="shared" si="4"/>
        <v>220750</v>
      </c>
      <c r="T81" s="5">
        <f t="shared" si="5"/>
        <v>0</v>
      </c>
    </row>
    <row r="82" spans="1:20">
      <c r="A82" s="2" t="s">
        <v>199</v>
      </c>
      <c r="B82" s="2" t="s">
        <v>273</v>
      </c>
      <c r="C82" s="2" t="s">
        <v>104</v>
      </c>
      <c r="D82" s="16">
        <v>0</v>
      </c>
      <c r="E82" s="2" t="s">
        <v>199</v>
      </c>
      <c r="F82" s="2" t="s">
        <v>274</v>
      </c>
      <c r="G82" s="2" t="s">
        <v>275</v>
      </c>
      <c r="H82" s="17">
        <v>55933</v>
      </c>
      <c r="I82" s="19">
        <v>-1118.6600000000001</v>
      </c>
      <c r="J82" s="2"/>
      <c r="K82" s="17">
        <v>54814.34</v>
      </c>
      <c r="L82" s="17">
        <v>5872.97</v>
      </c>
      <c r="M82" s="17">
        <v>48941.37</v>
      </c>
      <c r="N82" s="17">
        <v>54814.34</v>
      </c>
      <c r="O82" s="2"/>
      <c r="P82" s="2"/>
      <c r="Q82" s="2" t="s">
        <v>105</v>
      </c>
      <c r="R82" s="5">
        <f t="shared" si="3"/>
        <v>54814.34</v>
      </c>
      <c r="S82" s="5">
        <f t="shared" si="4"/>
        <v>54814.34</v>
      </c>
      <c r="T82" s="5">
        <f t="shared" si="5"/>
        <v>0</v>
      </c>
    </row>
    <row r="83" spans="1:20">
      <c r="A83" s="2" t="s">
        <v>199</v>
      </c>
      <c r="B83" s="2" t="s">
        <v>276</v>
      </c>
      <c r="C83" s="2" t="s">
        <v>104</v>
      </c>
      <c r="D83" s="16">
        <v>0</v>
      </c>
      <c r="E83" s="2" t="s">
        <v>199</v>
      </c>
      <c r="F83" s="2" t="s">
        <v>277</v>
      </c>
      <c r="G83" s="2" t="s">
        <v>278</v>
      </c>
      <c r="H83" s="17">
        <v>39907</v>
      </c>
      <c r="I83" s="2"/>
      <c r="J83" s="2"/>
      <c r="K83" s="17">
        <v>39907</v>
      </c>
      <c r="L83" s="17">
        <v>4275.75</v>
      </c>
      <c r="M83" s="17">
        <v>35631.25</v>
      </c>
      <c r="N83" s="17">
        <v>39907</v>
      </c>
      <c r="O83" s="2"/>
      <c r="P83" s="2"/>
      <c r="Q83" s="2" t="s">
        <v>69</v>
      </c>
      <c r="R83" s="5">
        <f t="shared" si="3"/>
        <v>39907</v>
      </c>
      <c r="S83" s="5">
        <f t="shared" si="4"/>
        <v>39907</v>
      </c>
      <c r="T83" s="5">
        <f t="shared" si="5"/>
        <v>0</v>
      </c>
    </row>
    <row r="84" spans="1:20">
      <c r="A84" s="2" t="s">
        <v>199</v>
      </c>
      <c r="B84" s="2" t="s">
        <v>279</v>
      </c>
      <c r="C84" s="2" t="s">
        <v>54</v>
      </c>
      <c r="D84" s="16">
        <v>90</v>
      </c>
      <c r="E84" s="2" t="s">
        <v>233</v>
      </c>
      <c r="F84" s="2" t="s">
        <v>90</v>
      </c>
      <c r="G84" s="2" t="s">
        <v>280</v>
      </c>
      <c r="H84" s="17">
        <v>191133</v>
      </c>
      <c r="I84" s="2"/>
      <c r="J84" s="2"/>
      <c r="K84" s="17">
        <v>191133</v>
      </c>
      <c r="L84" s="17">
        <v>20478.54</v>
      </c>
      <c r="M84" s="17">
        <v>170654.46</v>
      </c>
      <c r="N84" s="17">
        <v>191133</v>
      </c>
      <c r="O84" s="2"/>
      <c r="P84" s="2"/>
      <c r="Q84" s="2" t="s">
        <v>56</v>
      </c>
      <c r="R84" s="5">
        <f t="shared" si="3"/>
        <v>191133</v>
      </c>
      <c r="S84" s="5">
        <f t="shared" si="4"/>
        <v>191133</v>
      </c>
      <c r="T84" s="5">
        <f t="shared" si="5"/>
        <v>0</v>
      </c>
    </row>
    <row r="85" spans="1:20">
      <c r="A85" s="2" t="s">
        <v>282</v>
      </c>
      <c r="B85" s="2" t="s">
        <v>281</v>
      </c>
      <c r="C85" s="2" t="s">
        <v>60</v>
      </c>
      <c r="D85" s="16">
        <v>0</v>
      </c>
      <c r="E85" s="2" t="s">
        <v>282</v>
      </c>
      <c r="F85" s="2" t="s">
        <v>283</v>
      </c>
      <c r="G85" s="2" t="s">
        <v>284</v>
      </c>
      <c r="H85" s="17">
        <v>51923</v>
      </c>
      <c r="I85" s="19">
        <v>-1038.46</v>
      </c>
      <c r="J85" s="2"/>
      <c r="K85" s="17">
        <v>50884.54</v>
      </c>
      <c r="L85" s="17">
        <v>5451.91</v>
      </c>
      <c r="M85" s="17">
        <v>45432.63</v>
      </c>
      <c r="N85" s="17">
        <v>50884.54</v>
      </c>
      <c r="O85" s="2"/>
      <c r="P85" s="2"/>
      <c r="Q85" s="2" t="s">
        <v>19</v>
      </c>
      <c r="R85" s="5">
        <f t="shared" si="3"/>
        <v>50884.54</v>
      </c>
      <c r="S85" s="5">
        <f t="shared" si="4"/>
        <v>50884.54</v>
      </c>
      <c r="T85" s="5">
        <f t="shared" si="5"/>
        <v>0</v>
      </c>
    </row>
    <row r="86" spans="1:20">
      <c r="A86" s="2" t="s">
        <v>282</v>
      </c>
      <c r="B86" s="2" t="s">
        <v>285</v>
      </c>
      <c r="C86" s="2" t="s">
        <v>34</v>
      </c>
      <c r="D86" s="16">
        <v>60</v>
      </c>
      <c r="E86" s="2" t="s">
        <v>286</v>
      </c>
      <c r="F86" s="2" t="s">
        <v>287</v>
      </c>
      <c r="G86" s="2" t="s">
        <v>288</v>
      </c>
      <c r="H86" s="17">
        <v>19080</v>
      </c>
      <c r="I86" s="2"/>
      <c r="J86" s="2"/>
      <c r="K86" s="17">
        <v>19080</v>
      </c>
      <c r="L86" s="17">
        <v>2044.29</v>
      </c>
      <c r="M86" s="17">
        <v>17035.71</v>
      </c>
      <c r="N86" s="17">
        <v>19080</v>
      </c>
      <c r="O86" s="2"/>
      <c r="P86" s="2"/>
      <c r="Q86" s="2" t="s">
        <v>19</v>
      </c>
      <c r="R86" s="5">
        <f t="shared" si="3"/>
        <v>19080</v>
      </c>
      <c r="S86" s="5">
        <f t="shared" si="4"/>
        <v>19080</v>
      </c>
      <c r="T86" s="5">
        <f t="shared" si="5"/>
        <v>0</v>
      </c>
    </row>
    <row r="87" spans="1:20">
      <c r="A87" s="2" t="s">
        <v>282</v>
      </c>
      <c r="B87" s="2" t="s">
        <v>289</v>
      </c>
      <c r="C87" s="2" t="s">
        <v>54</v>
      </c>
      <c r="D87" s="16">
        <v>90</v>
      </c>
      <c r="E87" s="2" t="s">
        <v>290</v>
      </c>
      <c r="F87" s="2" t="s">
        <v>90</v>
      </c>
      <c r="G87" s="2" t="s">
        <v>291</v>
      </c>
      <c r="H87" s="17">
        <v>282155</v>
      </c>
      <c r="I87" s="2"/>
      <c r="J87" s="2"/>
      <c r="K87" s="17">
        <v>282155</v>
      </c>
      <c r="L87" s="17">
        <v>30230.89</v>
      </c>
      <c r="M87" s="17">
        <v>251924.11</v>
      </c>
      <c r="N87" s="17">
        <v>282155</v>
      </c>
      <c r="O87" s="2"/>
      <c r="P87" s="2"/>
      <c r="Q87" s="2" t="s">
        <v>56</v>
      </c>
      <c r="R87" s="5">
        <f t="shared" si="3"/>
        <v>282155</v>
      </c>
      <c r="S87" s="5">
        <f t="shared" si="4"/>
        <v>282155</v>
      </c>
      <c r="T87" s="5">
        <f t="shared" si="5"/>
        <v>0</v>
      </c>
    </row>
    <row r="88" spans="1:20">
      <c r="A88" s="2" t="s">
        <v>282</v>
      </c>
      <c r="B88" s="2" t="s">
        <v>292</v>
      </c>
      <c r="C88" s="2" t="s">
        <v>60</v>
      </c>
      <c r="D88" s="16">
        <v>0</v>
      </c>
      <c r="E88" s="2" t="s">
        <v>282</v>
      </c>
      <c r="F88" s="2" t="s">
        <v>293</v>
      </c>
      <c r="G88" s="2" t="s">
        <v>294</v>
      </c>
      <c r="H88" s="17">
        <v>58930</v>
      </c>
      <c r="I88" s="2"/>
      <c r="J88" s="2"/>
      <c r="K88" s="17">
        <v>58930</v>
      </c>
      <c r="L88" s="17">
        <v>6313.93</v>
      </c>
      <c r="M88" s="17">
        <v>52616.07</v>
      </c>
      <c r="N88" s="17">
        <v>58930</v>
      </c>
      <c r="O88" s="2"/>
      <c r="P88" s="2"/>
      <c r="Q88" s="2" t="s">
        <v>56</v>
      </c>
      <c r="R88" s="5">
        <f t="shared" si="3"/>
        <v>58930</v>
      </c>
      <c r="S88" s="5">
        <f t="shared" si="4"/>
        <v>58930</v>
      </c>
      <c r="T88" s="5">
        <f t="shared" si="5"/>
        <v>0</v>
      </c>
    </row>
    <row r="89" spans="1:20">
      <c r="A89" s="2" t="s">
        <v>282</v>
      </c>
      <c r="B89" s="2" t="s">
        <v>295</v>
      </c>
      <c r="C89" s="2" t="s">
        <v>23</v>
      </c>
      <c r="D89" s="16">
        <v>30</v>
      </c>
      <c r="E89" s="2" t="s">
        <v>296</v>
      </c>
      <c r="F89" s="2" t="s">
        <v>297</v>
      </c>
      <c r="G89" s="2" t="s">
        <v>298</v>
      </c>
      <c r="H89" s="17">
        <v>19604</v>
      </c>
      <c r="I89" s="2"/>
      <c r="J89" s="2"/>
      <c r="K89" s="17">
        <v>19604</v>
      </c>
      <c r="L89" s="17">
        <v>2100.4299999999998</v>
      </c>
      <c r="M89" s="17">
        <v>17503.57</v>
      </c>
      <c r="N89" s="17">
        <v>19604</v>
      </c>
      <c r="O89" s="2"/>
      <c r="P89" s="2"/>
      <c r="Q89" s="2" t="s">
        <v>139</v>
      </c>
      <c r="R89" s="5">
        <f t="shared" si="3"/>
        <v>19604</v>
      </c>
      <c r="S89" s="5">
        <f t="shared" si="4"/>
        <v>19604</v>
      </c>
      <c r="T89" s="5">
        <f t="shared" si="5"/>
        <v>0</v>
      </c>
    </row>
    <row r="90" spans="1:20">
      <c r="A90" s="2" t="s">
        <v>282</v>
      </c>
      <c r="B90" s="2" t="s">
        <v>299</v>
      </c>
      <c r="C90" s="2" t="s">
        <v>60</v>
      </c>
      <c r="D90" s="16">
        <v>0</v>
      </c>
      <c r="E90" s="2" t="s">
        <v>282</v>
      </c>
      <c r="F90" s="2" t="s">
        <v>300</v>
      </c>
      <c r="G90" s="2" t="s">
        <v>301</v>
      </c>
      <c r="H90" s="17">
        <v>67461.240000000005</v>
      </c>
      <c r="I90" s="2"/>
      <c r="J90" s="2"/>
      <c r="K90" s="17">
        <v>67461.240000000005</v>
      </c>
      <c r="L90" s="17">
        <v>7227.99</v>
      </c>
      <c r="M90" s="17">
        <v>60233.25</v>
      </c>
      <c r="N90" s="17">
        <v>67461.240000000005</v>
      </c>
      <c r="O90" s="2"/>
      <c r="P90" s="2"/>
      <c r="Q90" s="2" t="s">
        <v>270</v>
      </c>
      <c r="R90" s="5">
        <f t="shared" si="3"/>
        <v>67461.240000000005</v>
      </c>
      <c r="S90" s="5">
        <f t="shared" si="4"/>
        <v>67461.240000000005</v>
      </c>
      <c r="T90" s="5">
        <f t="shared" si="5"/>
        <v>0</v>
      </c>
    </row>
    <row r="91" spans="1:20">
      <c r="A91" s="2" t="s">
        <v>282</v>
      </c>
      <c r="B91" s="2" t="s">
        <v>302</v>
      </c>
      <c r="C91" s="2" t="s">
        <v>237</v>
      </c>
      <c r="D91" s="16">
        <v>60</v>
      </c>
      <c r="E91" s="2" t="s">
        <v>286</v>
      </c>
      <c r="F91" s="2" t="s">
        <v>303</v>
      </c>
      <c r="G91" s="2" t="s">
        <v>304</v>
      </c>
      <c r="H91" s="17">
        <v>112895</v>
      </c>
      <c r="I91" s="2"/>
      <c r="J91" s="2"/>
      <c r="K91" s="17">
        <v>112895</v>
      </c>
      <c r="L91" s="17">
        <v>12095.89</v>
      </c>
      <c r="M91" s="17">
        <v>100799.11</v>
      </c>
      <c r="N91" s="17">
        <v>112895</v>
      </c>
      <c r="O91" s="2"/>
      <c r="P91" s="2"/>
      <c r="Q91" s="2" t="s">
        <v>69</v>
      </c>
      <c r="R91" s="5">
        <f t="shared" si="3"/>
        <v>112895</v>
      </c>
      <c r="S91" s="5">
        <f t="shared" si="4"/>
        <v>112895</v>
      </c>
      <c r="T91" s="5">
        <f t="shared" si="5"/>
        <v>0</v>
      </c>
    </row>
    <row r="92" spans="1:20">
      <c r="A92" s="2" t="s">
        <v>282</v>
      </c>
      <c r="B92" s="2" t="s">
        <v>305</v>
      </c>
      <c r="C92" s="2" t="s">
        <v>237</v>
      </c>
      <c r="D92" s="16">
        <v>60</v>
      </c>
      <c r="E92" s="2" t="s">
        <v>286</v>
      </c>
      <c r="F92" s="2" t="s">
        <v>303</v>
      </c>
      <c r="G92" s="2" t="s">
        <v>306</v>
      </c>
      <c r="H92" s="17">
        <v>300000</v>
      </c>
      <c r="I92" s="2"/>
      <c r="J92" s="2"/>
      <c r="K92" s="17">
        <v>300000</v>
      </c>
      <c r="L92" s="17">
        <v>32142.86</v>
      </c>
      <c r="M92" s="17">
        <v>267857.14</v>
      </c>
      <c r="N92" s="17">
        <v>300000</v>
      </c>
      <c r="O92" s="2"/>
      <c r="P92" s="2"/>
      <c r="Q92" s="2" t="s">
        <v>69</v>
      </c>
      <c r="R92" s="5">
        <f t="shared" si="3"/>
        <v>300000</v>
      </c>
      <c r="S92" s="5">
        <f t="shared" si="4"/>
        <v>300000</v>
      </c>
      <c r="T92" s="5">
        <f t="shared" si="5"/>
        <v>0</v>
      </c>
    </row>
    <row r="93" spans="1:20">
      <c r="A93" s="2" t="s">
        <v>282</v>
      </c>
      <c r="B93" s="2" t="s">
        <v>307</v>
      </c>
      <c r="C93" s="2" t="s">
        <v>237</v>
      </c>
      <c r="D93" s="16">
        <v>60</v>
      </c>
      <c r="E93" s="2" t="s">
        <v>286</v>
      </c>
      <c r="F93" s="2" t="s">
        <v>303</v>
      </c>
      <c r="G93" s="2" t="s">
        <v>308</v>
      </c>
      <c r="H93" s="17">
        <v>120000</v>
      </c>
      <c r="I93" s="2"/>
      <c r="J93" s="2"/>
      <c r="K93" s="17">
        <v>120000</v>
      </c>
      <c r="L93" s="17">
        <v>12857.14</v>
      </c>
      <c r="M93" s="17">
        <v>107142.86</v>
      </c>
      <c r="N93" s="17">
        <v>120000</v>
      </c>
      <c r="O93" s="2"/>
      <c r="P93" s="2"/>
      <c r="Q93" s="2" t="s">
        <v>69</v>
      </c>
      <c r="R93" s="5">
        <f t="shared" si="3"/>
        <v>120000</v>
      </c>
      <c r="S93" s="5">
        <f t="shared" si="4"/>
        <v>120000</v>
      </c>
      <c r="T93" s="5">
        <f t="shared" si="5"/>
        <v>0</v>
      </c>
    </row>
    <row r="94" spans="1:20">
      <c r="A94" s="2" t="s">
        <v>282</v>
      </c>
      <c r="B94" s="2" t="s">
        <v>309</v>
      </c>
      <c r="C94" s="2" t="s">
        <v>237</v>
      </c>
      <c r="D94" s="16">
        <v>60</v>
      </c>
      <c r="E94" s="2" t="s">
        <v>286</v>
      </c>
      <c r="F94" s="2" t="s">
        <v>303</v>
      </c>
      <c r="G94" s="2" t="s">
        <v>310</v>
      </c>
      <c r="H94" s="17">
        <v>24000</v>
      </c>
      <c r="I94" s="2"/>
      <c r="J94" s="2"/>
      <c r="K94" s="17">
        <v>24000</v>
      </c>
      <c r="L94" s="17">
        <v>2571.4299999999998</v>
      </c>
      <c r="M94" s="17">
        <v>21428.57</v>
      </c>
      <c r="N94" s="17">
        <v>24000</v>
      </c>
      <c r="O94" s="2"/>
      <c r="P94" s="2"/>
      <c r="Q94" s="2" t="s">
        <v>69</v>
      </c>
      <c r="R94" s="5">
        <f t="shared" si="3"/>
        <v>24000</v>
      </c>
      <c r="S94" s="5">
        <f t="shared" si="4"/>
        <v>24000</v>
      </c>
      <c r="T94" s="5">
        <f t="shared" si="5"/>
        <v>0</v>
      </c>
    </row>
    <row r="95" spans="1:20">
      <c r="A95" s="2" t="s">
        <v>282</v>
      </c>
      <c r="B95" s="2" t="s">
        <v>311</v>
      </c>
      <c r="C95" s="2" t="s">
        <v>162</v>
      </c>
      <c r="D95" s="16">
        <v>90</v>
      </c>
      <c r="E95" s="2" t="s">
        <v>290</v>
      </c>
      <c r="F95" s="2" t="s">
        <v>313</v>
      </c>
      <c r="G95" s="2" t="s">
        <v>314</v>
      </c>
      <c r="H95" s="17">
        <v>159998.07999999999</v>
      </c>
      <c r="I95" s="2"/>
      <c r="J95" s="2"/>
      <c r="K95" s="17">
        <v>159998.07999999999</v>
      </c>
      <c r="L95" s="17">
        <v>17142.650000000001</v>
      </c>
      <c r="M95" s="17">
        <v>142855.43</v>
      </c>
      <c r="N95" s="17">
        <v>159998.07999999999</v>
      </c>
      <c r="O95" s="2"/>
      <c r="P95" s="2"/>
      <c r="Q95" s="2" t="s">
        <v>312</v>
      </c>
      <c r="R95" s="5">
        <f t="shared" si="3"/>
        <v>159998.07999999999</v>
      </c>
      <c r="S95" s="5">
        <f t="shared" si="4"/>
        <v>159998.07999999999</v>
      </c>
      <c r="T95" s="5">
        <f t="shared" si="5"/>
        <v>0</v>
      </c>
    </row>
    <row r="96" spans="1:20">
      <c r="A96" s="2" t="s">
        <v>282</v>
      </c>
      <c r="B96" s="2" t="s">
        <v>315</v>
      </c>
      <c r="C96" s="2" t="s">
        <v>151</v>
      </c>
      <c r="D96" s="16">
        <v>60</v>
      </c>
      <c r="E96" s="2" t="s">
        <v>286</v>
      </c>
      <c r="F96" s="2" t="s">
        <v>316</v>
      </c>
      <c r="G96" s="2" t="s">
        <v>317</v>
      </c>
      <c r="H96" s="17">
        <v>77013</v>
      </c>
      <c r="I96" s="2"/>
      <c r="J96" s="2"/>
      <c r="K96" s="17">
        <v>77013</v>
      </c>
      <c r="L96" s="17">
        <v>8251.39</v>
      </c>
      <c r="M96" s="17">
        <v>68761.61</v>
      </c>
      <c r="N96" s="17">
        <v>77013</v>
      </c>
      <c r="O96" s="2"/>
      <c r="P96" s="2"/>
      <c r="Q96" s="2" t="s">
        <v>56</v>
      </c>
      <c r="R96" s="5">
        <f t="shared" si="3"/>
        <v>77013</v>
      </c>
      <c r="S96" s="5">
        <f t="shared" si="4"/>
        <v>77013</v>
      </c>
      <c r="T96" s="5">
        <f t="shared" si="5"/>
        <v>0</v>
      </c>
    </row>
    <row r="97" spans="1:20">
      <c r="A97" s="2" t="s">
        <v>282</v>
      </c>
      <c r="B97" s="2" t="s">
        <v>318</v>
      </c>
      <c r="C97" s="2" t="s">
        <v>18</v>
      </c>
      <c r="D97" s="16">
        <v>0</v>
      </c>
      <c r="E97" s="2" t="s">
        <v>282</v>
      </c>
      <c r="F97" s="2" t="s">
        <v>319</v>
      </c>
      <c r="G97" s="2" t="s">
        <v>320</v>
      </c>
      <c r="H97" s="17">
        <v>120900</v>
      </c>
      <c r="I97" s="2"/>
      <c r="J97" s="2"/>
      <c r="K97" s="17">
        <v>120900</v>
      </c>
      <c r="L97" s="17">
        <v>12953.57</v>
      </c>
      <c r="M97" s="17">
        <v>107946.43</v>
      </c>
      <c r="N97" s="17">
        <v>120900</v>
      </c>
      <c r="O97" s="2"/>
      <c r="P97" s="2"/>
      <c r="Q97" s="2" t="s">
        <v>180</v>
      </c>
      <c r="R97" s="5">
        <f t="shared" si="3"/>
        <v>120900</v>
      </c>
      <c r="S97" s="5">
        <f t="shared" si="4"/>
        <v>120900</v>
      </c>
      <c r="T97" s="5">
        <f t="shared" si="5"/>
        <v>0</v>
      </c>
    </row>
    <row r="98" spans="1:20">
      <c r="A98" s="2" t="s">
        <v>282</v>
      </c>
      <c r="B98" s="2" t="s">
        <v>321</v>
      </c>
      <c r="C98" s="2" t="s">
        <v>18</v>
      </c>
      <c r="D98" s="16">
        <v>0</v>
      </c>
      <c r="E98" s="2" t="s">
        <v>282</v>
      </c>
      <c r="F98" s="2" t="s">
        <v>319</v>
      </c>
      <c r="G98" s="2" t="s">
        <v>322</v>
      </c>
      <c r="H98" s="17">
        <v>27500</v>
      </c>
      <c r="I98" s="2"/>
      <c r="J98" s="2"/>
      <c r="K98" s="17">
        <v>27500</v>
      </c>
      <c r="L98" s="17">
        <v>2946.43</v>
      </c>
      <c r="M98" s="17">
        <v>24553.57</v>
      </c>
      <c r="N98" s="17">
        <v>27500</v>
      </c>
      <c r="O98" s="2"/>
      <c r="P98" s="2"/>
      <c r="Q98" s="2" t="s">
        <v>180</v>
      </c>
      <c r="R98" s="5">
        <f t="shared" si="3"/>
        <v>27500</v>
      </c>
      <c r="S98" s="5">
        <f t="shared" si="4"/>
        <v>27500</v>
      </c>
      <c r="T98" s="5">
        <f t="shared" si="5"/>
        <v>0</v>
      </c>
    </row>
    <row r="99" spans="1:20">
      <c r="A99" s="2" t="s">
        <v>282</v>
      </c>
      <c r="B99" s="2" t="s">
        <v>323</v>
      </c>
      <c r="C99" s="2" t="s">
        <v>18</v>
      </c>
      <c r="D99" s="16">
        <v>0</v>
      </c>
      <c r="E99" s="2" t="s">
        <v>282</v>
      </c>
      <c r="F99" s="2" t="s">
        <v>319</v>
      </c>
      <c r="G99" s="2" t="s">
        <v>324</v>
      </c>
      <c r="H99" s="17">
        <v>181100</v>
      </c>
      <c r="I99" s="2"/>
      <c r="J99" s="2"/>
      <c r="K99" s="17">
        <v>181100</v>
      </c>
      <c r="L99" s="17">
        <v>19403.57</v>
      </c>
      <c r="M99" s="17">
        <v>161696.43</v>
      </c>
      <c r="N99" s="17">
        <v>181100</v>
      </c>
      <c r="O99" s="2"/>
      <c r="P99" s="2"/>
      <c r="Q99" s="2" t="s">
        <v>180</v>
      </c>
      <c r="R99" s="5">
        <f t="shared" si="3"/>
        <v>181100</v>
      </c>
      <c r="S99" s="5">
        <f t="shared" si="4"/>
        <v>181100</v>
      </c>
      <c r="T99" s="5">
        <f t="shared" si="5"/>
        <v>0</v>
      </c>
    </row>
    <row r="100" spans="1:20">
      <c r="A100" s="2" t="s">
        <v>282</v>
      </c>
      <c r="B100" s="2" t="s">
        <v>325</v>
      </c>
      <c r="C100" s="2" t="s">
        <v>18</v>
      </c>
      <c r="D100" s="16">
        <v>0</v>
      </c>
      <c r="E100" s="2" t="s">
        <v>282</v>
      </c>
      <c r="F100" s="2" t="s">
        <v>326</v>
      </c>
      <c r="G100" s="2" t="s">
        <v>327</v>
      </c>
      <c r="H100" s="17">
        <v>184000</v>
      </c>
      <c r="I100" s="19">
        <v>-3680</v>
      </c>
      <c r="J100" s="2"/>
      <c r="K100" s="17">
        <v>180320</v>
      </c>
      <c r="L100" s="17">
        <v>19320</v>
      </c>
      <c r="M100" s="17">
        <v>161000</v>
      </c>
      <c r="N100" s="17">
        <v>180320</v>
      </c>
      <c r="O100" s="2"/>
      <c r="P100" s="2"/>
      <c r="Q100" s="2" t="s">
        <v>56</v>
      </c>
      <c r="R100" s="5">
        <f t="shared" si="3"/>
        <v>180320</v>
      </c>
      <c r="S100" s="5">
        <f t="shared" si="4"/>
        <v>180320</v>
      </c>
      <c r="T100" s="5">
        <f t="shared" si="5"/>
        <v>0</v>
      </c>
    </row>
    <row r="101" spans="1:20">
      <c r="A101" s="2" t="s">
        <v>282</v>
      </c>
      <c r="B101" s="2" t="s">
        <v>328</v>
      </c>
      <c r="C101" s="2" t="s">
        <v>34</v>
      </c>
      <c r="D101" s="16">
        <v>60</v>
      </c>
      <c r="E101" s="2" t="s">
        <v>286</v>
      </c>
      <c r="F101" s="2" t="s">
        <v>330</v>
      </c>
      <c r="G101" s="2" t="s">
        <v>331</v>
      </c>
      <c r="H101" s="17">
        <v>338400</v>
      </c>
      <c r="I101" s="2"/>
      <c r="J101" s="2"/>
      <c r="K101" s="17">
        <v>338400</v>
      </c>
      <c r="L101" s="17">
        <v>36257.14</v>
      </c>
      <c r="M101" s="17">
        <v>302142.86</v>
      </c>
      <c r="N101" s="17">
        <v>338400</v>
      </c>
      <c r="O101" s="2"/>
      <c r="P101" s="2"/>
      <c r="Q101" s="2" t="s">
        <v>329</v>
      </c>
      <c r="R101" s="5">
        <f t="shared" si="3"/>
        <v>338400</v>
      </c>
      <c r="S101" s="5">
        <f t="shared" si="4"/>
        <v>338400</v>
      </c>
      <c r="T101" s="5">
        <f t="shared" si="5"/>
        <v>0</v>
      </c>
    </row>
    <row r="102" spans="1:20">
      <c r="A102" s="2" t="s">
        <v>282</v>
      </c>
      <c r="B102" s="2" t="s">
        <v>332</v>
      </c>
      <c r="C102" s="2" t="s">
        <v>333</v>
      </c>
      <c r="D102" s="16">
        <v>30</v>
      </c>
      <c r="E102" s="2" t="s">
        <v>296</v>
      </c>
      <c r="F102" s="2" t="s">
        <v>334</v>
      </c>
      <c r="G102" s="2" t="s">
        <v>335</v>
      </c>
      <c r="H102" s="17">
        <v>88200</v>
      </c>
      <c r="I102" s="2"/>
      <c r="J102" s="2"/>
      <c r="K102" s="17">
        <v>88200</v>
      </c>
      <c r="L102" s="17">
        <v>9450</v>
      </c>
      <c r="M102" s="17">
        <v>78750</v>
      </c>
      <c r="N102" s="17">
        <v>88200</v>
      </c>
      <c r="O102" s="2"/>
      <c r="P102" s="2"/>
      <c r="Q102" s="2" t="s">
        <v>270</v>
      </c>
      <c r="R102" s="5">
        <f t="shared" si="3"/>
        <v>88200</v>
      </c>
      <c r="S102" s="5">
        <f t="shared" si="4"/>
        <v>88200</v>
      </c>
      <c r="T102" s="5">
        <f t="shared" si="5"/>
        <v>0</v>
      </c>
    </row>
    <row r="103" spans="1:20">
      <c r="A103" s="2" t="s">
        <v>282</v>
      </c>
      <c r="B103" s="2" t="s">
        <v>336</v>
      </c>
      <c r="C103" s="2" t="s">
        <v>237</v>
      </c>
      <c r="D103" s="16">
        <v>60</v>
      </c>
      <c r="E103" s="2" t="s">
        <v>286</v>
      </c>
      <c r="F103" s="2" t="s">
        <v>337</v>
      </c>
      <c r="G103" s="2" t="s">
        <v>338</v>
      </c>
      <c r="H103" s="17">
        <v>143215</v>
      </c>
      <c r="I103" s="2"/>
      <c r="J103" s="2"/>
      <c r="K103" s="17">
        <v>143215</v>
      </c>
      <c r="L103" s="17">
        <v>15344.46</v>
      </c>
      <c r="M103" s="17">
        <v>127870.54</v>
      </c>
      <c r="N103" s="17">
        <v>143215</v>
      </c>
      <c r="O103" s="2"/>
      <c r="P103" s="2"/>
      <c r="Q103" s="2" t="s">
        <v>270</v>
      </c>
      <c r="R103" s="5">
        <f t="shared" si="3"/>
        <v>143215</v>
      </c>
      <c r="S103" s="5">
        <f t="shared" si="4"/>
        <v>143215</v>
      </c>
      <c r="T103" s="5">
        <f t="shared" si="5"/>
        <v>0</v>
      </c>
    </row>
    <row r="104" spans="1:20">
      <c r="A104" s="2" t="s">
        <v>282</v>
      </c>
      <c r="B104" s="2" t="s">
        <v>339</v>
      </c>
      <c r="C104" s="2" t="s">
        <v>333</v>
      </c>
      <c r="D104" s="16">
        <v>30</v>
      </c>
      <c r="E104" s="2" t="s">
        <v>296</v>
      </c>
      <c r="F104" s="2" t="s">
        <v>340</v>
      </c>
      <c r="G104" s="2" t="s">
        <v>341</v>
      </c>
      <c r="H104" s="17">
        <v>309050</v>
      </c>
      <c r="I104" s="2"/>
      <c r="J104" s="2"/>
      <c r="K104" s="17">
        <v>309050</v>
      </c>
      <c r="L104" s="17">
        <v>33112.5</v>
      </c>
      <c r="M104" s="17">
        <v>275937.5</v>
      </c>
      <c r="N104" s="17">
        <v>309050</v>
      </c>
      <c r="O104" s="2"/>
      <c r="P104" s="2"/>
      <c r="Q104" s="2" t="s">
        <v>270</v>
      </c>
      <c r="R104" s="5">
        <f t="shared" si="3"/>
        <v>309050</v>
      </c>
      <c r="S104" s="5">
        <f t="shared" si="4"/>
        <v>309050</v>
      </c>
      <c r="T104" s="5">
        <f t="shared" si="5"/>
        <v>0</v>
      </c>
    </row>
    <row r="105" spans="1:20">
      <c r="A105" s="2" t="s">
        <v>282</v>
      </c>
      <c r="B105" s="2" t="s">
        <v>342</v>
      </c>
      <c r="C105" s="2" t="s">
        <v>333</v>
      </c>
      <c r="D105" s="16">
        <v>30</v>
      </c>
      <c r="E105" s="2" t="s">
        <v>296</v>
      </c>
      <c r="F105" s="2" t="s">
        <v>340</v>
      </c>
      <c r="G105" s="2" t="s">
        <v>343</v>
      </c>
      <c r="H105" s="17">
        <v>196112</v>
      </c>
      <c r="I105" s="2"/>
      <c r="J105" s="2"/>
      <c r="K105" s="17">
        <v>196112</v>
      </c>
      <c r="L105" s="17">
        <v>21012</v>
      </c>
      <c r="M105" s="17">
        <v>175100</v>
      </c>
      <c r="N105" s="17">
        <v>196112</v>
      </c>
      <c r="O105" s="2"/>
      <c r="P105" s="2"/>
      <c r="Q105" s="2" t="s">
        <v>270</v>
      </c>
      <c r="R105" s="5">
        <f t="shared" si="3"/>
        <v>196112</v>
      </c>
      <c r="S105" s="5">
        <f t="shared" si="4"/>
        <v>196112</v>
      </c>
      <c r="T105" s="5">
        <f t="shared" si="5"/>
        <v>0</v>
      </c>
    </row>
    <row r="106" spans="1:20">
      <c r="A106" s="2" t="s">
        <v>282</v>
      </c>
      <c r="B106" s="2" t="s">
        <v>344</v>
      </c>
      <c r="C106" s="2" t="s">
        <v>18</v>
      </c>
      <c r="D106" s="16">
        <v>0</v>
      </c>
      <c r="E106" s="2" t="s">
        <v>282</v>
      </c>
      <c r="F106" s="2" t="s">
        <v>345</v>
      </c>
      <c r="G106" s="2" t="s">
        <v>346</v>
      </c>
      <c r="H106" s="17">
        <v>116996</v>
      </c>
      <c r="I106" s="2"/>
      <c r="J106" s="2"/>
      <c r="K106" s="17">
        <v>116996</v>
      </c>
      <c r="L106" s="17">
        <v>12535.29</v>
      </c>
      <c r="M106" s="17">
        <v>104460.71</v>
      </c>
      <c r="N106" s="17">
        <v>116996</v>
      </c>
      <c r="O106" s="2"/>
      <c r="P106" s="2"/>
      <c r="Q106" s="2" t="s">
        <v>56</v>
      </c>
      <c r="R106" s="5">
        <f t="shared" si="3"/>
        <v>116996</v>
      </c>
      <c r="S106" s="5">
        <f t="shared" si="4"/>
        <v>116996</v>
      </c>
      <c r="T106" s="5">
        <f t="shared" si="5"/>
        <v>0</v>
      </c>
    </row>
    <row r="107" spans="1:20">
      <c r="A107" s="2" t="s">
        <v>282</v>
      </c>
      <c r="B107" s="2" t="s">
        <v>347</v>
      </c>
      <c r="C107" s="2" t="s">
        <v>73</v>
      </c>
      <c r="D107" s="16">
        <v>30</v>
      </c>
      <c r="E107" s="2" t="s">
        <v>296</v>
      </c>
      <c r="F107" s="2" t="s">
        <v>267</v>
      </c>
      <c r="G107" s="2" t="s">
        <v>348</v>
      </c>
      <c r="H107" s="17">
        <v>23800</v>
      </c>
      <c r="I107" s="2"/>
      <c r="J107" s="17">
        <v>8200</v>
      </c>
      <c r="K107" s="17">
        <f>32000-J107</f>
        <v>23800</v>
      </c>
      <c r="L107" s="17">
        <v>3428.57</v>
      </c>
      <c r="M107" s="17">
        <v>28571.43</v>
      </c>
      <c r="N107" s="17">
        <v>32000</v>
      </c>
      <c r="O107" s="2"/>
      <c r="P107" s="2" t="s">
        <v>1771</v>
      </c>
      <c r="Q107" s="2" t="s">
        <v>19</v>
      </c>
      <c r="R107" s="5">
        <f t="shared" si="3"/>
        <v>32000</v>
      </c>
      <c r="S107" s="5">
        <f t="shared" si="4"/>
        <v>32000</v>
      </c>
      <c r="T107" s="5">
        <f t="shared" si="5"/>
        <v>0</v>
      </c>
    </row>
    <row r="108" spans="1:20">
      <c r="A108" s="2" t="s">
        <v>282</v>
      </c>
      <c r="B108" s="2" t="s">
        <v>349</v>
      </c>
      <c r="C108" s="2" t="s">
        <v>73</v>
      </c>
      <c r="D108" s="16">
        <v>30</v>
      </c>
      <c r="E108" s="2" t="s">
        <v>296</v>
      </c>
      <c r="F108" s="2" t="s">
        <v>267</v>
      </c>
      <c r="G108" s="2" t="s">
        <v>350</v>
      </c>
      <c r="H108" s="17">
        <v>104000</v>
      </c>
      <c r="I108" s="2"/>
      <c r="J108" s="2"/>
      <c r="K108" s="17">
        <v>104000</v>
      </c>
      <c r="L108" s="17">
        <v>11142.86</v>
      </c>
      <c r="M108" s="17">
        <v>92857.14</v>
      </c>
      <c r="N108" s="17">
        <v>104000</v>
      </c>
      <c r="O108" s="2"/>
      <c r="P108" s="2"/>
      <c r="Q108" s="2" t="s">
        <v>19</v>
      </c>
      <c r="R108" s="5">
        <f t="shared" si="3"/>
        <v>104000</v>
      </c>
      <c r="S108" s="5">
        <f t="shared" si="4"/>
        <v>104000</v>
      </c>
      <c r="T108" s="5">
        <f t="shared" si="5"/>
        <v>0</v>
      </c>
    </row>
    <row r="109" spans="1:20">
      <c r="A109" s="2" t="s">
        <v>282</v>
      </c>
      <c r="B109" s="2" t="s">
        <v>351</v>
      </c>
      <c r="C109" s="2" t="s">
        <v>34</v>
      </c>
      <c r="D109" s="16">
        <v>60</v>
      </c>
      <c r="E109" s="2" t="s">
        <v>286</v>
      </c>
      <c r="F109" s="2" t="s">
        <v>352</v>
      </c>
      <c r="G109" s="2" t="s">
        <v>353</v>
      </c>
      <c r="H109" s="17">
        <v>22908</v>
      </c>
      <c r="I109" s="2"/>
      <c r="J109" s="2"/>
      <c r="K109" s="17">
        <v>22908</v>
      </c>
      <c r="L109" s="17">
        <v>2454.4299999999998</v>
      </c>
      <c r="M109" s="17">
        <v>20453.57</v>
      </c>
      <c r="N109" s="17">
        <v>22908</v>
      </c>
      <c r="O109" s="2"/>
      <c r="P109" s="2"/>
      <c r="Q109" s="2" t="s">
        <v>180</v>
      </c>
      <c r="R109" s="5">
        <f t="shared" si="3"/>
        <v>22908</v>
      </c>
      <c r="S109" s="5">
        <f t="shared" si="4"/>
        <v>22908</v>
      </c>
      <c r="T109" s="5">
        <f t="shared" si="5"/>
        <v>0</v>
      </c>
    </row>
    <row r="110" spans="1:20">
      <c r="A110" s="2" t="s">
        <v>282</v>
      </c>
      <c r="B110" s="2" t="s">
        <v>354</v>
      </c>
      <c r="C110" s="2" t="s">
        <v>54</v>
      </c>
      <c r="D110" s="16">
        <v>90</v>
      </c>
      <c r="E110" s="2" t="s">
        <v>290</v>
      </c>
      <c r="F110" s="2" t="s">
        <v>355</v>
      </c>
      <c r="G110" s="2" t="s">
        <v>356</v>
      </c>
      <c r="H110" s="17">
        <v>97500</v>
      </c>
      <c r="I110" s="2"/>
      <c r="J110" s="2"/>
      <c r="K110" s="17">
        <v>97500</v>
      </c>
      <c r="L110" s="17">
        <v>10446.43</v>
      </c>
      <c r="M110" s="17">
        <v>87053.57</v>
      </c>
      <c r="N110" s="17">
        <v>97500</v>
      </c>
      <c r="O110" s="2"/>
      <c r="P110" s="2"/>
      <c r="Q110" s="2" t="s">
        <v>56</v>
      </c>
      <c r="R110" s="5">
        <f t="shared" si="3"/>
        <v>97500</v>
      </c>
      <c r="S110" s="5">
        <f t="shared" si="4"/>
        <v>97500</v>
      </c>
      <c r="T110" s="5">
        <f t="shared" si="5"/>
        <v>0</v>
      </c>
    </row>
    <row r="111" spans="1:20">
      <c r="A111" s="2" t="s">
        <v>282</v>
      </c>
      <c r="B111" s="2" t="s">
        <v>357</v>
      </c>
      <c r="C111" s="2" t="s">
        <v>54</v>
      </c>
      <c r="D111" s="16">
        <v>90</v>
      </c>
      <c r="E111" s="2" t="s">
        <v>290</v>
      </c>
      <c r="F111" s="2" t="s">
        <v>355</v>
      </c>
      <c r="G111" s="2" t="s">
        <v>358</v>
      </c>
      <c r="H111" s="17">
        <v>60000</v>
      </c>
      <c r="I111" s="2"/>
      <c r="J111" s="2"/>
      <c r="K111" s="17">
        <v>60000</v>
      </c>
      <c r="L111" s="17">
        <v>6428.57</v>
      </c>
      <c r="M111" s="17">
        <v>53571.43</v>
      </c>
      <c r="N111" s="17">
        <v>60000</v>
      </c>
      <c r="O111" s="2"/>
      <c r="P111" s="2"/>
      <c r="Q111" s="2" t="s">
        <v>56</v>
      </c>
      <c r="R111" s="5">
        <f t="shared" si="3"/>
        <v>60000</v>
      </c>
      <c r="S111" s="5">
        <f t="shared" si="4"/>
        <v>60000</v>
      </c>
      <c r="T111" s="5">
        <f t="shared" si="5"/>
        <v>0</v>
      </c>
    </row>
    <row r="112" spans="1:20">
      <c r="A112" s="2" t="s">
        <v>282</v>
      </c>
      <c r="B112" s="2" t="s">
        <v>359</v>
      </c>
      <c r="C112" s="2" t="s">
        <v>54</v>
      </c>
      <c r="D112" s="16">
        <v>90</v>
      </c>
      <c r="E112" s="2" t="s">
        <v>290</v>
      </c>
      <c r="F112" s="2" t="s">
        <v>355</v>
      </c>
      <c r="G112" s="2" t="s">
        <v>360</v>
      </c>
      <c r="H112" s="17">
        <v>377482</v>
      </c>
      <c r="I112" s="2"/>
      <c r="J112" s="2"/>
      <c r="K112" s="17">
        <v>377482</v>
      </c>
      <c r="L112" s="17">
        <v>40444.5</v>
      </c>
      <c r="M112" s="17">
        <v>337037.5</v>
      </c>
      <c r="N112" s="17">
        <v>377482</v>
      </c>
      <c r="O112" s="2"/>
      <c r="P112" s="2"/>
      <c r="Q112" s="2" t="s">
        <v>56</v>
      </c>
      <c r="R112" s="5">
        <f t="shared" si="3"/>
        <v>377482</v>
      </c>
      <c r="S112" s="5">
        <f t="shared" si="4"/>
        <v>377482</v>
      </c>
      <c r="T112" s="5">
        <f t="shared" si="5"/>
        <v>0</v>
      </c>
    </row>
    <row r="113" spans="1:20">
      <c r="A113" s="2" t="s">
        <v>282</v>
      </c>
      <c r="B113" s="2" t="s">
        <v>361</v>
      </c>
      <c r="C113" s="2" t="s">
        <v>167</v>
      </c>
      <c r="D113" s="16">
        <v>90</v>
      </c>
      <c r="E113" s="2" t="s">
        <v>290</v>
      </c>
      <c r="F113" s="2" t="s">
        <v>190</v>
      </c>
      <c r="G113" s="2" t="s">
        <v>362</v>
      </c>
      <c r="H113" s="17">
        <v>260736</v>
      </c>
      <c r="I113" s="2"/>
      <c r="J113" s="2"/>
      <c r="K113" s="17">
        <v>260736</v>
      </c>
      <c r="L113" s="17">
        <v>27936</v>
      </c>
      <c r="M113" s="17">
        <v>232800</v>
      </c>
      <c r="N113" s="17">
        <v>260736</v>
      </c>
      <c r="O113" s="2"/>
      <c r="P113" s="2"/>
      <c r="Q113" s="2" t="s">
        <v>56</v>
      </c>
      <c r="R113" s="5">
        <f t="shared" si="3"/>
        <v>260736</v>
      </c>
      <c r="S113" s="5">
        <f t="shared" si="4"/>
        <v>260736</v>
      </c>
      <c r="T113" s="5">
        <f t="shared" si="5"/>
        <v>0</v>
      </c>
    </row>
    <row r="114" spans="1:20">
      <c r="A114" s="2" t="s">
        <v>282</v>
      </c>
      <c r="B114" s="2" t="s">
        <v>363</v>
      </c>
      <c r="C114" s="2" t="s">
        <v>162</v>
      </c>
      <c r="D114" s="16">
        <v>90</v>
      </c>
      <c r="E114" s="2" t="s">
        <v>290</v>
      </c>
      <c r="F114" s="2" t="s">
        <v>193</v>
      </c>
      <c r="G114" s="2" t="s">
        <v>364</v>
      </c>
      <c r="H114" s="17">
        <v>28636</v>
      </c>
      <c r="I114" s="2"/>
      <c r="J114" s="2"/>
      <c r="K114" s="17">
        <v>28636</v>
      </c>
      <c r="L114" s="17">
        <v>3068.14</v>
      </c>
      <c r="M114" s="17">
        <v>25567.86</v>
      </c>
      <c r="N114" s="17">
        <v>28636</v>
      </c>
      <c r="O114" s="2"/>
      <c r="P114" s="2"/>
      <c r="Q114" s="2" t="s">
        <v>36</v>
      </c>
      <c r="R114" s="5">
        <f t="shared" si="3"/>
        <v>28636</v>
      </c>
      <c r="S114" s="5">
        <f t="shared" si="4"/>
        <v>28636</v>
      </c>
      <c r="T114" s="5">
        <f t="shared" si="5"/>
        <v>0</v>
      </c>
    </row>
    <row r="115" spans="1:20">
      <c r="A115" s="2" t="s">
        <v>282</v>
      </c>
      <c r="B115" s="2" t="s">
        <v>365</v>
      </c>
      <c r="C115" s="2" t="s">
        <v>167</v>
      </c>
      <c r="D115" s="16">
        <v>90</v>
      </c>
      <c r="E115" s="2" t="s">
        <v>290</v>
      </c>
      <c r="F115" s="2" t="s">
        <v>190</v>
      </c>
      <c r="G115" s="2" t="s">
        <v>366</v>
      </c>
      <c r="H115" s="17">
        <v>229696</v>
      </c>
      <c r="I115" s="2"/>
      <c r="J115" s="2"/>
      <c r="K115" s="17">
        <v>229696</v>
      </c>
      <c r="L115" s="17">
        <v>24610.29</v>
      </c>
      <c r="M115" s="17">
        <v>205085.71</v>
      </c>
      <c r="N115" s="17">
        <v>229696</v>
      </c>
      <c r="O115" s="2"/>
      <c r="P115" s="2"/>
      <c r="Q115" s="2" t="s">
        <v>56</v>
      </c>
      <c r="R115" s="5">
        <f t="shared" si="3"/>
        <v>229696</v>
      </c>
      <c r="S115" s="5">
        <f t="shared" si="4"/>
        <v>229696</v>
      </c>
      <c r="T115" s="5">
        <f t="shared" si="5"/>
        <v>0</v>
      </c>
    </row>
    <row r="116" spans="1:20">
      <c r="A116" s="2" t="s">
        <v>368</v>
      </c>
      <c r="B116" s="2" t="s">
        <v>367</v>
      </c>
      <c r="C116" s="2" t="s">
        <v>369</v>
      </c>
      <c r="D116" s="16">
        <v>30</v>
      </c>
      <c r="E116" s="2" t="s">
        <v>370</v>
      </c>
      <c r="F116" s="2" t="s">
        <v>371</v>
      </c>
      <c r="G116" s="2" t="s">
        <v>372</v>
      </c>
      <c r="H116" s="17">
        <v>256067</v>
      </c>
      <c r="I116" s="2"/>
      <c r="J116" s="2"/>
      <c r="K116" s="17">
        <v>256067</v>
      </c>
      <c r="L116" s="17">
        <v>27435.75</v>
      </c>
      <c r="M116" s="17">
        <v>228631.25</v>
      </c>
      <c r="N116" s="17">
        <v>256067</v>
      </c>
      <c r="O116" s="2"/>
      <c r="P116" s="2"/>
      <c r="Q116" s="2" t="s">
        <v>139</v>
      </c>
      <c r="R116" s="5">
        <f t="shared" si="3"/>
        <v>256067</v>
      </c>
      <c r="S116" s="5">
        <f t="shared" si="4"/>
        <v>256067</v>
      </c>
      <c r="T116" s="5">
        <f t="shared" si="5"/>
        <v>0</v>
      </c>
    </row>
    <row r="117" spans="1:20">
      <c r="A117" s="2" t="s">
        <v>368</v>
      </c>
      <c r="B117" s="2" t="s">
        <v>373</v>
      </c>
      <c r="C117" s="2" t="s">
        <v>94</v>
      </c>
      <c r="D117" s="16">
        <v>0</v>
      </c>
      <c r="E117" s="2" t="s">
        <v>368</v>
      </c>
      <c r="F117" s="2" t="s">
        <v>95</v>
      </c>
      <c r="G117" s="2" t="s">
        <v>374</v>
      </c>
      <c r="H117" s="17">
        <v>263200</v>
      </c>
      <c r="I117" s="2"/>
      <c r="J117" s="2"/>
      <c r="K117" s="17">
        <v>263200</v>
      </c>
      <c r="L117" s="17">
        <v>28200</v>
      </c>
      <c r="M117" s="17">
        <v>235000</v>
      </c>
      <c r="N117" s="17">
        <v>263200</v>
      </c>
      <c r="O117" s="2"/>
      <c r="P117" s="2"/>
      <c r="Q117" s="2" t="s">
        <v>46</v>
      </c>
      <c r="R117" s="5">
        <f t="shared" si="3"/>
        <v>263200</v>
      </c>
      <c r="S117" s="5">
        <f t="shared" si="4"/>
        <v>263200</v>
      </c>
      <c r="T117" s="5">
        <f t="shared" si="5"/>
        <v>0</v>
      </c>
    </row>
    <row r="118" spans="1:20">
      <c r="A118" s="2" t="s">
        <v>368</v>
      </c>
      <c r="B118" s="2" t="s">
        <v>375</v>
      </c>
      <c r="C118" s="2" t="s">
        <v>34</v>
      </c>
      <c r="D118" s="16">
        <v>60</v>
      </c>
      <c r="E118" s="2" t="s">
        <v>376</v>
      </c>
      <c r="F118" s="2" t="s">
        <v>201</v>
      </c>
      <c r="G118" s="2" t="s">
        <v>377</v>
      </c>
      <c r="H118" s="17">
        <v>48000</v>
      </c>
      <c r="I118" s="2"/>
      <c r="J118" s="2"/>
      <c r="K118" s="17">
        <v>48000</v>
      </c>
      <c r="L118" s="17">
        <v>5142.8599999999997</v>
      </c>
      <c r="M118" s="17">
        <v>42857.14</v>
      </c>
      <c r="N118" s="17">
        <v>48000</v>
      </c>
      <c r="O118" s="2"/>
      <c r="P118" s="2"/>
      <c r="Q118" s="2" t="s">
        <v>30</v>
      </c>
      <c r="R118" s="5">
        <f t="shared" si="3"/>
        <v>48000</v>
      </c>
      <c r="S118" s="5">
        <f t="shared" si="4"/>
        <v>48000</v>
      </c>
      <c r="T118" s="5">
        <f t="shared" si="5"/>
        <v>0</v>
      </c>
    </row>
    <row r="119" spans="1:20">
      <c r="A119" s="2" t="s">
        <v>368</v>
      </c>
      <c r="B119" s="2" t="s">
        <v>378</v>
      </c>
      <c r="C119" s="2" t="s">
        <v>369</v>
      </c>
      <c r="D119" s="16">
        <v>30</v>
      </c>
      <c r="E119" s="2" t="s">
        <v>370</v>
      </c>
      <c r="F119" s="2" t="s">
        <v>371</v>
      </c>
      <c r="G119" s="2" t="s">
        <v>379</v>
      </c>
      <c r="H119" s="17">
        <v>47040</v>
      </c>
      <c r="I119" s="2"/>
      <c r="J119" s="2"/>
      <c r="K119" s="17">
        <v>47040</v>
      </c>
      <c r="L119" s="17">
        <v>5040</v>
      </c>
      <c r="M119" s="17">
        <v>42000</v>
      </c>
      <c r="N119" s="17">
        <v>47040</v>
      </c>
      <c r="O119" s="2"/>
      <c r="P119" s="2"/>
      <c r="Q119" s="2" t="s">
        <v>139</v>
      </c>
      <c r="R119" s="5">
        <f t="shared" si="3"/>
        <v>47040</v>
      </c>
      <c r="S119" s="5">
        <f t="shared" si="4"/>
        <v>47040</v>
      </c>
      <c r="T119" s="5">
        <f t="shared" si="5"/>
        <v>0</v>
      </c>
    </row>
    <row r="120" spans="1:20">
      <c r="A120" s="2" t="s">
        <v>368</v>
      </c>
      <c r="B120" s="2" t="s">
        <v>380</v>
      </c>
      <c r="C120" s="2" t="s">
        <v>369</v>
      </c>
      <c r="D120" s="16">
        <v>30</v>
      </c>
      <c r="E120" s="2" t="s">
        <v>370</v>
      </c>
      <c r="F120" s="2" t="s">
        <v>371</v>
      </c>
      <c r="G120" s="2" t="s">
        <v>381</v>
      </c>
      <c r="H120" s="17">
        <v>143520</v>
      </c>
      <c r="I120" s="2"/>
      <c r="J120" s="2"/>
      <c r="K120" s="17">
        <v>143520</v>
      </c>
      <c r="L120" s="17">
        <v>15377.14</v>
      </c>
      <c r="M120" s="17">
        <v>128142.86</v>
      </c>
      <c r="N120" s="17">
        <v>143520</v>
      </c>
      <c r="O120" s="2"/>
      <c r="P120" s="2"/>
      <c r="Q120" s="2" t="s">
        <v>139</v>
      </c>
      <c r="R120" s="5">
        <f t="shared" si="3"/>
        <v>143520</v>
      </c>
      <c r="S120" s="5">
        <f t="shared" si="4"/>
        <v>143520</v>
      </c>
      <c r="T120" s="5">
        <f t="shared" si="5"/>
        <v>0</v>
      </c>
    </row>
    <row r="121" spans="1:20">
      <c r="A121" s="2" t="s">
        <v>368</v>
      </c>
      <c r="B121" s="2" t="s">
        <v>382</v>
      </c>
      <c r="C121" s="2" t="s">
        <v>146</v>
      </c>
      <c r="D121" s="16">
        <v>90</v>
      </c>
      <c r="E121" s="2" t="s">
        <v>383</v>
      </c>
      <c r="F121" s="2" t="s">
        <v>384</v>
      </c>
      <c r="G121" s="2" t="s">
        <v>385</v>
      </c>
      <c r="H121" s="17">
        <v>723750</v>
      </c>
      <c r="I121" s="2"/>
      <c r="J121" s="2"/>
      <c r="K121" s="17">
        <v>723750</v>
      </c>
      <c r="L121" s="17">
        <v>77544.639999999999</v>
      </c>
      <c r="M121" s="17">
        <v>646205.36</v>
      </c>
      <c r="N121" s="17">
        <v>723750</v>
      </c>
      <c r="O121" s="2"/>
      <c r="P121" s="2"/>
      <c r="Q121" s="2" t="s">
        <v>30</v>
      </c>
      <c r="R121" s="5">
        <f t="shared" si="3"/>
        <v>723750</v>
      </c>
      <c r="S121" s="5">
        <f t="shared" si="4"/>
        <v>723750</v>
      </c>
      <c r="T121" s="5">
        <f t="shared" si="5"/>
        <v>0</v>
      </c>
    </row>
    <row r="122" spans="1:20">
      <c r="A122" s="2" t="s">
        <v>368</v>
      </c>
      <c r="B122" s="2" t="s">
        <v>386</v>
      </c>
      <c r="C122" s="2" t="s">
        <v>60</v>
      </c>
      <c r="D122" s="16">
        <v>0</v>
      </c>
      <c r="E122" s="2" t="s">
        <v>368</v>
      </c>
      <c r="F122" s="2" t="s">
        <v>190</v>
      </c>
      <c r="G122" s="2" t="s">
        <v>387</v>
      </c>
      <c r="H122" s="17">
        <v>208317.2</v>
      </c>
      <c r="I122" s="2"/>
      <c r="J122" s="2"/>
      <c r="K122" s="17">
        <v>208317.2</v>
      </c>
      <c r="L122" s="17">
        <v>22319.7</v>
      </c>
      <c r="M122" s="17">
        <v>185997.5</v>
      </c>
      <c r="N122" s="17">
        <v>208317.2</v>
      </c>
      <c r="O122" s="2"/>
      <c r="P122" s="2"/>
      <c r="Q122" s="2" t="s">
        <v>56</v>
      </c>
      <c r="R122" s="5">
        <f t="shared" si="3"/>
        <v>208317.2</v>
      </c>
      <c r="S122" s="5">
        <f t="shared" si="4"/>
        <v>208317.2</v>
      </c>
      <c r="T122" s="5">
        <f t="shared" si="5"/>
        <v>0</v>
      </c>
    </row>
    <row r="123" spans="1:20">
      <c r="A123" s="2" t="s">
        <v>368</v>
      </c>
      <c r="B123" s="2" t="s">
        <v>388</v>
      </c>
      <c r="C123" s="2" t="s">
        <v>237</v>
      </c>
      <c r="D123" s="16">
        <v>60</v>
      </c>
      <c r="E123" s="2" t="s">
        <v>376</v>
      </c>
      <c r="F123" s="2" t="s">
        <v>389</v>
      </c>
      <c r="G123" s="2" t="s">
        <v>390</v>
      </c>
      <c r="H123" s="17">
        <v>63000</v>
      </c>
      <c r="I123" s="2"/>
      <c r="J123" s="2"/>
      <c r="K123" s="17">
        <v>63000</v>
      </c>
      <c r="L123" s="17">
        <v>6750</v>
      </c>
      <c r="M123" s="17">
        <v>56250</v>
      </c>
      <c r="N123" s="17">
        <v>63000</v>
      </c>
      <c r="O123" s="2"/>
      <c r="P123" s="2"/>
      <c r="Q123" s="2" t="s">
        <v>19</v>
      </c>
      <c r="R123" s="5">
        <f t="shared" si="3"/>
        <v>63000</v>
      </c>
      <c r="S123" s="5">
        <f t="shared" si="4"/>
        <v>63000</v>
      </c>
      <c r="T123" s="5">
        <f t="shared" si="5"/>
        <v>0</v>
      </c>
    </row>
    <row r="124" spans="1:20">
      <c r="A124" s="2" t="s">
        <v>368</v>
      </c>
      <c r="B124" s="2" t="s">
        <v>391</v>
      </c>
      <c r="C124" s="2" t="s">
        <v>98</v>
      </c>
      <c r="D124" s="16">
        <v>0</v>
      </c>
      <c r="E124" s="2" t="s">
        <v>368</v>
      </c>
      <c r="F124" s="2" t="s">
        <v>392</v>
      </c>
      <c r="G124" s="2" t="s">
        <v>393</v>
      </c>
      <c r="H124" s="17">
        <v>135450</v>
      </c>
      <c r="I124" s="2"/>
      <c r="J124" s="2"/>
      <c r="K124" s="17">
        <v>135450</v>
      </c>
      <c r="L124" s="17">
        <v>14512.5</v>
      </c>
      <c r="M124" s="17">
        <v>120937.5</v>
      </c>
      <c r="N124" s="17">
        <v>135450</v>
      </c>
      <c r="O124" s="2"/>
      <c r="P124" s="2"/>
      <c r="Q124" s="2" t="s">
        <v>46</v>
      </c>
      <c r="R124" s="5">
        <f t="shared" si="3"/>
        <v>135450</v>
      </c>
      <c r="S124" s="5">
        <f t="shared" si="4"/>
        <v>135450</v>
      </c>
      <c r="T124" s="5">
        <f t="shared" si="5"/>
        <v>0</v>
      </c>
    </row>
    <row r="125" spans="1:20">
      <c r="A125" s="2" t="s">
        <v>368</v>
      </c>
      <c r="B125" s="2" t="s">
        <v>394</v>
      </c>
      <c r="C125" s="2" t="s">
        <v>167</v>
      </c>
      <c r="D125" s="16">
        <v>90</v>
      </c>
      <c r="E125" s="2" t="s">
        <v>383</v>
      </c>
      <c r="F125" s="2" t="s">
        <v>168</v>
      </c>
      <c r="G125" s="2" t="s">
        <v>395</v>
      </c>
      <c r="H125" s="17">
        <v>82150</v>
      </c>
      <c r="I125" s="2"/>
      <c r="J125" s="2"/>
      <c r="K125" s="17">
        <v>82150</v>
      </c>
      <c r="L125" s="17">
        <v>8801.7900000000009</v>
      </c>
      <c r="M125" s="17">
        <v>73348.210000000006</v>
      </c>
      <c r="N125" s="17">
        <v>82150</v>
      </c>
      <c r="O125" s="2"/>
      <c r="P125" s="2"/>
      <c r="Q125" s="2" t="s">
        <v>56</v>
      </c>
      <c r="R125" s="5">
        <f t="shared" si="3"/>
        <v>82150</v>
      </c>
      <c r="S125" s="5">
        <f t="shared" si="4"/>
        <v>82150</v>
      </c>
      <c r="T125" s="5">
        <f t="shared" si="5"/>
        <v>0</v>
      </c>
    </row>
    <row r="126" spans="1:20">
      <c r="A126" s="2" t="s">
        <v>368</v>
      </c>
      <c r="B126" s="2" t="s">
        <v>396</v>
      </c>
      <c r="C126" s="2" t="s">
        <v>167</v>
      </c>
      <c r="D126" s="16">
        <v>90</v>
      </c>
      <c r="E126" s="2" t="s">
        <v>383</v>
      </c>
      <c r="F126" s="2" t="s">
        <v>168</v>
      </c>
      <c r="G126" s="2" t="s">
        <v>397</v>
      </c>
      <c r="H126" s="17">
        <v>175940</v>
      </c>
      <c r="I126" s="2"/>
      <c r="J126" s="2"/>
      <c r="K126" s="17">
        <v>175940</v>
      </c>
      <c r="L126" s="17">
        <v>18850.71</v>
      </c>
      <c r="M126" s="17">
        <v>157089.29</v>
      </c>
      <c r="N126" s="17">
        <v>175940</v>
      </c>
      <c r="O126" s="2"/>
      <c r="P126" s="2"/>
      <c r="Q126" s="2" t="s">
        <v>56</v>
      </c>
      <c r="R126" s="5">
        <f t="shared" si="3"/>
        <v>175940</v>
      </c>
      <c r="S126" s="5">
        <f t="shared" si="4"/>
        <v>175940</v>
      </c>
      <c r="T126" s="5">
        <f t="shared" si="5"/>
        <v>0</v>
      </c>
    </row>
    <row r="127" spans="1:20">
      <c r="A127" s="2" t="s">
        <v>368</v>
      </c>
      <c r="B127" s="2" t="s">
        <v>398</v>
      </c>
      <c r="C127" s="2" t="s">
        <v>162</v>
      </c>
      <c r="D127" s="16">
        <v>90</v>
      </c>
      <c r="E127" s="2" t="s">
        <v>383</v>
      </c>
      <c r="F127" s="2" t="s">
        <v>399</v>
      </c>
      <c r="G127" s="2" t="s">
        <v>400</v>
      </c>
      <c r="H127" s="17">
        <v>73090</v>
      </c>
      <c r="I127" s="2"/>
      <c r="J127" s="2"/>
      <c r="K127" s="17">
        <v>73090</v>
      </c>
      <c r="L127" s="17">
        <v>7831.07</v>
      </c>
      <c r="M127" s="17">
        <v>65258.93</v>
      </c>
      <c r="N127" s="17">
        <v>73090</v>
      </c>
      <c r="O127" s="2"/>
      <c r="P127" s="2"/>
      <c r="Q127" s="2" t="s">
        <v>204</v>
      </c>
      <c r="R127" s="5">
        <f t="shared" si="3"/>
        <v>73090</v>
      </c>
      <c r="S127" s="5">
        <f t="shared" si="4"/>
        <v>73090</v>
      </c>
      <c r="T127" s="5">
        <f t="shared" si="5"/>
        <v>0</v>
      </c>
    </row>
    <row r="128" spans="1:20">
      <c r="A128" s="2" t="s">
        <v>368</v>
      </c>
      <c r="B128" s="2" t="s">
        <v>401</v>
      </c>
      <c r="C128" s="2" t="s">
        <v>29</v>
      </c>
      <c r="D128" s="16">
        <v>0</v>
      </c>
      <c r="E128" s="2" t="s">
        <v>368</v>
      </c>
      <c r="F128" s="2" t="s">
        <v>31</v>
      </c>
      <c r="G128" s="2" t="s">
        <v>402</v>
      </c>
      <c r="H128" s="17">
        <v>49593</v>
      </c>
      <c r="I128" s="2"/>
      <c r="J128" s="2"/>
      <c r="K128" s="17">
        <v>49593</v>
      </c>
      <c r="L128" s="17">
        <v>5313.54</v>
      </c>
      <c r="M128" s="17">
        <v>44279.46</v>
      </c>
      <c r="N128" s="17">
        <v>49593</v>
      </c>
      <c r="O128" s="2"/>
      <c r="P128" s="2"/>
      <c r="Q128" s="2" t="s">
        <v>30</v>
      </c>
      <c r="R128" s="5">
        <f t="shared" si="3"/>
        <v>49593</v>
      </c>
      <c r="S128" s="5">
        <f t="shared" si="4"/>
        <v>49593</v>
      </c>
      <c r="T128" s="5">
        <f t="shared" si="5"/>
        <v>0</v>
      </c>
    </row>
    <row r="129" spans="1:20">
      <c r="A129" s="2" t="s">
        <v>368</v>
      </c>
      <c r="B129" s="2" t="s">
        <v>403</v>
      </c>
      <c r="C129" s="2" t="s">
        <v>29</v>
      </c>
      <c r="D129" s="16">
        <v>0</v>
      </c>
      <c r="E129" s="2" t="s">
        <v>368</v>
      </c>
      <c r="F129" s="2" t="s">
        <v>31</v>
      </c>
      <c r="G129" s="2" t="s">
        <v>404</v>
      </c>
      <c r="H129" s="17">
        <v>148779</v>
      </c>
      <c r="I129" s="2"/>
      <c r="J129" s="2"/>
      <c r="K129" s="17">
        <v>148779</v>
      </c>
      <c r="L129" s="17">
        <v>15940.61</v>
      </c>
      <c r="M129" s="17">
        <v>132838.39000000001</v>
      </c>
      <c r="N129" s="17">
        <v>148779</v>
      </c>
      <c r="O129" s="2"/>
      <c r="P129" s="2"/>
      <c r="Q129" s="2" t="s">
        <v>30</v>
      </c>
      <c r="R129" s="5">
        <f t="shared" si="3"/>
        <v>148779</v>
      </c>
      <c r="S129" s="5">
        <f t="shared" si="4"/>
        <v>148779</v>
      </c>
      <c r="T129" s="5">
        <f t="shared" si="5"/>
        <v>0</v>
      </c>
    </row>
    <row r="130" spans="1:20">
      <c r="A130" s="2" t="s">
        <v>368</v>
      </c>
      <c r="B130" s="2" t="s">
        <v>405</v>
      </c>
      <c r="C130" s="2" t="s">
        <v>60</v>
      </c>
      <c r="D130" s="16">
        <v>0</v>
      </c>
      <c r="E130" s="2" t="s">
        <v>368</v>
      </c>
      <c r="F130" s="2" t="s">
        <v>406</v>
      </c>
      <c r="G130" s="2" t="s">
        <v>407</v>
      </c>
      <c r="H130" s="17">
        <v>117600</v>
      </c>
      <c r="I130" s="19">
        <v>-3528</v>
      </c>
      <c r="J130" s="2"/>
      <c r="K130" s="17">
        <v>114072</v>
      </c>
      <c r="L130" s="17">
        <v>12222</v>
      </c>
      <c r="M130" s="17">
        <v>101850</v>
      </c>
      <c r="N130" s="17">
        <v>114072</v>
      </c>
      <c r="O130" s="2"/>
      <c r="P130" s="2"/>
      <c r="Q130" s="2" t="s">
        <v>30</v>
      </c>
      <c r="R130" s="5">
        <f t="shared" si="3"/>
        <v>114072</v>
      </c>
      <c r="S130" s="5">
        <f t="shared" si="4"/>
        <v>114072</v>
      </c>
      <c r="T130" s="5">
        <f t="shared" si="5"/>
        <v>0</v>
      </c>
    </row>
    <row r="131" spans="1:20">
      <c r="A131" s="2" t="s">
        <v>368</v>
      </c>
      <c r="B131" s="2" t="s">
        <v>408</v>
      </c>
      <c r="C131" s="2" t="s">
        <v>146</v>
      </c>
      <c r="D131" s="16">
        <v>90</v>
      </c>
      <c r="E131" s="2" t="s">
        <v>383</v>
      </c>
      <c r="F131" s="2" t="s">
        <v>409</v>
      </c>
      <c r="G131" s="2" t="s">
        <v>410</v>
      </c>
      <c r="H131" s="17">
        <v>1485206</v>
      </c>
      <c r="I131" s="2"/>
      <c r="J131" s="2"/>
      <c r="K131" s="17">
        <v>1485206</v>
      </c>
      <c r="L131" s="17">
        <v>159129.21</v>
      </c>
      <c r="M131" s="17">
        <v>1326076.79</v>
      </c>
      <c r="N131" s="17">
        <v>1485206</v>
      </c>
      <c r="O131" s="2"/>
      <c r="P131" s="2"/>
      <c r="Q131" s="2" t="s">
        <v>139</v>
      </c>
      <c r="R131" s="5">
        <f t="shared" si="3"/>
        <v>1485206</v>
      </c>
      <c r="S131" s="5">
        <f t="shared" si="4"/>
        <v>1485206</v>
      </c>
      <c r="T131" s="5">
        <f t="shared" si="5"/>
        <v>0</v>
      </c>
    </row>
    <row r="132" spans="1:20">
      <c r="A132" s="2" t="s">
        <v>368</v>
      </c>
      <c r="B132" s="2" t="s">
        <v>411</v>
      </c>
      <c r="C132" s="2" t="s">
        <v>18</v>
      </c>
      <c r="D132" s="16">
        <v>0</v>
      </c>
      <c r="E132" s="2" t="s">
        <v>368</v>
      </c>
      <c r="F132" s="2" t="s">
        <v>412</v>
      </c>
      <c r="G132" s="2" t="s">
        <v>413</v>
      </c>
      <c r="H132" s="17">
        <v>1211223</v>
      </c>
      <c r="I132" s="19">
        <v>-36336.69</v>
      </c>
      <c r="J132" s="2"/>
      <c r="K132" s="17">
        <v>1174886.31</v>
      </c>
      <c r="L132" s="17">
        <v>125880.68</v>
      </c>
      <c r="M132" s="17">
        <v>1049005.6299999999</v>
      </c>
      <c r="N132" s="17">
        <v>1174886.31</v>
      </c>
      <c r="O132" s="2"/>
      <c r="P132" s="2"/>
      <c r="Q132" s="2" t="s">
        <v>56</v>
      </c>
      <c r="R132" s="5">
        <f t="shared" si="3"/>
        <v>1174886.31</v>
      </c>
      <c r="S132" s="5">
        <f t="shared" si="4"/>
        <v>1174886.31</v>
      </c>
      <c r="T132" s="5">
        <f t="shared" si="5"/>
        <v>0</v>
      </c>
    </row>
    <row r="133" spans="1:20">
      <c r="A133" s="2" t="s">
        <v>368</v>
      </c>
      <c r="B133" s="2" t="s">
        <v>414</v>
      </c>
      <c r="C133" s="2" t="s">
        <v>146</v>
      </c>
      <c r="D133" s="16">
        <v>90</v>
      </c>
      <c r="E133" s="2" t="s">
        <v>383</v>
      </c>
      <c r="F133" s="2" t="s">
        <v>415</v>
      </c>
      <c r="G133" s="2" t="s">
        <v>416</v>
      </c>
      <c r="H133" s="17">
        <v>161080</v>
      </c>
      <c r="I133" s="2"/>
      <c r="J133" s="2"/>
      <c r="K133" s="17">
        <v>161080</v>
      </c>
      <c r="L133" s="17">
        <v>17258.57</v>
      </c>
      <c r="M133" s="17">
        <v>143821.43</v>
      </c>
      <c r="N133" s="17">
        <v>161080</v>
      </c>
      <c r="O133" s="2"/>
      <c r="P133" s="2"/>
      <c r="Q133" s="2" t="s">
        <v>19</v>
      </c>
      <c r="R133" s="5">
        <f t="shared" si="3"/>
        <v>161080</v>
      </c>
      <c r="S133" s="5">
        <f t="shared" si="4"/>
        <v>161080</v>
      </c>
      <c r="T133" s="5">
        <f t="shared" si="5"/>
        <v>0</v>
      </c>
    </row>
    <row r="134" spans="1:20" ht="12.6" customHeight="1">
      <c r="A134" s="2" t="s">
        <v>368</v>
      </c>
      <c r="B134" s="2" t="s">
        <v>417</v>
      </c>
      <c r="C134" s="2" t="s">
        <v>146</v>
      </c>
      <c r="D134" s="16">
        <v>90</v>
      </c>
      <c r="E134" s="2" t="s">
        <v>383</v>
      </c>
      <c r="F134" s="2" t="s">
        <v>415</v>
      </c>
      <c r="G134" s="2" t="s">
        <v>418</v>
      </c>
      <c r="H134" s="17">
        <v>912912</v>
      </c>
      <c r="I134" s="2"/>
      <c r="J134" s="2"/>
      <c r="K134" s="17">
        <v>912912</v>
      </c>
      <c r="L134" s="17">
        <v>97812</v>
      </c>
      <c r="M134" s="17">
        <v>815100</v>
      </c>
      <c r="N134" s="17">
        <v>912912</v>
      </c>
      <c r="O134" s="2"/>
      <c r="P134" s="2"/>
      <c r="Q134" s="2" t="s">
        <v>19</v>
      </c>
      <c r="R134" s="5">
        <f t="shared" ref="R134:R197" si="6">+J134+K134</f>
        <v>912912</v>
      </c>
      <c r="S134" s="5">
        <f t="shared" ref="S134:S197" si="7">+N134</f>
        <v>912912</v>
      </c>
      <c r="T134" s="5">
        <f t="shared" ref="T134:T197" si="8">+R134-S134</f>
        <v>0</v>
      </c>
    </row>
    <row r="135" spans="1:20">
      <c r="A135" s="2" t="s">
        <v>368</v>
      </c>
      <c r="B135" s="2" t="s">
        <v>419</v>
      </c>
      <c r="C135" s="2" t="s">
        <v>73</v>
      </c>
      <c r="D135" s="16">
        <v>30</v>
      </c>
      <c r="E135" s="2" t="s">
        <v>370</v>
      </c>
      <c r="F135" s="2" t="s">
        <v>420</v>
      </c>
      <c r="G135" s="2" t="s">
        <v>421</v>
      </c>
      <c r="H135" s="17">
        <v>140025</v>
      </c>
      <c r="I135" s="2"/>
      <c r="J135" s="17">
        <v>25000</v>
      </c>
      <c r="K135" s="17">
        <f>165025-J135</f>
        <v>140025</v>
      </c>
      <c r="L135" s="17">
        <v>17681.25</v>
      </c>
      <c r="M135" s="17">
        <v>147343.75</v>
      </c>
      <c r="N135" s="17">
        <v>165025</v>
      </c>
      <c r="O135" s="2"/>
      <c r="P135" s="2" t="s">
        <v>1771</v>
      </c>
      <c r="Q135" s="2" t="s">
        <v>69</v>
      </c>
      <c r="R135" s="5">
        <f t="shared" si="6"/>
        <v>165025</v>
      </c>
      <c r="S135" s="5">
        <f t="shared" si="7"/>
        <v>165025</v>
      </c>
      <c r="T135" s="5">
        <f t="shared" si="8"/>
        <v>0</v>
      </c>
    </row>
    <row r="136" spans="1:20">
      <c r="A136" s="2" t="s">
        <v>368</v>
      </c>
      <c r="B136" s="2" t="s">
        <v>422</v>
      </c>
      <c r="C136" s="2" t="s">
        <v>162</v>
      </c>
      <c r="D136" s="16">
        <v>90</v>
      </c>
      <c r="E136" s="2" t="s">
        <v>383</v>
      </c>
      <c r="F136" s="2" t="s">
        <v>424</v>
      </c>
      <c r="G136" s="2" t="s">
        <v>425</v>
      </c>
      <c r="H136" s="17">
        <v>32000</v>
      </c>
      <c r="I136" s="2"/>
      <c r="J136" s="2"/>
      <c r="K136" s="17">
        <v>32000</v>
      </c>
      <c r="L136" s="17">
        <v>3428.57</v>
      </c>
      <c r="M136" s="17">
        <v>28571.43</v>
      </c>
      <c r="N136" s="17">
        <v>32000</v>
      </c>
      <c r="O136" s="2"/>
      <c r="P136" s="2"/>
      <c r="Q136" s="2" t="s">
        <v>423</v>
      </c>
      <c r="R136" s="5">
        <f t="shared" si="6"/>
        <v>32000</v>
      </c>
      <c r="S136" s="5">
        <f t="shared" si="7"/>
        <v>32000</v>
      </c>
      <c r="T136" s="5">
        <f t="shared" si="8"/>
        <v>0</v>
      </c>
    </row>
    <row r="137" spans="1:20">
      <c r="A137" s="2" t="s">
        <v>368</v>
      </c>
      <c r="B137" s="2" t="s">
        <v>426</v>
      </c>
      <c r="C137" s="2" t="s">
        <v>18</v>
      </c>
      <c r="D137" s="16">
        <v>0</v>
      </c>
      <c r="E137" s="2" t="s">
        <v>368</v>
      </c>
      <c r="F137" s="2" t="s">
        <v>345</v>
      </c>
      <c r="G137" s="2" t="s">
        <v>427</v>
      </c>
      <c r="H137" s="17">
        <v>41107</v>
      </c>
      <c r="I137" s="2"/>
      <c r="J137" s="2"/>
      <c r="K137" s="17">
        <v>41107</v>
      </c>
      <c r="L137" s="17">
        <v>4404.32</v>
      </c>
      <c r="M137" s="17">
        <v>36702.68</v>
      </c>
      <c r="N137" s="17">
        <v>41107</v>
      </c>
      <c r="O137" s="2"/>
      <c r="P137" s="2"/>
      <c r="Q137" s="2" t="s">
        <v>56</v>
      </c>
      <c r="R137" s="5">
        <f t="shared" si="6"/>
        <v>41107</v>
      </c>
      <c r="S137" s="5">
        <f t="shared" si="7"/>
        <v>41107</v>
      </c>
      <c r="T137" s="5">
        <f t="shared" si="8"/>
        <v>0</v>
      </c>
    </row>
    <row r="138" spans="1:20">
      <c r="A138" s="2" t="s">
        <v>368</v>
      </c>
      <c r="B138" s="2" t="s">
        <v>428</v>
      </c>
      <c r="C138" s="2" t="s">
        <v>237</v>
      </c>
      <c r="D138" s="16">
        <v>60</v>
      </c>
      <c r="E138" s="2" t="s">
        <v>376</v>
      </c>
      <c r="F138" s="2" t="s">
        <v>389</v>
      </c>
      <c r="G138" s="2" t="s">
        <v>429</v>
      </c>
      <c r="H138" s="17">
        <v>97496</v>
      </c>
      <c r="I138" s="2"/>
      <c r="J138" s="2"/>
      <c r="K138" s="17">
        <v>97496</v>
      </c>
      <c r="L138" s="17">
        <v>10446</v>
      </c>
      <c r="M138" s="17">
        <v>87050</v>
      </c>
      <c r="N138" s="17">
        <v>97496</v>
      </c>
      <c r="O138" s="2"/>
      <c r="P138" s="2"/>
      <c r="Q138" s="2" t="s">
        <v>19</v>
      </c>
      <c r="R138" s="5">
        <f t="shared" si="6"/>
        <v>97496</v>
      </c>
      <c r="S138" s="5">
        <f t="shared" si="7"/>
        <v>97496</v>
      </c>
      <c r="T138" s="5">
        <f t="shared" si="8"/>
        <v>0</v>
      </c>
    </row>
    <row r="139" spans="1:20">
      <c r="A139" s="2" t="s">
        <v>368</v>
      </c>
      <c r="B139" s="2" t="s">
        <v>430</v>
      </c>
      <c r="C139" s="2" t="s">
        <v>237</v>
      </c>
      <c r="D139" s="16">
        <v>60</v>
      </c>
      <c r="E139" s="2" t="s">
        <v>376</v>
      </c>
      <c r="F139" s="2" t="s">
        <v>389</v>
      </c>
      <c r="G139" s="2" t="s">
        <v>431</v>
      </c>
      <c r="H139" s="17">
        <v>99904</v>
      </c>
      <c r="I139" s="2"/>
      <c r="J139" s="2"/>
      <c r="K139" s="17">
        <v>99904</v>
      </c>
      <c r="L139" s="17">
        <v>10704</v>
      </c>
      <c r="M139" s="17">
        <v>89200</v>
      </c>
      <c r="N139" s="17">
        <v>99904</v>
      </c>
      <c r="O139" s="2"/>
      <c r="P139" s="2"/>
      <c r="Q139" s="2" t="s">
        <v>19</v>
      </c>
      <c r="R139" s="5">
        <f t="shared" si="6"/>
        <v>99904</v>
      </c>
      <c r="S139" s="5">
        <f t="shared" si="7"/>
        <v>99904</v>
      </c>
      <c r="T139" s="5">
        <f t="shared" si="8"/>
        <v>0</v>
      </c>
    </row>
    <row r="140" spans="1:20">
      <c r="A140" s="2" t="s">
        <v>368</v>
      </c>
      <c r="B140" s="2" t="s">
        <v>432</v>
      </c>
      <c r="C140" s="2" t="s">
        <v>73</v>
      </c>
      <c r="D140" s="16">
        <v>30</v>
      </c>
      <c r="E140" s="2" t="s">
        <v>370</v>
      </c>
      <c r="F140" s="2" t="s">
        <v>271</v>
      </c>
      <c r="G140" s="2" t="s">
        <v>433</v>
      </c>
      <c r="H140" s="17">
        <v>55288</v>
      </c>
      <c r="I140" s="2"/>
      <c r="J140" s="2"/>
      <c r="K140" s="17">
        <v>55288</v>
      </c>
      <c r="L140" s="2"/>
      <c r="M140" s="17">
        <v>55288</v>
      </c>
      <c r="N140" s="17">
        <v>55288</v>
      </c>
      <c r="O140" s="2"/>
      <c r="P140" s="2"/>
      <c r="Q140" s="2" t="s">
        <v>270</v>
      </c>
      <c r="R140" s="5">
        <f t="shared" si="6"/>
        <v>55288</v>
      </c>
      <c r="S140" s="5">
        <f t="shared" si="7"/>
        <v>55288</v>
      </c>
      <c r="T140" s="5">
        <f t="shared" si="8"/>
        <v>0</v>
      </c>
    </row>
    <row r="141" spans="1:20">
      <c r="A141" s="2" t="s">
        <v>368</v>
      </c>
      <c r="B141" s="2" t="s">
        <v>434</v>
      </c>
      <c r="C141" s="2" t="s">
        <v>73</v>
      </c>
      <c r="D141" s="16">
        <v>30</v>
      </c>
      <c r="E141" s="2" t="s">
        <v>370</v>
      </c>
      <c r="F141" s="2" t="s">
        <v>271</v>
      </c>
      <c r="G141" s="2" t="s">
        <v>435</v>
      </c>
      <c r="H141" s="17">
        <v>35234</v>
      </c>
      <c r="I141" s="2"/>
      <c r="J141" s="2"/>
      <c r="K141" s="17">
        <v>35234</v>
      </c>
      <c r="L141" s="2"/>
      <c r="M141" s="17">
        <v>35234</v>
      </c>
      <c r="N141" s="17">
        <v>35234</v>
      </c>
      <c r="O141" s="2"/>
      <c r="P141" s="2"/>
      <c r="Q141" s="2" t="s">
        <v>270</v>
      </c>
      <c r="R141" s="5">
        <f t="shared" si="6"/>
        <v>35234</v>
      </c>
      <c r="S141" s="5">
        <f t="shared" si="7"/>
        <v>35234</v>
      </c>
      <c r="T141" s="5">
        <f t="shared" si="8"/>
        <v>0</v>
      </c>
    </row>
    <row r="142" spans="1:20">
      <c r="A142" s="2" t="s">
        <v>368</v>
      </c>
      <c r="B142" s="2" t="s">
        <v>436</v>
      </c>
      <c r="C142" s="2" t="s">
        <v>73</v>
      </c>
      <c r="D142" s="16">
        <v>30</v>
      </c>
      <c r="E142" s="2" t="s">
        <v>370</v>
      </c>
      <c r="F142" s="2" t="s">
        <v>271</v>
      </c>
      <c r="G142" s="2" t="s">
        <v>437</v>
      </c>
      <c r="H142" s="17">
        <v>55100</v>
      </c>
      <c r="I142" s="2"/>
      <c r="J142" s="2"/>
      <c r="K142" s="17">
        <v>55100</v>
      </c>
      <c r="L142" s="2"/>
      <c r="M142" s="17">
        <v>55100</v>
      </c>
      <c r="N142" s="17">
        <v>55100</v>
      </c>
      <c r="O142" s="2"/>
      <c r="P142" s="2"/>
      <c r="Q142" s="2" t="s">
        <v>270</v>
      </c>
      <c r="R142" s="5">
        <f t="shared" si="6"/>
        <v>55100</v>
      </c>
      <c r="S142" s="5">
        <f t="shared" si="7"/>
        <v>55100</v>
      </c>
      <c r="T142" s="5">
        <f t="shared" si="8"/>
        <v>0</v>
      </c>
    </row>
    <row r="143" spans="1:20">
      <c r="A143" s="2" t="s">
        <v>368</v>
      </c>
      <c r="B143" s="2" t="s">
        <v>438</v>
      </c>
      <c r="C143" s="2" t="s">
        <v>73</v>
      </c>
      <c r="D143" s="16">
        <v>30</v>
      </c>
      <c r="E143" s="2" t="s">
        <v>370</v>
      </c>
      <c r="F143" s="2" t="s">
        <v>271</v>
      </c>
      <c r="G143" s="2" t="s">
        <v>439</v>
      </c>
      <c r="H143" s="17">
        <v>40975</v>
      </c>
      <c r="I143" s="2"/>
      <c r="J143" s="2"/>
      <c r="K143" s="17">
        <v>40975</v>
      </c>
      <c r="L143" s="2"/>
      <c r="M143" s="17">
        <v>40975</v>
      </c>
      <c r="N143" s="17">
        <v>40975</v>
      </c>
      <c r="O143" s="2"/>
      <c r="P143" s="2"/>
      <c r="Q143" s="2" t="s">
        <v>270</v>
      </c>
      <c r="R143" s="5">
        <f t="shared" si="6"/>
        <v>40975</v>
      </c>
      <c r="S143" s="5">
        <f t="shared" si="7"/>
        <v>40975</v>
      </c>
      <c r="T143" s="5">
        <f t="shared" si="8"/>
        <v>0</v>
      </c>
    </row>
    <row r="144" spans="1:20">
      <c r="A144" s="2" t="s">
        <v>368</v>
      </c>
      <c r="B144" s="2" t="s">
        <v>440</v>
      </c>
      <c r="C144" s="2" t="s">
        <v>54</v>
      </c>
      <c r="D144" s="16">
        <v>90</v>
      </c>
      <c r="E144" s="2" t="s">
        <v>383</v>
      </c>
      <c r="F144" s="2" t="s">
        <v>90</v>
      </c>
      <c r="G144" s="2" t="s">
        <v>441</v>
      </c>
      <c r="H144" s="17">
        <v>109220</v>
      </c>
      <c r="I144" s="2"/>
      <c r="J144" s="2"/>
      <c r="K144" s="17">
        <v>109220</v>
      </c>
      <c r="L144" s="17">
        <v>11702.14</v>
      </c>
      <c r="M144" s="17">
        <v>97517.86</v>
      </c>
      <c r="N144" s="17">
        <v>109220</v>
      </c>
      <c r="O144" s="2"/>
      <c r="P144" s="2"/>
      <c r="Q144" s="2" t="s">
        <v>56</v>
      </c>
      <c r="R144" s="5">
        <f t="shared" si="6"/>
        <v>109220</v>
      </c>
      <c r="S144" s="5">
        <f t="shared" si="7"/>
        <v>109220</v>
      </c>
      <c r="T144" s="5">
        <f t="shared" si="8"/>
        <v>0</v>
      </c>
    </row>
    <row r="145" spans="1:20">
      <c r="A145" s="2" t="s">
        <v>368</v>
      </c>
      <c r="B145" s="2" t="s">
        <v>442</v>
      </c>
      <c r="C145" s="2" t="s">
        <v>60</v>
      </c>
      <c r="D145" s="16">
        <v>0</v>
      </c>
      <c r="E145" s="2" t="s">
        <v>368</v>
      </c>
      <c r="F145" s="2" t="s">
        <v>412</v>
      </c>
      <c r="G145" s="2" t="s">
        <v>443</v>
      </c>
      <c r="H145" s="17">
        <v>158400</v>
      </c>
      <c r="I145" s="19">
        <v>-4752</v>
      </c>
      <c r="J145" s="2"/>
      <c r="K145" s="17">
        <v>153648</v>
      </c>
      <c r="L145" s="17">
        <v>16462.29</v>
      </c>
      <c r="M145" s="17">
        <v>137185.71</v>
      </c>
      <c r="N145" s="17">
        <v>153648</v>
      </c>
      <c r="O145" s="2"/>
      <c r="P145" s="2"/>
      <c r="Q145" s="2" t="s">
        <v>56</v>
      </c>
      <c r="R145" s="5">
        <f t="shared" si="6"/>
        <v>153648</v>
      </c>
      <c r="S145" s="5">
        <f t="shared" si="7"/>
        <v>153648</v>
      </c>
      <c r="T145" s="5">
        <f t="shared" si="8"/>
        <v>0</v>
      </c>
    </row>
    <row r="146" spans="1:20">
      <c r="A146" s="2" t="s">
        <v>368</v>
      </c>
      <c r="B146" s="2" t="s">
        <v>444</v>
      </c>
      <c r="C146" s="2" t="s">
        <v>60</v>
      </c>
      <c r="D146" s="16">
        <v>0</v>
      </c>
      <c r="E146" s="2" t="s">
        <v>368</v>
      </c>
      <c r="F146" s="2" t="s">
        <v>412</v>
      </c>
      <c r="G146" s="2" t="s">
        <v>443</v>
      </c>
      <c r="H146" s="17">
        <v>158400</v>
      </c>
      <c r="I146" s="19">
        <v>-4752</v>
      </c>
      <c r="J146" s="2"/>
      <c r="K146" s="17">
        <v>153648</v>
      </c>
      <c r="L146" s="17">
        <v>16462.29</v>
      </c>
      <c r="M146" s="17">
        <v>137185.71</v>
      </c>
      <c r="N146" s="17">
        <v>153648</v>
      </c>
      <c r="O146" s="2"/>
      <c r="P146" s="2"/>
      <c r="Q146" s="2" t="s">
        <v>56</v>
      </c>
      <c r="R146" s="5">
        <f t="shared" si="6"/>
        <v>153648</v>
      </c>
      <c r="S146" s="5">
        <f t="shared" si="7"/>
        <v>153648</v>
      </c>
      <c r="T146" s="5">
        <f t="shared" si="8"/>
        <v>0</v>
      </c>
    </row>
    <row r="147" spans="1:20">
      <c r="A147" s="2" t="s">
        <v>368</v>
      </c>
      <c r="B147" s="2" t="s">
        <v>445</v>
      </c>
      <c r="C147" s="2" t="s">
        <v>73</v>
      </c>
      <c r="D147" s="16">
        <v>30</v>
      </c>
      <c r="E147" s="2" t="s">
        <v>370</v>
      </c>
      <c r="F147" s="2" t="s">
        <v>244</v>
      </c>
      <c r="G147" s="2" t="s">
        <v>446</v>
      </c>
      <c r="H147" s="17">
        <v>384480</v>
      </c>
      <c r="I147" s="2"/>
      <c r="J147" s="2"/>
      <c r="K147" s="17">
        <v>384480</v>
      </c>
      <c r="L147" s="17">
        <v>41194.29</v>
      </c>
      <c r="M147" s="17">
        <v>343285.71</v>
      </c>
      <c r="N147" s="17">
        <v>384480</v>
      </c>
      <c r="O147" s="2"/>
      <c r="P147" s="2"/>
      <c r="Q147" s="2" t="s">
        <v>56</v>
      </c>
      <c r="R147" s="5">
        <f t="shared" si="6"/>
        <v>384480</v>
      </c>
      <c r="S147" s="5">
        <f t="shared" si="7"/>
        <v>384480</v>
      </c>
      <c r="T147" s="5">
        <f t="shared" si="8"/>
        <v>0</v>
      </c>
    </row>
    <row r="148" spans="1:20">
      <c r="A148" s="2" t="s">
        <v>448</v>
      </c>
      <c r="B148" s="2" t="s">
        <v>447</v>
      </c>
      <c r="C148" s="2" t="s">
        <v>60</v>
      </c>
      <c r="D148" s="16">
        <v>0</v>
      </c>
      <c r="E148" s="2" t="s">
        <v>448</v>
      </c>
      <c r="F148" s="2" t="s">
        <v>449</v>
      </c>
      <c r="G148" s="2" t="s">
        <v>450</v>
      </c>
      <c r="H148" s="17">
        <v>6754.32</v>
      </c>
      <c r="I148" s="2"/>
      <c r="J148" s="17">
        <v>6754.32</v>
      </c>
      <c r="K148" s="2">
        <v>0</v>
      </c>
      <c r="L148" s="18">
        <v>723.68</v>
      </c>
      <c r="M148" s="17">
        <v>6030.64</v>
      </c>
      <c r="N148" s="17">
        <v>6754.32</v>
      </c>
      <c r="O148" s="2" t="s">
        <v>1767</v>
      </c>
      <c r="P148" s="2"/>
      <c r="Q148" s="2" t="s">
        <v>139</v>
      </c>
      <c r="R148" s="5">
        <f t="shared" si="6"/>
        <v>6754.32</v>
      </c>
      <c r="S148" s="5">
        <f t="shared" si="7"/>
        <v>6754.32</v>
      </c>
      <c r="T148" s="5">
        <f t="shared" si="8"/>
        <v>0</v>
      </c>
    </row>
    <row r="149" spans="1:20">
      <c r="A149" s="2" t="s">
        <v>448</v>
      </c>
      <c r="B149" s="2" t="s">
        <v>451</v>
      </c>
      <c r="C149" s="2" t="s">
        <v>60</v>
      </c>
      <c r="D149" s="16">
        <v>0</v>
      </c>
      <c r="E149" s="2" t="s">
        <v>448</v>
      </c>
      <c r="F149" s="2" t="s">
        <v>449</v>
      </c>
      <c r="G149" s="2" t="s">
        <v>452</v>
      </c>
      <c r="H149" s="17">
        <v>9143.68</v>
      </c>
      <c r="I149" s="2"/>
      <c r="J149" s="17">
        <v>9143.68</v>
      </c>
      <c r="K149" s="2">
        <v>0</v>
      </c>
      <c r="L149" s="18">
        <v>979.68</v>
      </c>
      <c r="M149" s="17">
        <v>8164</v>
      </c>
      <c r="N149" s="17">
        <v>9143.68</v>
      </c>
      <c r="O149" s="2" t="s">
        <v>1767</v>
      </c>
      <c r="P149" s="2"/>
      <c r="Q149" s="2" t="s">
        <v>139</v>
      </c>
      <c r="R149" s="5">
        <f t="shared" si="6"/>
        <v>9143.68</v>
      </c>
      <c r="S149" s="5">
        <f t="shared" si="7"/>
        <v>9143.68</v>
      </c>
      <c r="T149" s="5">
        <f t="shared" si="8"/>
        <v>0</v>
      </c>
    </row>
    <row r="150" spans="1:20">
      <c r="A150" s="2" t="s">
        <v>448</v>
      </c>
      <c r="B150" s="2" t="s">
        <v>453</v>
      </c>
      <c r="C150" s="2" t="s">
        <v>60</v>
      </c>
      <c r="D150" s="16">
        <v>0</v>
      </c>
      <c r="E150" s="2" t="s">
        <v>448</v>
      </c>
      <c r="F150" s="2" t="s">
        <v>454</v>
      </c>
      <c r="G150" s="2" t="s">
        <v>455</v>
      </c>
      <c r="H150" s="17">
        <v>24000</v>
      </c>
      <c r="I150" s="2"/>
      <c r="J150" s="2"/>
      <c r="K150" s="17">
        <v>24000</v>
      </c>
      <c r="L150" s="17">
        <v>2571.4299999999998</v>
      </c>
      <c r="M150" s="17">
        <v>21428.57</v>
      </c>
      <c r="N150" s="17">
        <v>24000</v>
      </c>
      <c r="O150" s="2"/>
      <c r="P150" s="2"/>
      <c r="Q150" s="2" t="s">
        <v>46</v>
      </c>
      <c r="R150" s="5">
        <f t="shared" si="6"/>
        <v>24000</v>
      </c>
      <c r="S150" s="5">
        <f t="shared" si="7"/>
        <v>24000</v>
      </c>
      <c r="T150" s="5">
        <f t="shared" si="8"/>
        <v>0</v>
      </c>
    </row>
    <row r="151" spans="1:20">
      <c r="A151" s="2" t="s">
        <v>448</v>
      </c>
      <c r="B151" s="2" t="s">
        <v>456</v>
      </c>
      <c r="C151" s="2" t="s">
        <v>132</v>
      </c>
      <c r="D151" s="16">
        <v>0</v>
      </c>
      <c r="E151" s="2" t="s">
        <v>448</v>
      </c>
      <c r="F151" s="2" t="s">
        <v>457</v>
      </c>
      <c r="G151" s="2" t="s">
        <v>458</v>
      </c>
      <c r="H151" s="17">
        <v>7218</v>
      </c>
      <c r="I151" s="2"/>
      <c r="J151" s="2"/>
      <c r="K151" s="17">
        <v>7218</v>
      </c>
      <c r="L151" s="18">
        <v>773.36</v>
      </c>
      <c r="M151" s="17">
        <v>6444.64</v>
      </c>
      <c r="N151" s="17">
        <v>7218</v>
      </c>
      <c r="O151" s="2"/>
      <c r="P151" s="2"/>
      <c r="Q151" s="2" t="s">
        <v>56</v>
      </c>
      <c r="R151" s="5">
        <f t="shared" si="6"/>
        <v>7218</v>
      </c>
      <c r="S151" s="5">
        <f t="shared" si="7"/>
        <v>7218</v>
      </c>
      <c r="T151" s="5">
        <f t="shared" si="8"/>
        <v>0</v>
      </c>
    </row>
    <row r="152" spans="1:20">
      <c r="A152" s="2" t="s">
        <v>448</v>
      </c>
      <c r="B152" s="2" t="s">
        <v>459</v>
      </c>
      <c r="C152" s="2" t="s">
        <v>18</v>
      </c>
      <c r="D152" s="16">
        <v>0</v>
      </c>
      <c r="E152" s="2" t="s">
        <v>448</v>
      </c>
      <c r="F152" s="2" t="s">
        <v>457</v>
      </c>
      <c r="G152" s="2" t="s">
        <v>460</v>
      </c>
      <c r="H152" s="17">
        <v>1897500</v>
      </c>
      <c r="I152" s="2"/>
      <c r="J152" s="20">
        <v>60000</v>
      </c>
      <c r="K152" s="17">
        <f>1897500-J152</f>
        <v>1837500</v>
      </c>
      <c r="L152" s="17">
        <v>203303.57</v>
      </c>
      <c r="M152" s="17">
        <v>1694196.43</v>
      </c>
      <c r="N152" s="17">
        <v>1897500</v>
      </c>
      <c r="O152" s="17">
        <v>60000</v>
      </c>
      <c r="P152" s="2" t="s">
        <v>1768</v>
      </c>
      <c r="Q152" s="2" t="s">
        <v>56</v>
      </c>
      <c r="R152" s="5">
        <f t="shared" si="6"/>
        <v>1897500</v>
      </c>
      <c r="S152" s="5">
        <f t="shared" si="7"/>
        <v>1897500</v>
      </c>
      <c r="T152" s="5">
        <f t="shared" si="8"/>
        <v>0</v>
      </c>
    </row>
    <row r="153" spans="1:20">
      <c r="A153" s="2" t="s">
        <v>448</v>
      </c>
      <c r="B153" s="2" t="s">
        <v>461</v>
      </c>
      <c r="C153" s="2" t="s">
        <v>60</v>
      </c>
      <c r="D153" s="16">
        <v>0</v>
      </c>
      <c r="E153" s="2" t="s">
        <v>448</v>
      </c>
      <c r="F153" s="2" t="s">
        <v>462</v>
      </c>
      <c r="G153" s="2" t="s">
        <v>463</v>
      </c>
      <c r="H153" s="17">
        <v>9605</v>
      </c>
      <c r="I153" s="2"/>
      <c r="J153" s="2"/>
      <c r="K153" s="17">
        <v>9605</v>
      </c>
      <c r="L153" s="17">
        <v>1029.1099999999999</v>
      </c>
      <c r="M153" s="17">
        <v>8575.89</v>
      </c>
      <c r="N153" s="17">
        <v>9605</v>
      </c>
      <c r="O153" s="2"/>
      <c r="P153" s="2"/>
      <c r="Q153" s="2" t="s">
        <v>19</v>
      </c>
      <c r="R153" s="5">
        <f t="shared" si="6"/>
        <v>9605</v>
      </c>
      <c r="S153" s="5">
        <f t="shared" si="7"/>
        <v>9605</v>
      </c>
      <c r="T153" s="5">
        <f t="shared" si="8"/>
        <v>0</v>
      </c>
    </row>
    <row r="154" spans="1:20">
      <c r="A154" s="2" t="s">
        <v>448</v>
      </c>
      <c r="B154" s="2" t="s">
        <v>464</v>
      </c>
      <c r="C154" s="2" t="s">
        <v>29</v>
      </c>
      <c r="D154" s="16">
        <v>0</v>
      </c>
      <c r="E154" s="2" t="s">
        <v>448</v>
      </c>
      <c r="F154" s="2" t="s">
        <v>31</v>
      </c>
      <c r="G154" s="2" t="s">
        <v>465</v>
      </c>
      <c r="H154" s="17">
        <v>22500</v>
      </c>
      <c r="I154" s="2"/>
      <c r="J154" s="2"/>
      <c r="K154" s="17">
        <v>22500</v>
      </c>
      <c r="L154" s="17">
        <v>2410.71</v>
      </c>
      <c r="M154" s="17">
        <v>20089.29</v>
      </c>
      <c r="N154" s="17">
        <v>22500</v>
      </c>
      <c r="O154" s="2"/>
      <c r="P154" s="2"/>
      <c r="Q154" s="2" t="s">
        <v>30</v>
      </c>
      <c r="R154" s="5">
        <f t="shared" si="6"/>
        <v>22500</v>
      </c>
      <c r="S154" s="5">
        <f t="shared" si="7"/>
        <v>22500</v>
      </c>
      <c r="T154" s="5">
        <f t="shared" si="8"/>
        <v>0</v>
      </c>
    </row>
    <row r="155" spans="1:20">
      <c r="A155" s="2" t="s">
        <v>448</v>
      </c>
      <c r="B155" s="2" t="s">
        <v>466</v>
      </c>
      <c r="C155" s="2" t="s">
        <v>29</v>
      </c>
      <c r="D155" s="16">
        <v>0</v>
      </c>
      <c r="E155" s="2" t="s">
        <v>448</v>
      </c>
      <c r="F155" s="2" t="s">
        <v>31</v>
      </c>
      <c r="G155" s="2" t="s">
        <v>467</v>
      </c>
      <c r="H155" s="17">
        <v>17740</v>
      </c>
      <c r="I155" s="2"/>
      <c r="J155" s="2"/>
      <c r="K155" s="17">
        <v>17740</v>
      </c>
      <c r="L155" s="17">
        <v>1900.71</v>
      </c>
      <c r="M155" s="17">
        <v>15839.29</v>
      </c>
      <c r="N155" s="17">
        <v>17740</v>
      </c>
      <c r="O155" s="2"/>
      <c r="P155" s="2"/>
      <c r="Q155" s="2" t="s">
        <v>30</v>
      </c>
      <c r="R155" s="5">
        <f t="shared" si="6"/>
        <v>17740</v>
      </c>
      <c r="S155" s="5">
        <f t="shared" si="7"/>
        <v>17740</v>
      </c>
      <c r="T155" s="5">
        <f t="shared" si="8"/>
        <v>0</v>
      </c>
    </row>
    <row r="156" spans="1:20">
      <c r="A156" s="2" t="s">
        <v>448</v>
      </c>
      <c r="B156" s="2" t="s">
        <v>468</v>
      </c>
      <c r="C156" s="2" t="s">
        <v>29</v>
      </c>
      <c r="D156" s="16">
        <v>0</v>
      </c>
      <c r="E156" s="2" t="s">
        <v>448</v>
      </c>
      <c r="F156" s="2" t="s">
        <v>31</v>
      </c>
      <c r="G156" s="2" t="s">
        <v>469</v>
      </c>
      <c r="H156" s="17">
        <v>28458</v>
      </c>
      <c r="I156" s="2"/>
      <c r="J156" s="2"/>
      <c r="K156" s="17">
        <v>28458</v>
      </c>
      <c r="L156" s="17">
        <v>3049.07</v>
      </c>
      <c r="M156" s="17">
        <v>25408.93</v>
      </c>
      <c r="N156" s="17">
        <v>28458</v>
      </c>
      <c r="O156" s="2"/>
      <c r="P156" s="2"/>
      <c r="Q156" s="2" t="s">
        <v>30</v>
      </c>
      <c r="R156" s="5">
        <f t="shared" si="6"/>
        <v>28458</v>
      </c>
      <c r="S156" s="5">
        <f t="shared" si="7"/>
        <v>28458</v>
      </c>
      <c r="T156" s="5">
        <f t="shared" si="8"/>
        <v>0</v>
      </c>
    </row>
    <row r="157" spans="1:20">
      <c r="A157" s="2" t="s">
        <v>448</v>
      </c>
      <c r="B157" s="2" t="s">
        <v>470</v>
      </c>
      <c r="C157" s="2" t="s">
        <v>29</v>
      </c>
      <c r="D157" s="16">
        <v>0</v>
      </c>
      <c r="E157" s="2" t="s">
        <v>448</v>
      </c>
      <c r="F157" s="2" t="s">
        <v>218</v>
      </c>
      <c r="G157" s="2" t="s">
        <v>471</v>
      </c>
      <c r="H157" s="17">
        <v>3038</v>
      </c>
      <c r="I157" s="19">
        <v>-91.14</v>
      </c>
      <c r="J157" s="2"/>
      <c r="K157" s="17">
        <v>2946.86</v>
      </c>
      <c r="L157" s="18">
        <v>315.73</v>
      </c>
      <c r="M157" s="17">
        <v>2631.13</v>
      </c>
      <c r="N157" s="17">
        <v>2946.86</v>
      </c>
      <c r="O157" s="2"/>
      <c r="P157" s="2"/>
      <c r="Q157" s="2" t="s">
        <v>30</v>
      </c>
      <c r="R157" s="5">
        <f t="shared" si="6"/>
        <v>2946.86</v>
      </c>
      <c r="S157" s="5">
        <f t="shared" si="7"/>
        <v>2946.86</v>
      </c>
      <c r="T157" s="5">
        <f t="shared" si="8"/>
        <v>0</v>
      </c>
    </row>
    <row r="158" spans="1:20">
      <c r="A158" s="2" t="s">
        <v>448</v>
      </c>
      <c r="B158" s="2" t="s">
        <v>472</v>
      </c>
      <c r="C158" s="2" t="s">
        <v>29</v>
      </c>
      <c r="D158" s="16">
        <v>0</v>
      </c>
      <c r="E158" s="2" t="s">
        <v>448</v>
      </c>
      <c r="F158" s="2" t="s">
        <v>31</v>
      </c>
      <c r="G158" s="2" t="s">
        <v>473</v>
      </c>
      <c r="H158" s="17">
        <v>152120</v>
      </c>
      <c r="I158" s="2"/>
      <c r="J158" s="2"/>
      <c r="K158" s="17">
        <v>152120</v>
      </c>
      <c r="L158" s="17">
        <v>16298.57</v>
      </c>
      <c r="M158" s="17">
        <v>135821.43</v>
      </c>
      <c r="N158" s="17">
        <v>152120</v>
      </c>
      <c r="O158" s="2"/>
      <c r="P158" s="2"/>
      <c r="Q158" s="2" t="s">
        <v>30</v>
      </c>
      <c r="R158" s="5">
        <f t="shared" si="6"/>
        <v>152120</v>
      </c>
      <c r="S158" s="5">
        <f t="shared" si="7"/>
        <v>152120</v>
      </c>
      <c r="T158" s="5">
        <f t="shared" si="8"/>
        <v>0</v>
      </c>
    </row>
    <row r="159" spans="1:20">
      <c r="A159" s="2" t="s">
        <v>448</v>
      </c>
      <c r="B159" s="2" t="s">
        <v>474</v>
      </c>
      <c r="C159" s="2" t="s">
        <v>29</v>
      </c>
      <c r="D159" s="16">
        <v>0</v>
      </c>
      <c r="E159" s="2" t="s">
        <v>448</v>
      </c>
      <c r="F159" s="2" t="s">
        <v>31</v>
      </c>
      <c r="G159" s="2" t="s">
        <v>475</v>
      </c>
      <c r="H159" s="17">
        <v>121248</v>
      </c>
      <c r="I159" s="2"/>
      <c r="J159" s="2"/>
      <c r="K159" s="17">
        <v>121248</v>
      </c>
      <c r="L159" s="17">
        <v>12990.86</v>
      </c>
      <c r="M159" s="17">
        <v>108257.14</v>
      </c>
      <c r="N159" s="17">
        <v>121248</v>
      </c>
      <c r="O159" s="2"/>
      <c r="P159" s="2"/>
      <c r="Q159" s="2" t="s">
        <v>30</v>
      </c>
      <c r="R159" s="5">
        <f t="shared" si="6"/>
        <v>121248</v>
      </c>
      <c r="S159" s="5">
        <f t="shared" si="7"/>
        <v>121248</v>
      </c>
      <c r="T159" s="5">
        <f t="shared" si="8"/>
        <v>0</v>
      </c>
    </row>
    <row r="160" spans="1:20">
      <c r="A160" s="2" t="s">
        <v>448</v>
      </c>
      <c r="B160" s="2" t="s">
        <v>476</v>
      </c>
      <c r="C160" s="2" t="s">
        <v>29</v>
      </c>
      <c r="D160" s="16">
        <v>0</v>
      </c>
      <c r="E160" s="2" t="s">
        <v>448</v>
      </c>
      <c r="F160" s="2" t="s">
        <v>51</v>
      </c>
      <c r="G160" s="2" t="s">
        <v>477</v>
      </c>
      <c r="H160" s="17">
        <v>11687.4</v>
      </c>
      <c r="I160" s="2"/>
      <c r="J160" s="17">
        <v>11687.4</v>
      </c>
      <c r="K160" s="2">
        <v>0</v>
      </c>
      <c r="L160" s="17">
        <v>1252.22</v>
      </c>
      <c r="M160" s="17">
        <v>10435.18</v>
      </c>
      <c r="N160" s="17">
        <v>11687.4</v>
      </c>
      <c r="O160" s="2" t="s">
        <v>1767</v>
      </c>
      <c r="P160" s="2"/>
      <c r="Q160" s="2" t="s">
        <v>50</v>
      </c>
      <c r="R160" s="5">
        <f t="shared" si="6"/>
        <v>11687.4</v>
      </c>
      <c r="S160" s="5">
        <f t="shared" si="7"/>
        <v>11687.4</v>
      </c>
      <c r="T160" s="5">
        <f t="shared" si="8"/>
        <v>0</v>
      </c>
    </row>
    <row r="161" spans="1:20">
      <c r="A161" s="2" t="s">
        <v>448</v>
      </c>
      <c r="B161" s="2" t="s">
        <v>478</v>
      </c>
      <c r="C161" s="2" t="s">
        <v>162</v>
      </c>
      <c r="D161" s="16">
        <v>90</v>
      </c>
      <c r="E161" s="2" t="s">
        <v>479</v>
      </c>
      <c r="F161" s="2" t="s">
        <v>193</v>
      </c>
      <c r="G161" s="2" t="s">
        <v>480</v>
      </c>
      <c r="H161" s="17">
        <v>66010</v>
      </c>
      <c r="I161" s="2"/>
      <c r="J161" s="2"/>
      <c r="K161" s="17">
        <v>66010</v>
      </c>
      <c r="L161" s="17">
        <v>7072.5</v>
      </c>
      <c r="M161" s="17">
        <v>58937.5</v>
      </c>
      <c r="N161" s="17">
        <v>66010</v>
      </c>
      <c r="O161" s="2"/>
      <c r="P161" s="2"/>
      <c r="Q161" s="2" t="s">
        <v>36</v>
      </c>
      <c r="R161" s="5">
        <f t="shared" si="6"/>
        <v>66010</v>
      </c>
      <c r="S161" s="5">
        <f t="shared" si="7"/>
        <v>66010</v>
      </c>
      <c r="T161" s="5">
        <f t="shared" si="8"/>
        <v>0</v>
      </c>
    </row>
    <row r="162" spans="1:20">
      <c r="A162" s="2" t="s">
        <v>448</v>
      </c>
      <c r="B162" s="2" t="s">
        <v>481</v>
      </c>
      <c r="C162" s="2" t="s">
        <v>73</v>
      </c>
      <c r="D162" s="16">
        <v>30</v>
      </c>
      <c r="E162" s="2" t="s">
        <v>482</v>
      </c>
      <c r="F162" s="2" t="s">
        <v>267</v>
      </c>
      <c r="G162" s="2" t="s">
        <v>483</v>
      </c>
      <c r="H162" s="17">
        <v>41200</v>
      </c>
      <c r="I162" s="2"/>
      <c r="J162" s="17">
        <v>10200</v>
      </c>
      <c r="K162" s="17">
        <f>51400-J162</f>
        <v>41200</v>
      </c>
      <c r="L162" s="17">
        <v>5507.14</v>
      </c>
      <c r="M162" s="17">
        <v>45892.86</v>
      </c>
      <c r="N162" s="17">
        <v>51400</v>
      </c>
      <c r="O162" s="2"/>
      <c r="P162" s="2"/>
      <c r="Q162" s="2" t="s">
        <v>19</v>
      </c>
      <c r="R162" s="5">
        <f t="shared" si="6"/>
        <v>51400</v>
      </c>
      <c r="S162" s="5">
        <f t="shared" si="7"/>
        <v>51400</v>
      </c>
      <c r="T162" s="5">
        <f t="shared" si="8"/>
        <v>0</v>
      </c>
    </row>
    <row r="163" spans="1:20">
      <c r="A163" s="2" t="s">
        <v>448</v>
      </c>
      <c r="B163" s="2" t="s">
        <v>484</v>
      </c>
      <c r="C163" s="2" t="s">
        <v>73</v>
      </c>
      <c r="D163" s="16">
        <v>30</v>
      </c>
      <c r="E163" s="2" t="s">
        <v>482</v>
      </c>
      <c r="F163" s="2" t="s">
        <v>267</v>
      </c>
      <c r="G163" s="2" t="s">
        <v>485</v>
      </c>
      <c r="H163" s="17">
        <v>120600</v>
      </c>
      <c r="I163" s="2"/>
      <c r="J163" s="17">
        <v>13600</v>
      </c>
      <c r="K163" s="17">
        <f>134200-J163</f>
        <v>120600</v>
      </c>
      <c r="L163" s="17">
        <v>14378.57</v>
      </c>
      <c r="M163" s="17">
        <v>119821.43</v>
      </c>
      <c r="N163" s="17">
        <v>134200</v>
      </c>
      <c r="O163" s="2"/>
      <c r="P163" s="2"/>
      <c r="Q163" s="2" t="s">
        <v>19</v>
      </c>
      <c r="R163" s="5">
        <f t="shared" si="6"/>
        <v>134200</v>
      </c>
      <c r="S163" s="5">
        <f t="shared" si="7"/>
        <v>134200</v>
      </c>
      <c r="T163" s="5">
        <f t="shared" si="8"/>
        <v>0</v>
      </c>
    </row>
    <row r="164" spans="1:20">
      <c r="A164" s="2" t="s">
        <v>448</v>
      </c>
      <c r="B164" s="2" t="s">
        <v>486</v>
      </c>
      <c r="C164" s="2" t="s">
        <v>18</v>
      </c>
      <c r="D164" s="16">
        <v>0</v>
      </c>
      <c r="E164" s="2" t="s">
        <v>448</v>
      </c>
      <c r="F164" s="2" t="s">
        <v>487</v>
      </c>
      <c r="G164" s="2" t="s">
        <v>488</v>
      </c>
      <c r="H164" s="17">
        <v>272346.90000000002</v>
      </c>
      <c r="I164" s="2"/>
      <c r="J164" s="2"/>
      <c r="K164" s="17">
        <v>272346.90000000002</v>
      </c>
      <c r="L164" s="17">
        <v>29180.02</v>
      </c>
      <c r="M164" s="17">
        <v>243166.88</v>
      </c>
      <c r="N164" s="17">
        <v>272346.90000000002</v>
      </c>
      <c r="O164" s="2"/>
      <c r="P164" s="2"/>
      <c r="Q164" s="2" t="s">
        <v>270</v>
      </c>
      <c r="R164" s="5">
        <f t="shared" si="6"/>
        <v>272346.90000000002</v>
      </c>
      <c r="S164" s="5">
        <f t="shared" si="7"/>
        <v>272346.90000000002</v>
      </c>
      <c r="T164" s="5">
        <f t="shared" si="8"/>
        <v>0</v>
      </c>
    </row>
    <row r="165" spans="1:20">
      <c r="A165" s="2" t="s">
        <v>448</v>
      </c>
      <c r="B165" s="2" t="s">
        <v>489</v>
      </c>
      <c r="C165" s="2" t="s">
        <v>104</v>
      </c>
      <c r="D165" s="16">
        <v>0</v>
      </c>
      <c r="E165" s="2" t="s">
        <v>448</v>
      </c>
      <c r="F165" s="2" t="s">
        <v>490</v>
      </c>
      <c r="G165" s="2" t="s">
        <v>491</v>
      </c>
      <c r="H165" s="17">
        <v>625460</v>
      </c>
      <c r="I165" s="2"/>
      <c r="J165" s="2"/>
      <c r="K165" s="17">
        <v>625460</v>
      </c>
      <c r="L165" s="17">
        <v>67013.570000000007</v>
      </c>
      <c r="M165" s="17">
        <v>558446.43000000005</v>
      </c>
      <c r="N165" s="17">
        <v>625460</v>
      </c>
      <c r="O165" s="2"/>
      <c r="P165" s="2"/>
      <c r="Q165" s="2" t="s">
        <v>30</v>
      </c>
      <c r="R165" s="5">
        <f t="shared" si="6"/>
        <v>625460</v>
      </c>
      <c r="S165" s="5">
        <f t="shared" si="7"/>
        <v>625460</v>
      </c>
      <c r="T165" s="5">
        <f t="shared" si="8"/>
        <v>0</v>
      </c>
    </row>
    <row r="166" spans="1:20">
      <c r="A166" s="2" t="s">
        <v>448</v>
      </c>
      <c r="B166" s="2" t="s">
        <v>492</v>
      </c>
      <c r="C166" s="2" t="s">
        <v>167</v>
      </c>
      <c r="D166" s="16">
        <v>90</v>
      </c>
      <c r="E166" s="2" t="s">
        <v>479</v>
      </c>
      <c r="F166" s="2" t="s">
        <v>190</v>
      </c>
      <c r="G166" s="2" t="s">
        <v>493</v>
      </c>
      <c r="H166" s="17">
        <v>270048</v>
      </c>
      <c r="I166" s="2"/>
      <c r="J166" s="2"/>
      <c r="K166" s="17">
        <v>270048</v>
      </c>
      <c r="L166" s="17">
        <v>28933.71</v>
      </c>
      <c r="M166" s="17">
        <v>241114.29</v>
      </c>
      <c r="N166" s="17">
        <v>270048</v>
      </c>
      <c r="O166" s="2"/>
      <c r="P166" s="2"/>
      <c r="Q166" s="2" t="s">
        <v>56</v>
      </c>
      <c r="R166" s="5">
        <f t="shared" si="6"/>
        <v>270048</v>
      </c>
      <c r="S166" s="5">
        <f t="shared" si="7"/>
        <v>270048</v>
      </c>
      <c r="T166" s="5">
        <f t="shared" si="8"/>
        <v>0</v>
      </c>
    </row>
    <row r="167" spans="1:20">
      <c r="A167" s="2" t="s">
        <v>448</v>
      </c>
      <c r="B167" s="2" t="s">
        <v>494</v>
      </c>
      <c r="C167" s="2" t="s">
        <v>146</v>
      </c>
      <c r="D167" s="16">
        <v>90</v>
      </c>
      <c r="E167" s="2" t="s">
        <v>479</v>
      </c>
      <c r="F167" s="2" t="s">
        <v>250</v>
      </c>
      <c r="G167" s="2" t="s">
        <v>495</v>
      </c>
      <c r="H167" s="17">
        <v>26528</v>
      </c>
      <c r="I167" s="2"/>
      <c r="J167" s="2"/>
      <c r="K167" s="17">
        <v>26528</v>
      </c>
      <c r="L167" s="17">
        <v>2842.29</v>
      </c>
      <c r="M167" s="17">
        <v>23685.71</v>
      </c>
      <c r="N167" s="17">
        <v>26528</v>
      </c>
      <c r="O167" s="2"/>
      <c r="P167" s="2"/>
      <c r="Q167" s="2" t="s">
        <v>139</v>
      </c>
      <c r="R167" s="5">
        <f t="shared" si="6"/>
        <v>26528</v>
      </c>
      <c r="S167" s="5">
        <f t="shared" si="7"/>
        <v>26528</v>
      </c>
      <c r="T167" s="5">
        <f t="shared" si="8"/>
        <v>0</v>
      </c>
    </row>
    <row r="168" spans="1:20">
      <c r="A168" s="2" t="s">
        <v>448</v>
      </c>
      <c r="B168" s="2" t="s">
        <v>496</v>
      </c>
      <c r="C168" s="2" t="s">
        <v>146</v>
      </c>
      <c r="D168" s="16">
        <v>90</v>
      </c>
      <c r="E168" s="2" t="s">
        <v>479</v>
      </c>
      <c r="F168" s="2" t="s">
        <v>250</v>
      </c>
      <c r="G168" s="2" t="s">
        <v>497</v>
      </c>
      <c r="H168" s="17">
        <v>978432</v>
      </c>
      <c r="I168" s="2"/>
      <c r="J168" s="2"/>
      <c r="K168" s="17">
        <v>978432</v>
      </c>
      <c r="L168" s="17">
        <v>104832</v>
      </c>
      <c r="M168" s="17">
        <v>873600</v>
      </c>
      <c r="N168" s="17">
        <v>978432</v>
      </c>
      <c r="O168" s="2"/>
      <c r="P168" s="2"/>
      <c r="Q168" s="2" t="s">
        <v>139</v>
      </c>
      <c r="R168" s="5">
        <f t="shared" si="6"/>
        <v>978432</v>
      </c>
      <c r="S168" s="5">
        <f t="shared" si="7"/>
        <v>978432</v>
      </c>
      <c r="T168" s="5">
        <f t="shared" si="8"/>
        <v>0</v>
      </c>
    </row>
    <row r="169" spans="1:20">
      <c r="A169" s="2" t="s">
        <v>448</v>
      </c>
      <c r="B169" s="2" t="s">
        <v>498</v>
      </c>
      <c r="C169" s="2" t="s">
        <v>60</v>
      </c>
      <c r="D169" s="16">
        <v>0</v>
      </c>
      <c r="E169" s="2" t="s">
        <v>448</v>
      </c>
      <c r="F169" s="2" t="s">
        <v>196</v>
      </c>
      <c r="G169" s="2" t="s">
        <v>499</v>
      </c>
      <c r="H169" s="17">
        <v>17000</v>
      </c>
      <c r="I169" s="2"/>
      <c r="J169" s="2"/>
      <c r="K169" s="17">
        <v>17000</v>
      </c>
      <c r="L169" s="17">
        <v>1821.43</v>
      </c>
      <c r="M169" s="17">
        <v>15178.57</v>
      </c>
      <c r="N169" s="17">
        <v>17000</v>
      </c>
      <c r="O169" s="2"/>
      <c r="P169" s="2"/>
      <c r="Q169" s="2" t="s">
        <v>56</v>
      </c>
      <c r="R169" s="5">
        <f t="shared" si="6"/>
        <v>17000</v>
      </c>
      <c r="S169" s="5">
        <f t="shared" si="7"/>
        <v>17000</v>
      </c>
      <c r="T169" s="5">
        <f t="shared" si="8"/>
        <v>0</v>
      </c>
    </row>
    <row r="170" spans="1:20">
      <c r="A170" s="2" t="s">
        <v>448</v>
      </c>
      <c r="B170" s="2" t="s">
        <v>500</v>
      </c>
      <c r="C170" s="2" t="s">
        <v>60</v>
      </c>
      <c r="D170" s="16">
        <v>0</v>
      </c>
      <c r="E170" s="2" t="s">
        <v>448</v>
      </c>
      <c r="F170" s="2" t="s">
        <v>196</v>
      </c>
      <c r="G170" s="2" t="s">
        <v>501</v>
      </c>
      <c r="H170" s="17">
        <v>104316</v>
      </c>
      <c r="I170" s="2"/>
      <c r="J170" s="2"/>
      <c r="K170" s="17">
        <v>104316</v>
      </c>
      <c r="L170" s="17">
        <v>11176.71</v>
      </c>
      <c r="M170" s="17">
        <v>93139.29</v>
      </c>
      <c r="N170" s="17">
        <v>104316</v>
      </c>
      <c r="O170" s="2"/>
      <c r="P170" s="2"/>
      <c r="Q170" s="2" t="s">
        <v>56</v>
      </c>
      <c r="R170" s="5">
        <f t="shared" si="6"/>
        <v>104316</v>
      </c>
      <c r="S170" s="5">
        <f t="shared" si="7"/>
        <v>104316</v>
      </c>
      <c r="T170" s="5">
        <f t="shared" si="8"/>
        <v>0</v>
      </c>
    </row>
    <row r="171" spans="1:20">
      <c r="A171" s="2" t="s">
        <v>448</v>
      </c>
      <c r="B171" s="2" t="s">
        <v>502</v>
      </c>
      <c r="C171" s="2" t="s">
        <v>73</v>
      </c>
      <c r="D171" s="16">
        <v>30</v>
      </c>
      <c r="E171" s="2" t="s">
        <v>482</v>
      </c>
      <c r="F171" s="2" t="s">
        <v>267</v>
      </c>
      <c r="G171" s="2" t="s">
        <v>503</v>
      </c>
      <c r="H171" s="17">
        <v>231400</v>
      </c>
      <c r="I171" s="2"/>
      <c r="J171" s="17">
        <v>13950</v>
      </c>
      <c r="K171" s="17">
        <f>245350-J171</f>
        <v>231400</v>
      </c>
      <c r="L171" s="17">
        <v>26287.5</v>
      </c>
      <c r="M171" s="17">
        <v>219062.5</v>
      </c>
      <c r="N171" s="17">
        <v>245350</v>
      </c>
      <c r="O171" s="2"/>
      <c r="P171" s="2"/>
      <c r="Q171" s="2" t="s">
        <v>19</v>
      </c>
      <c r="R171" s="5">
        <f t="shared" si="6"/>
        <v>245350</v>
      </c>
      <c r="S171" s="5">
        <f t="shared" si="7"/>
        <v>245350</v>
      </c>
      <c r="T171" s="5">
        <f t="shared" si="8"/>
        <v>0</v>
      </c>
    </row>
    <row r="172" spans="1:20">
      <c r="A172" s="2" t="s">
        <v>505</v>
      </c>
      <c r="B172" s="2" t="s">
        <v>504</v>
      </c>
      <c r="C172" s="2" t="s">
        <v>132</v>
      </c>
      <c r="D172" s="16">
        <v>0</v>
      </c>
      <c r="E172" s="2" t="s">
        <v>505</v>
      </c>
      <c r="F172" s="2" t="s">
        <v>506</v>
      </c>
      <c r="G172" s="2" t="s">
        <v>507</v>
      </c>
      <c r="H172" s="17">
        <v>2916</v>
      </c>
      <c r="I172" s="2"/>
      <c r="J172" s="2"/>
      <c r="K172" s="17">
        <v>2916</v>
      </c>
      <c r="L172" s="18">
        <v>312.43</v>
      </c>
      <c r="M172" s="17">
        <v>2603.5700000000002</v>
      </c>
      <c r="N172" s="17">
        <v>2916</v>
      </c>
      <c r="O172" s="2"/>
      <c r="P172" s="2"/>
      <c r="Q172" s="2" t="s">
        <v>56</v>
      </c>
      <c r="R172" s="5">
        <f t="shared" si="6"/>
        <v>2916</v>
      </c>
      <c r="S172" s="5">
        <f t="shared" si="7"/>
        <v>2916</v>
      </c>
      <c r="T172" s="5">
        <f t="shared" si="8"/>
        <v>0</v>
      </c>
    </row>
    <row r="173" spans="1:20">
      <c r="A173" s="2" t="s">
        <v>505</v>
      </c>
      <c r="B173" s="2" t="s">
        <v>508</v>
      </c>
      <c r="C173" s="2" t="s">
        <v>34</v>
      </c>
      <c r="D173" s="16">
        <v>60</v>
      </c>
      <c r="E173" s="2" t="s">
        <v>509</v>
      </c>
      <c r="F173" s="2" t="s">
        <v>201</v>
      </c>
      <c r="G173" s="2" t="s">
        <v>510</v>
      </c>
      <c r="H173" s="17">
        <v>60000</v>
      </c>
      <c r="I173" s="2"/>
      <c r="J173" s="2"/>
      <c r="K173" s="17">
        <v>60000</v>
      </c>
      <c r="L173" s="17">
        <v>6428.57</v>
      </c>
      <c r="M173" s="17">
        <v>53571.43</v>
      </c>
      <c r="N173" s="17">
        <v>60000</v>
      </c>
      <c r="O173" s="2"/>
      <c r="P173" s="2"/>
      <c r="Q173" s="2" t="s">
        <v>30</v>
      </c>
      <c r="R173" s="5">
        <f t="shared" si="6"/>
        <v>60000</v>
      </c>
      <c r="S173" s="5">
        <f t="shared" si="7"/>
        <v>60000</v>
      </c>
      <c r="T173" s="5">
        <f t="shared" si="8"/>
        <v>0</v>
      </c>
    </row>
    <row r="174" spans="1:20">
      <c r="A174" s="2" t="s">
        <v>505</v>
      </c>
      <c r="B174" s="2" t="s">
        <v>511</v>
      </c>
      <c r="C174" s="2" t="s">
        <v>98</v>
      </c>
      <c r="D174" s="16">
        <v>0</v>
      </c>
      <c r="E174" s="2" t="s">
        <v>505</v>
      </c>
      <c r="F174" s="2" t="s">
        <v>99</v>
      </c>
      <c r="G174" s="2" t="s">
        <v>512</v>
      </c>
      <c r="H174" s="17">
        <v>47500</v>
      </c>
      <c r="I174" s="19">
        <v>-1425</v>
      </c>
      <c r="J174" s="2"/>
      <c r="K174" s="17">
        <v>46075</v>
      </c>
      <c r="L174" s="17">
        <v>4936.6099999999997</v>
      </c>
      <c r="M174" s="17">
        <v>41138.39</v>
      </c>
      <c r="N174" s="17">
        <v>46075</v>
      </c>
      <c r="O174" s="2"/>
      <c r="P174" s="2"/>
      <c r="Q174" s="2" t="s">
        <v>69</v>
      </c>
      <c r="R174" s="5">
        <f t="shared" si="6"/>
        <v>46075</v>
      </c>
      <c r="S174" s="5">
        <f t="shared" si="7"/>
        <v>46075</v>
      </c>
      <c r="T174" s="5">
        <f t="shared" si="8"/>
        <v>0</v>
      </c>
    </row>
    <row r="175" spans="1:20">
      <c r="A175" s="2" t="s">
        <v>505</v>
      </c>
      <c r="B175" s="2" t="s">
        <v>513</v>
      </c>
      <c r="C175" s="2" t="s">
        <v>98</v>
      </c>
      <c r="D175" s="16">
        <v>0</v>
      </c>
      <c r="E175" s="2" t="s">
        <v>505</v>
      </c>
      <c r="F175" s="2" t="s">
        <v>99</v>
      </c>
      <c r="G175" s="2" t="s">
        <v>514</v>
      </c>
      <c r="H175" s="17">
        <v>348100</v>
      </c>
      <c r="I175" s="19">
        <v>-10443</v>
      </c>
      <c r="J175" s="2"/>
      <c r="K175" s="17">
        <v>337657</v>
      </c>
      <c r="L175" s="17">
        <v>36177.54</v>
      </c>
      <c r="M175" s="17">
        <v>301479.46000000002</v>
      </c>
      <c r="N175" s="17">
        <v>337657</v>
      </c>
      <c r="O175" s="2"/>
      <c r="P175" s="2"/>
      <c r="Q175" s="2" t="s">
        <v>69</v>
      </c>
      <c r="R175" s="5">
        <f t="shared" si="6"/>
        <v>337657</v>
      </c>
      <c r="S175" s="5">
        <f t="shared" si="7"/>
        <v>337657</v>
      </c>
      <c r="T175" s="5">
        <f t="shared" si="8"/>
        <v>0</v>
      </c>
    </row>
    <row r="176" spans="1:20">
      <c r="A176" s="2" t="s">
        <v>505</v>
      </c>
      <c r="B176" s="2" t="s">
        <v>515</v>
      </c>
      <c r="C176" s="2" t="s">
        <v>98</v>
      </c>
      <c r="D176" s="16">
        <v>0</v>
      </c>
      <c r="E176" s="2" t="s">
        <v>505</v>
      </c>
      <c r="F176" s="2" t="s">
        <v>99</v>
      </c>
      <c r="G176" s="2" t="s">
        <v>516</v>
      </c>
      <c r="H176" s="17">
        <v>51340</v>
      </c>
      <c r="I176" s="19">
        <v>-1540.2</v>
      </c>
      <c r="J176" s="2"/>
      <c r="K176" s="17">
        <v>49799.8</v>
      </c>
      <c r="L176" s="17">
        <v>5335.69</v>
      </c>
      <c r="M176" s="17">
        <v>44464.11</v>
      </c>
      <c r="N176" s="17">
        <v>49799.8</v>
      </c>
      <c r="O176" s="2"/>
      <c r="P176" s="2"/>
      <c r="Q176" s="2" t="s">
        <v>69</v>
      </c>
      <c r="R176" s="5">
        <f t="shared" si="6"/>
        <v>49799.8</v>
      </c>
      <c r="S176" s="5">
        <f t="shared" si="7"/>
        <v>49799.8</v>
      </c>
      <c r="T176" s="5">
        <f t="shared" si="8"/>
        <v>0</v>
      </c>
    </row>
    <row r="177" spans="1:20">
      <c r="A177" s="2" t="s">
        <v>505</v>
      </c>
      <c r="B177" s="2" t="s">
        <v>517</v>
      </c>
      <c r="C177" s="2" t="s">
        <v>243</v>
      </c>
      <c r="D177" s="16">
        <v>30</v>
      </c>
      <c r="E177" s="2" t="s">
        <v>518</v>
      </c>
      <c r="F177" s="2" t="s">
        <v>519</v>
      </c>
      <c r="G177" s="2" t="s">
        <v>520</v>
      </c>
      <c r="H177" s="17">
        <v>9802</v>
      </c>
      <c r="I177" s="2"/>
      <c r="J177" s="2"/>
      <c r="K177" s="17">
        <v>9802</v>
      </c>
      <c r="L177" s="17">
        <v>1050.21</v>
      </c>
      <c r="M177" s="17">
        <v>8751.7900000000009</v>
      </c>
      <c r="N177" s="17">
        <v>9802</v>
      </c>
      <c r="O177" s="2"/>
      <c r="P177" s="2"/>
      <c r="Q177" s="2" t="s">
        <v>139</v>
      </c>
      <c r="R177" s="5">
        <f t="shared" si="6"/>
        <v>9802</v>
      </c>
      <c r="S177" s="5">
        <f t="shared" si="7"/>
        <v>9802</v>
      </c>
      <c r="T177" s="5">
        <f t="shared" si="8"/>
        <v>0</v>
      </c>
    </row>
    <row r="178" spans="1:20">
      <c r="A178" s="2" t="s">
        <v>505</v>
      </c>
      <c r="B178" s="2" t="s">
        <v>521</v>
      </c>
      <c r="C178" s="2" t="s">
        <v>73</v>
      </c>
      <c r="D178" s="16">
        <v>30</v>
      </c>
      <c r="E178" s="2" t="s">
        <v>518</v>
      </c>
      <c r="F178" s="2" t="s">
        <v>522</v>
      </c>
      <c r="G178" s="2" t="s">
        <v>523</v>
      </c>
      <c r="H178" s="17">
        <v>86400</v>
      </c>
      <c r="I178" s="2"/>
      <c r="J178" s="2"/>
      <c r="K178" s="17">
        <v>86400</v>
      </c>
      <c r="L178" s="2"/>
      <c r="M178" s="17">
        <v>86400</v>
      </c>
      <c r="N178" s="17">
        <v>86400</v>
      </c>
      <c r="O178" s="2"/>
      <c r="P178" s="2"/>
      <c r="Q178" s="2" t="s">
        <v>46</v>
      </c>
      <c r="R178" s="5">
        <f t="shared" si="6"/>
        <v>86400</v>
      </c>
      <c r="S178" s="5">
        <f t="shared" si="7"/>
        <v>86400</v>
      </c>
      <c r="T178" s="5">
        <f t="shared" si="8"/>
        <v>0</v>
      </c>
    </row>
    <row r="179" spans="1:20">
      <c r="A179" s="2" t="s">
        <v>505</v>
      </c>
      <c r="B179" s="2" t="s">
        <v>524</v>
      </c>
      <c r="C179" s="2" t="s">
        <v>60</v>
      </c>
      <c r="D179" s="16">
        <v>0</v>
      </c>
      <c r="E179" s="2" t="s">
        <v>505</v>
      </c>
      <c r="F179" s="2" t="s">
        <v>168</v>
      </c>
      <c r="G179" s="2" t="s">
        <v>525</v>
      </c>
      <c r="H179" s="17">
        <v>58172.84</v>
      </c>
      <c r="I179" s="2"/>
      <c r="J179" s="2"/>
      <c r="K179" s="17">
        <v>58172.84</v>
      </c>
      <c r="L179" s="17">
        <v>6232.8</v>
      </c>
      <c r="M179" s="17">
        <v>51940.04</v>
      </c>
      <c r="N179" s="17">
        <v>58172.84</v>
      </c>
      <c r="O179" s="2"/>
      <c r="P179" s="2"/>
      <c r="Q179" s="2" t="s">
        <v>56</v>
      </c>
      <c r="R179" s="5">
        <f t="shared" si="6"/>
        <v>58172.84</v>
      </c>
      <c r="S179" s="5">
        <f t="shared" si="7"/>
        <v>58172.84</v>
      </c>
      <c r="T179" s="5">
        <f t="shared" si="8"/>
        <v>0</v>
      </c>
    </row>
    <row r="180" spans="1:20">
      <c r="A180" s="2" t="s">
        <v>505</v>
      </c>
      <c r="B180" s="2" t="s">
        <v>526</v>
      </c>
      <c r="C180" s="2" t="s">
        <v>60</v>
      </c>
      <c r="D180" s="16">
        <v>0</v>
      </c>
      <c r="E180" s="2" t="s">
        <v>505</v>
      </c>
      <c r="F180" s="2" t="s">
        <v>190</v>
      </c>
      <c r="G180" s="2" t="s">
        <v>527</v>
      </c>
      <c r="H180" s="17">
        <v>32000</v>
      </c>
      <c r="I180" s="2"/>
      <c r="J180" s="2"/>
      <c r="K180" s="17">
        <v>32000</v>
      </c>
      <c r="L180" s="17">
        <v>3428.57</v>
      </c>
      <c r="M180" s="17">
        <v>28571.43</v>
      </c>
      <c r="N180" s="17">
        <v>32000</v>
      </c>
      <c r="O180" s="2"/>
      <c r="P180" s="2"/>
      <c r="Q180" s="2" t="s">
        <v>56</v>
      </c>
      <c r="R180" s="5">
        <f t="shared" si="6"/>
        <v>32000</v>
      </c>
      <c r="S180" s="5">
        <f t="shared" si="7"/>
        <v>32000</v>
      </c>
      <c r="T180" s="5">
        <f t="shared" si="8"/>
        <v>0</v>
      </c>
    </row>
    <row r="181" spans="1:20">
      <c r="A181" s="2" t="s">
        <v>505</v>
      </c>
      <c r="B181" s="2" t="s">
        <v>528</v>
      </c>
      <c r="C181" s="2" t="s">
        <v>23</v>
      </c>
      <c r="D181" s="16">
        <v>30</v>
      </c>
      <c r="E181" s="2" t="s">
        <v>518</v>
      </c>
      <c r="F181" s="2" t="s">
        <v>529</v>
      </c>
      <c r="G181" s="2" t="s">
        <v>530</v>
      </c>
      <c r="H181" s="17">
        <v>239276</v>
      </c>
      <c r="I181" s="19">
        <v>-4785.5200000000004</v>
      </c>
      <c r="J181" s="2"/>
      <c r="K181" s="17">
        <v>234490.48</v>
      </c>
      <c r="L181" s="17">
        <v>25123.98</v>
      </c>
      <c r="M181" s="17">
        <v>209366.5</v>
      </c>
      <c r="N181" s="17">
        <v>234490.48</v>
      </c>
      <c r="O181" s="2"/>
      <c r="P181" s="2"/>
      <c r="Q181" s="2" t="s">
        <v>329</v>
      </c>
      <c r="R181" s="5">
        <f t="shared" si="6"/>
        <v>234490.48</v>
      </c>
      <c r="S181" s="5">
        <f t="shared" si="7"/>
        <v>234490.48</v>
      </c>
      <c r="T181" s="5">
        <f t="shared" si="8"/>
        <v>0</v>
      </c>
    </row>
    <row r="182" spans="1:20">
      <c r="A182" s="2" t="s">
        <v>505</v>
      </c>
      <c r="B182" s="2" t="s">
        <v>531</v>
      </c>
      <c r="C182" s="2" t="s">
        <v>167</v>
      </c>
      <c r="D182" s="16">
        <v>90</v>
      </c>
      <c r="E182" s="2" t="s">
        <v>532</v>
      </c>
      <c r="F182" s="2" t="s">
        <v>190</v>
      </c>
      <c r="G182" s="2" t="s">
        <v>533</v>
      </c>
      <c r="H182" s="17">
        <v>470460</v>
      </c>
      <c r="I182" s="2"/>
      <c r="J182" s="2"/>
      <c r="K182" s="17">
        <v>470460</v>
      </c>
      <c r="L182" s="17">
        <v>50406.43</v>
      </c>
      <c r="M182" s="17">
        <v>420053.57</v>
      </c>
      <c r="N182" s="17">
        <v>470460</v>
      </c>
      <c r="O182" s="2"/>
      <c r="P182" s="2"/>
      <c r="Q182" s="2" t="s">
        <v>56</v>
      </c>
      <c r="R182" s="5">
        <f t="shared" si="6"/>
        <v>470460</v>
      </c>
      <c r="S182" s="5">
        <f t="shared" si="7"/>
        <v>470460</v>
      </c>
      <c r="T182" s="5">
        <f t="shared" si="8"/>
        <v>0</v>
      </c>
    </row>
    <row r="183" spans="1:20">
      <c r="A183" s="2" t="s">
        <v>505</v>
      </c>
      <c r="B183" s="2" t="s">
        <v>534</v>
      </c>
      <c r="C183" s="2" t="s">
        <v>60</v>
      </c>
      <c r="D183" s="16">
        <v>0</v>
      </c>
      <c r="E183" s="2" t="s">
        <v>505</v>
      </c>
      <c r="F183" s="2" t="s">
        <v>190</v>
      </c>
      <c r="G183" s="2" t="s">
        <v>535</v>
      </c>
      <c r="H183" s="17">
        <v>98552</v>
      </c>
      <c r="I183" s="2"/>
      <c r="J183" s="2"/>
      <c r="K183" s="17">
        <v>98552</v>
      </c>
      <c r="L183" s="17">
        <v>10559.14</v>
      </c>
      <c r="M183" s="17">
        <v>87992.86</v>
      </c>
      <c r="N183" s="17">
        <v>98552</v>
      </c>
      <c r="O183" s="2"/>
      <c r="P183" s="2"/>
      <c r="Q183" s="2" t="s">
        <v>56</v>
      </c>
      <c r="R183" s="5">
        <f t="shared" si="6"/>
        <v>98552</v>
      </c>
      <c r="S183" s="5">
        <f t="shared" si="7"/>
        <v>98552</v>
      </c>
      <c r="T183" s="5">
        <f t="shared" si="8"/>
        <v>0</v>
      </c>
    </row>
    <row r="184" spans="1:20">
      <c r="A184" s="2" t="s">
        <v>505</v>
      </c>
      <c r="B184" s="2" t="s">
        <v>536</v>
      </c>
      <c r="C184" s="2" t="s">
        <v>60</v>
      </c>
      <c r="D184" s="16">
        <v>0</v>
      </c>
      <c r="E184" s="2" t="s">
        <v>505</v>
      </c>
      <c r="F184" s="2" t="s">
        <v>190</v>
      </c>
      <c r="G184" s="2" t="s">
        <v>537</v>
      </c>
      <c r="H184" s="17">
        <v>78570</v>
      </c>
      <c r="I184" s="2"/>
      <c r="J184" s="2"/>
      <c r="K184" s="17">
        <v>78570</v>
      </c>
      <c r="L184" s="17">
        <v>8418.2099999999991</v>
      </c>
      <c r="M184" s="17">
        <v>70151.789999999994</v>
      </c>
      <c r="N184" s="17">
        <v>78570</v>
      </c>
      <c r="O184" s="2"/>
      <c r="P184" s="2"/>
      <c r="Q184" s="2" t="s">
        <v>56</v>
      </c>
      <c r="R184" s="5">
        <f t="shared" si="6"/>
        <v>78570</v>
      </c>
      <c r="S184" s="5">
        <f t="shared" si="7"/>
        <v>78570</v>
      </c>
      <c r="T184" s="5">
        <f t="shared" si="8"/>
        <v>0</v>
      </c>
    </row>
    <row r="185" spans="1:20">
      <c r="A185" s="2" t="s">
        <v>505</v>
      </c>
      <c r="B185" s="2" t="s">
        <v>538</v>
      </c>
      <c r="C185" s="2" t="s">
        <v>60</v>
      </c>
      <c r="D185" s="16">
        <v>0</v>
      </c>
      <c r="E185" s="2" t="s">
        <v>505</v>
      </c>
      <c r="F185" s="2" t="s">
        <v>190</v>
      </c>
      <c r="G185" s="2" t="s">
        <v>539</v>
      </c>
      <c r="H185" s="17">
        <v>9506</v>
      </c>
      <c r="I185" s="2"/>
      <c r="J185" s="2"/>
      <c r="K185" s="17">
        <v>9506</v>
      </c>
      <c r="L185" s="17">
        <v>1018.5</v>
      </c>
      <c r="M185" s="17">
        <v>8487.5</v>
      </c>
      <c r="N185" s="17">
        <v>9506</v>
      </c>
      <c r="O185" s="2"/>
      <c r="P185" s="2"/>
      <c r="Q185" s="2" t="s">
        <v>56</v>
      </c>
      <c r="R185" s="5">
        <f t="shared" si="6"/>
        <v>9506</v>
      </c>
      <c r="S185" s="5">
        <f t="shared" si="7"/>
        <v>9506</v>
      </c>
      <c r="T185" s="5">
        <f t="shared" si="8"/>
        <v>0</v>
      </c>
    </row>
    <row r="186" spans="1:20">
      <c r="A186" s="2" t="s">
        <v>505</v>
      </c>
      <c r="B186" s="2" t="s">
        <v>540</v>
      </c>
      <c r="C186" s="2" t="s">
        <v>34</v>
      </c>
      <c r="D186" s="16">
        <v>60</v>
      </c>
      <c r="E186" s="2" t="s">
        <v>509</v>
      </c>
      <c r="F186" s="2" t="s">
        <v>330</v>
      </c>
      <c r="G186" s="2" t="s">
        <v>541</v>
      </c>
      <c r="H186" s="17">
        <v>360302</v>
      </c>
      <c r="I186" s="2"/>
      <c r="J186" s="2"/>
      <c r="K186" s="17">
        <v>360302</v>
      </c>
      <c r="L186" s="17">
        <v>38603.79</v>
      </c>
      <c r="M186" s="17">
        <v>321698.21000000002</v>
      </c>
      <c r="N186" s="17">
        <v>360302</v>
      </c>
      <c r="O186" s="2"/>
      <c r="P186" s="2"/>
      <c r="Q186" s="2" t="s">
        <v>329</v>
      </c>
      <c r="R186" s="5">
        <f t="shared" si="6"/>
        <v>360302</v>
      </c>
      <c r="S186" s="5">
        <f t="shared" si="7"/>
        <v>360302</v>
      </c>
      <c r="T186" s="5">
        <f t="shared" si="8"/>
        <v>0</v>
      </c>
    </row>
    <row r="187" spans="1:20">
      <c r="A187" s="2" t="s">
        <v>505</v>
      </c>
      <c r="B187" s="2" t="s">
        <v>542</v>
      </c>
      <c r="C187" s="2" t="s">
        <v>162</v>
      </c>
      <c r="D187" s="16">
        <v>90</v>
      </c>
      <c r="E187" s="2" t="s">
        <v>532</v>
      </c>
      <c r="F187" s="2" t="s">
        <v>543</v>
      </c>
      <c r="G187" s="2" t="s">
        <v>544</v>
      </c>
      <c r="H187" s="17">
        <v>347124</v>
      </c>
      <c r="I187" s="2"/>
      <c r="J187" s="2"/>
      <c r="K187" s="17">
        <v>347124</v>
      </c>
      <c r="L187" s="17">
        <v>37191.86</v>
      </c>
      <c r="M187" s="17">
        <v>309932.14</v>
      </c>
      <c r="N187" s="17">
        <v>347124</v>
      </c>
      <c r="O187" s="2"/>
      <c r="P187" s="2"/>
      <c r="Q187" s="2" t="s">
        <v>19</v>
      </c>
      <c r="R187" s="5">
        <f t="shared" si="6"/>
        <v>347124</v>
      </c>
      <c r="S187" s="5">
        <f t="shared" si="7"/>
        <v>347124</v>
      </c>
      <c r="T187" s="5">
        <f t="shared" si="8"/>
        <v>0</v>
      </c>
    </row>
    <row r="188" spans="1:20">
      <c r="A188" s="2" t="s">
        <v>505</v>
      </c>
      <c r="B188" s="2" t="s">
        <v>545</v>
      </c>
      <c r="C188" s="2" t="s">
        <v>60</v>
      </c>
      <c r="D188" s="16">
        <v>0</v>
      </c>
      <c r="E188" s="2" t="s">
        <v>505</v>
      </c>
      <c r="F188" s="2" t="s">
        <v>546</v>
      </c>
      <c r="G188" s="2" t="s">
        <v>547</v>
      </c>
      <c r="H188" s="17">
        <v>83454.48</v>
      </c>
      <c r="I188" s="2"/>
      <c r="J188" s="2"/>
      <c r="K188" s="17">
        <v>83454.48</v>
      </c>
      <c r="L188" s="17">
        <v>8941.5499999999993</v>
      </c>
      <c r="M188" s="17">
        <v>74512.929999999993</v>
      </c>
      <c r="N188" s="17">
        <v>83454.48</v>
      </c>
      <c r="O188" s="2"/>
      <c r="P188" s="2"/>
      <c r="Q188" s="2" t="s">
        <v>56</v>
      </c>
      <c r="R188" s="5">
        <f t="shared" si="6"/>
        <v>83454.48</v>
      </c>
      <c r="S188" s="5">
        <f t="shared" si="7"/>
        <v>83454.48</v>
      </c>
      <c r="T188" s="5">
        <f t="shared" si="8"/>
        <v>0</v>
      </c>
    </row>
    <row r="189" spans="1:20">
      <c r="A189" s="2" t="s">
        <v>505</v>
      </c>
      <c r="B189" s="2" t="s">
        <v>548</v>
      </c>
      <c r="C189" s="2" t="s">
        <v>18</v>
      </c>
      <c r="D189" s="16">
        <v>0</v>
      </c>
      <c r="E189" s="2" t="s">
        <v>505</v>
      </c>
      <c r="F189" s="2" t="s">
        <v>412</v>
      </c>
      <c r="G189" s="2" t="s">
        <v>549</v>
      </c>
      <c r="H189" s="17">
        <v>308052</v>
      </c>
      <c r="I189" s="19">
        <v>-9241.56</v>
      </c>
      <c r="J189" s="2"/>
      <c r="K189" s="17">
        <v>298810.44</v>
      </c>
      <c r="L189" s="17">
        <v>32015.4</v>
      </c>
      <c r="M189" s="17">
        <v>266795.03999999998</v>
      </c>
      <c r="N189" s="17">
        <v>298810.44</v>
      </c>
      <c r="O189" s="2"/>
      <c r="P189" s="2"/>
      <c r="Q189" s="2" t="s">
        <v>56</v>
      </c>
      <c r="R189" s="5">
        <f t="shared" si="6"/>
        <v>298810.44</v>
      </c>
      <c r="S189" s="5">
        <f t="shared" si="7"/>
        <v>298810.44</v>
      </c>
      <c r="T189" s="5">
        <f t="shared" si="8"/>
        <v>0</v>
      </c>
    </row>
    <row r="190" spans="1:20">
      <c r="A190" s="2" t="s">
        <v>505</v>
      </c>
      <c r="B190" s="2" t="s">
        <v>550</v>
      </c>
      <c r="C190" s="2" t="s">
        <v>68</v>
      </c>
      <c r="D190" s="16">
        <v>60</v>
      </c>
      <c r="E190" s="2" t="s">
        <v>509</v>
      </c>
      <c r="F190" s="2" t="s">
        <v>70</v>
      </c>
      <c r="G190" s="2" t="s">
        <v>551</v>
      </c>
      <c r="H190" s="17">
        <v>2419200</v>
      </c>
      <c r="I190" s="2"/>
      <c r="J190" s="2"/>
      <c r="K190" s="17">
        <v>2419200</v>
      </c>
      <c r="L190" s="17">
        <v>259200</v>
      </c>
      <c r="M190" s="17">
        <v>2160000</v>
      </c>
      <c r="N190" s="17">
        <v>2419200</v>
      </c>
      <c r="O190" s="2"/>
      <c r="P190" s="2"/>
      <c r="Q190" s="2" t="s">
        <v>69</v>
      </c>
      <c r="R190" s="5">
        <f t="shared" si="6"/>
        <v>2419200</v>
      </c>
      <c r="S190" s="5">
        <f t="shared" si="7"/>
        <v>2419200</v>
      </c>
      <c r="T190" s="5">
        <f t="shared" si="8"/>
        <v>0</v>
      </c>
    </row>
    <row r="191" spans="1:20">
      <c r="A191" s="2" t="s">
        <v>505</v>
      </c>
      <c r="B191" s="2" t="s">
        <v>552</v>
      </c>
      <c r="C191" s="2" t="s">
        <v>73</v>
      </c>
      <c r="D191" s="16">
        <v>30</v>
      </c>
      <c r="E191" s="2" t="s">
        <v>518</v>
      </c>
      <c r="F191" s="2" t="s">
        <v>553</v>
      </c>
      <c r="G191" s="2" t="s">
        <v>554</v>
      </c>
      <c r="H191" s="17">
        <v>89266</v>
      </c>
      <c r="I191" s="2"/>
      <c r="J191" s="2"/>
      <c r="K191" s="17">
        <v>89266</v>
      </c>
      <c r="L191" s="17">
        <v>9564.2099999999991</v>
      </c>
      <c r="M191" s="17">
        <v>79701.789999999994</v>
      </c>
      <c r="N191" s="17">
        <v>89266</v>
      </c>
      <c r="O191" s="2"/>
      <c r="P191" s="2"/>
      <c r="Q191" s="2" t="s">
        <v>19</v>
      </c>
      <c r="R191" s="5">
        <f t="shared" si="6"/>
        <v>89266</v>
      </c>
      <c r="S191" s="5">
        <f t="shared" si="7"/>
        <v>89266</v>
      </c>
      <c r="T191" s="5">
        <f t="shared" si="8"/>
        <v>0</v>
      </c>
    </row>
    <row r="192" spans="1:20">
      <c r="A192" s="2" t="s">
        <v>505</v>
      </c>
      <c r="B192" s="2" t="s">
        <v>555</v>
      </c>
      <c r="C192" s="2" t="s">
        <v>73</v>
      </c>
      <c r="D192" s="16">
        <v>30</v>
      </c>
      <c r="E192" s="2" t="s">
        <v>518</v>
      </c>
      <c r="F192" s="2" t="s">
        <v>553</v>
      </c>
      <c r="G192" s="2" t="s">
        <v>556</v>
      </c>
      <c r="H192" s="17">
        <v>120774</v>
      </c>
      <c r="I192" s="2"/>
      <c r="J192" s="2"/>
      <c r="K192" s="17">
        <v>120774</v>
      </c>
      <c r="L192" s="17">
        <v>12940.07</v>
      </c>
      <c r="M192" s="17">
        <v>107833.93</v>
      </c>
      <c r="N192" s="17">
        <v>120774</v>
      </c>
      <c r="O192" s="2"/>
      <c r="P192" s="2"/>
      <c r="Q192" s="2" t="s">
        <v>19</v>
      </c>
      <c r="R192" s="5">
        <f t="shared" si="6"/>
        <v>120774</v>
      </c>
      <c r="S192" s="5">
        <f t="shared" si="7"/>
        <v>120774</v>
      </c>
      <c r="T192" s="5">
        <f t="shared" si="8"/>
        <v>0</v>
      </c>
    </row>
    <row r="193" spans="1:20">
      <c r="A193" s="2" t="s">
        <v>505</v>
      </c>
      <c r="B193" s="2" t="s">
        <v>557</v>
      </c>
      <c r="C193" s="2" t="s">
        <v>94</v>
      </c>
      <c r="D193" s="16">
        <v>0</v>
      </c>
      <c r="E193" s="2" t="s">
        <v>505</v>
      </c>
      <c r="F193" s="2" t="s">
        <v>558</v>
      </c>
      <c r="G193" s="2" t="s">
        <v>559</v>
      </c>
      <c r="H193" s="17">
        <v>250000</v>
      </c>
      <c r="I193" s="2"/>
      <c r="J193" s="2"/>
      <c r="K193" s="17">
        <v>250000</v>
      </c>
      <c r="L193" s="17">
        <v>26785.71</v>
      </c>
      <c r="M193" s="17">
        <v>223214.29</v>
      </c>
      <c r="N193" s="17">
        <v>250000</v>
      </c>
      <c r="O193" s="2"/>
      <c r="P193" s="2"/>
      <c r="Q193" s="2" t="s">
        <v>46</v>
      </c>
      <c r="R193" s="5">
        <f t="shared" si="6"/>
        <v>250000</v>
      </c>
      <c r="S193" s="5">
        <f t="shared" si="7"/>
        <v>250000</v>
      </c>
      <c r="T193" s="5">
        <f t="shared" si="8"/>
        <v>0</v>
      </c>
    </row>
    <row r="194" spans="1:20">
      <c r="A194" s="2" t="s">
        <v>505</v>
      </c>
      <c r="B194" s="2" t="s">
        <v>560</v>
      </c>
      <c r="C194" s="2" t="s">
        <v>94</v>
      </c>
      <c r="D194" s="16">
        <v>0</v>
      </c>
      <c r="E194" s="2" t="s">
        <v>505</v>
      </c>
      <c r="F194" s="2" t="s">
        <v>558</v>
      </c>
      <c r="G194" s="2" t="s">
        <v>561</v>
      </c>
      <c r="H194" s="17">
        <v>250000</v>
      </c>
      <c r="I194" s="2"/>
      <c r="J194" s="2"/>
      <c r="K194" s="17">
        <v>250000</v>
      </c>
      <c r="L194" s="17">
        <v>26785.71</v>
      </c>
      <c r="M194" s="17">
        <v>223214.29</v>
      </c>
      <c r="N194" s="17">
        <v>250000</v>
      </c>
      <c r="O194" s="2"/>
      <c r="P194" s="2"/>
      <c r="Q194" s="2" t="s">
        <v>46</v>
      </c>
      <c r="R194" s="5">
        <f t="shared" si="6"/>
        <v>250000</v>
      </c>
      <c r="S194" s="5">
        <f t="shared" si="7"/>
        <v>250000</v>
      </c>
      <c r="T194" s="5">
        <f t="shared" si="8"/>
        <v>0</v>
      </c>
    </row>
    <row r="195" spans="1:20">
      <c r="A195" s="2" t="s">
        <v>505</v>
      </c>
      <c r="B195" s="2" t="s">
        <v>562</v>
      </c>
      <c r="C195" s="2" t="s">
        <v>29</v>
      </c>
      <c r="D195" s="16">
        <v>0</v>
      </c>
      <c r="E195" s="2" t="s">
        <v>505</v>
      </c>
      <c r="F195" s="2" t="s">
        <v>140</v>
      </c>
      <c r="G195" s="2" t="s">
        <v>563</v>
      </c>
      <c r="H195" s="17">
        <v>12142</v>
      </c>
      <c r="I195" s="2"/>
      <c r="J195" s="2"/>
      <c r="K195" s="17">
        <v>12142</v>
      </c>
      <c r="L195" s="17">
        <v>1300.93</v>
      </c>
      <c r="M195" s="17">
        <v>10841.07</v>
      </c>
      <c r="N195" s="17">
        <v>12142</v>
      </c>
      <c r="O195" s="2"/>
      <c r="P195" s="2"/>
      <c r="Q195" s="2" t="s">
        <v>139</v>
      </c>
      <c r="R195" s="5">
        <f t="shared" si="6"/>
        <v>12142</v>
      </c>
      <c r="S195" s="5">
        <f t="shared" si="7"/>
        <v>12142</v>
      </c>
      <c r="T195" s="5">
        <f t="shared" si="8"/>
        <v>0</v>
      </c>
    </row>
    <row r="196" spans="1:20">
      <c r="A196" s="2" t="s">
        <v>505</v>
      </c>
      <c r="B196" s="2" t="s">
        <v>564</v>
      </c>
      <c r="C196" s="2" t="s">
        <v>73</v>
      </c>
      <c r="D196" s="16">
        <v>30</v>
      </c>
      <c r="E196" s="2" t="s">
        <v>518</v>
      </c>
      <c r="F196" s="2" t="s">
        <v>267</v>
      </c>
      <c r="G196" s="2" t="s">
        <v>485</v>
      </c>
      <c r="H196" s="17">
        <v>120600</v>
      </c>
      <c r="I196" s="2"/>
      <c r="J196" s="2"/>
      <c r="K196" s="17">
        <v>120600</v>
      </c>
      <c r="L196" s="17">
        <v>12921.43</v>
      </c>
      <c r="M196" s="17">
        <v>107678.57</v>
      </c>
      <c r="N196" s="17">
        <v>120600</v>
      </c>
      <c r="O196" s="2"/>
      <c r="P196" s="2"/>
      <c r="Q196" s="2" t="s">
        <v>19</v>
      </c>
      <c r="R196" s="5">
        <f t="shared" si="6"/>
        <v>120600</v>
      </c>
      <c r="S196" s="5">
        <f t="shared" si="7"/>
        <v>120600</v>
      </c>
      <c r="T196" s="5">
        <f t="shared" si="8"/>
        <v>0</v>
      </c>
    </row>
    <row r="197" spans="1:20">
      <c r="A197" s="2" t="s">
        <v>505</v>
      </c>
      <c r="B197" s="2" t="s">
        <v>565</v>
      </c>
      <c r="C197" s="2" t="s">
        <v>29</v>
      </c>
      <c r="D197" s="16">
        <v>0</v>
      </c>
      <c r="E197" s="2" t="s">
        <v>505</v>
      </c>
      <c r="F197" s="2" t="s">
        <v>31</v>
      </c>
      <c r="G197" s="2" t="s">
        <v>566</v>
      </c>
      <c r="H197" s="17">
        <v>41600</v>
      </c>
      <c r="I197" s="2"/>
      <c r="J197" s="2"/>
      <c r="K197" s="17">
        <v>41600</v>
      </c>
      <c r="L197" s="17">
        <v>4457.1400000000003</v>
      </c>
      <c r="M197" s="17">
        <v>37142.86</v>
      </c>
      <c r="N197" s="17">
        <v>41600</v>
      </c>
      <c r="O197" s="2"/>
      <c r="P197" s="2"/>
      <c r="Q197" s="2" t="s">
        <v>30</v>
      </c>
      <c r="R197" s="5">
        <f t="shared" si="6"/>
        <v>41600</v>
      </c>
      <c r="S197" s="5">
        <f t="shared" si="7"/>
        <v>41600</v>
      </c>
      <c r="T197" s="5">
        <f t="shared" si="8"/>
        <v>0</v>
      </c>
    </row>
    <row r="198" spans="1:20">
      <c r="A198" s="2" t="s">
        <v>505</v>
      </c>
      <c r="B198" s="2" t="s">
        <v>567</v>
      </c>
      <c r="C198" s="2" t="s">
        <v>29</v>
      </c>
      <c r="D198" s="16">
        <v>0</v>
      </c>
      <c r="E198" s="2" t="s">
        <v>505</v>
      </c>
      <c r="F198" s="2" t="s">
        <v>155</v>
      </c>
      <c r="G198" s="2" t="s">
        <v>568</v>
      </c>
      <c r="H198" s="17">
        <v>100352</v>
      </c>
      <c r="I198" s="2"/>
      <c r="J198" s="2"/>
      <c r="K198" s="17">
        <v>100352</v>
      </c>
      <c r="L198" s="17">
        <v>10752</v>
      </c>
      <c r="M198" s="17">
        <v>89600</v>
      </c>
      <c r="N198" s="17">
        <v>100352</v>
      </c>
      <c r="O198" s="2"/>
      <c r="P198" s="2"/>
      <c r="Q198" s="2" t="s">
        <v>30</v>
      </c>
      <c r="R198" s="5">
        <f t="shared" ref="R198:R261" si="9">+J198+K198</f>
        <v>100352</v>
      </c>
      <c r="S198" s="5">
        <f t="shared" ref="S198:S261" si="10">+N198</f>
        <v>100352</v>
      </c>
      <c r="T198" s="5">
        <f t="shared" ref="T198:T261" si="11">+R198-S198</f>
        <v>0</v>
      </c>
    </row>
    <row r="199" spans="1:20">
      <c r="A199" s="2" t="s">
        <v>505</v>
      </c>
      <c r="B199" s="2" t="s">
        <v>569</v>
      </c>
      <c r="C199" s="2" t="s">
        <v>29</v>
      </c>
      <c r="D199" s="16">
        <v>0</v>
      </c>
      <c r="E199" s="2" t="s">
        <v>505</v>
      </c>
      <c r="F199" s="2" t="s">
        <v>31</v>
      </c>
      <c r="G199" s="2" t="s">
        <v>570</v>
      </c>
      <c r="H199" s="17">
        <v>99186</v>
      </c>
      <c r="I199" s="2"/>
      <c r="J199" s="2"/>
      <c r="K199" s="17">
        <v>99186</v>
      </c>
      <c r="L199" s="17">
        <v>10627.07</v>
      </c>
      <c r="M199" s="17">
        <v>88558.93</v>
      </c>
      <c r="N199" s="17">
        <v>99186</v>
      </c>
      <c r="O199" s="2"/>
      <c r="P199" s="2"/>
      <c r="Q199" s="2" t="s">
        <v>30</v>
      </c>
      <c r="R199" s="5">
        <f t="shared" si="9"/>
        <v>99186</v>
      </c>
      <c r="S199" s="5">
        <f t="shared" si="10"/>
        <v>99186</v>
      </c>
      <c r="T199" s="5">
        <f t="shared" si="11"/>
        <v>0</v>
      </c>
    </row>
    <row r="200" spans="1:20">
      <c r="A200" s="2" t="s">
        <v>505</v>
      </c>
      <c r="B200" s="2" t="s">
        <v>571</v>
      </c>
      <c r="C200" s="2" t="s">
        <v>167</v>
      </c>
      <c r="D200" s="16">
        <v>90</v>
      </c>
      <c r="E200" s="2" t="s">
        <v>532</v>
      </c>
      <c r="F200" s="2" t="s">
        <v>190</v>
      </c>
      <c r="G200" s="2" t="s">
        <v>572</v>
      </c>
      <c r="H200" s="17">
        <v>260736</v>
      </c>
      <c r="I200" s="2"/>
      <c r="J200" s="2"/>
      <c r="K200" s="17">
        <v>260736</v>
      </c>
      <c r="L200" s="17">
        <v>27936</v>
      </c>
      <c r="M200" s="17">
        <v>232800</v>
      </c>
      <c r="N200" s="17">
        <v>260736</v>
      </c>
      <c r="O200" s="2"/>
      <c r="P200" s="2"/>
      <c r="Q200" s="2" t="s">
        <v>56</v>
      </c>
      <c r="R200" s="5">
        <f t="shared" si="9"/>
        <v>260736</v>
      </c>
      <c r="S200" s="5">
        <f t="shared" si="10"/>
        <v>260736</v>
      </c>
      <c r="T200" s="5">
        <f t="shared" si="11"/>
        <v>0</v>
      </c>
    </row>
    <row r="201" spans="1:20">
      <c r="A201" s="2" t="s">
        <v>505</v>
      </c>
      <c r="B201" s="2" t="s">
        <v>573</v>
      </c>
      <c r="C201" s="2" t="s">
        <v>68</v>
      </c>
      <c r="D201" s="16">
        <v>60</v>
      </c>
      <c r="E201" s="2" t="s">
        <v>509</v>
      </c>
      <c r="F201" s="2" t="s">
        <v>574</v>
      </c>
      <c r="G201" s="2" t="s">
        <v>575</v>
      </c>
      <c r="H201" s="17">
        <v>988600</v>
      </c>
      <c r="I201" s="2"/>
      <c r="J201" s="2"/>
      <c r="K201" s="17">
        <v>988600</v>
      </c>
      <c r="L201" s="17">
        <v>105921.43</v>
      </c>
      <c r="M201" s="17">
        <v>882678.57</v>
      </c>
      <c r="N201" s="17">
        <v>988600</v>
      </c>
      <c r="O201" s="2"/>
      <c r="P201" s="2"/>
      <c r="Q201" s="2" t="s">
        <v>69</v>
      </c>
      <c r="R201" s="5">
        <f t="shared" si="9"/>
        <v>988600</v>
      </c>
      <c r="S201" s="5">
        <f t="shared" si="10"/>
        <v>988600</v>
      </c>
      <c r="T201" s="5">
        <f t="shared" si="11"/>
        <v>0</v>
      </c>
    </row>
    <row r="202" spans="1:20">
      <c r="A202" s="2" t="s">
        <v>505</v>
      </c>
      <c r="B202" s="2" t="s">
        <v>576</v>
      </c>
      <c r="C202" s="2" t="s">
        <v>68</v>
      </c>
      <c r="D202" s="16">
        <v>60</v>
      </c>
      <c r="E202" s="2" t="s">
        <v>509</v>
      </c>
      <c r="F202" s="2" t="s">
        <v>578</v>
      </c>
      <c r="G202" s="2" t="s">
        <v>579</v>
      </c>
      <c r="H202" s="17">
        <v>1978634</v>
      </c>
      <c r="I202" s="2"/>
      <c r="J202" s="2"/>
      <c r="K202" s="17">
        <v>1978634</v>
      </c>
      <c r="L202" s="17">
        <v>211996.5</v>
      </c>
      <c r="M202" s="17">
        <v>1766637.5</v>
      </c>
      <c r="N202" s="17">
        <v>1978634</v>
      </c>
      <c r="O202" s="2"/>
      <c r="P202" s="2"/>
      <c r="Q202" s="2" t="s">
        <v>577</v>
      </c>
      <c r="R202" s="5">
        <f t="shared" si="9"/>
        <v>1978634</v>
      </c>
      <c r="S202" s="5">
        <f t="shared" si="10"/>
        <v>1978634</v>
      </c>
      <c r="T202" s="5">
        <f t="shared" si="11"/>
        <v>0</v>
      </c>
    </row>
    <row r="203" spans="1:20">
      <c r="A203" s="2" t="s">
        <v>505</v>
      </c>
      <c r="B203" s="2" t="s">
        <v>580</v>
      </c>
      <c r="C203" s="2" t="s">
        <v>18</v>
      </c>
      <c r="D203" s="16">
        <v>0</v>
      </c>
      <c r="E203" s="2" t="s">
        <v>505</v>
      </c>
      <c r="F203" s="2" t="s">
        <v>581</v>
      </c>
      <c r="G203" s="2" t="s">
        <v>582</v>
      </c>
      <c r="H203" s="17">
        <v>151200</v>
      </c>
      <c r="I203" s="2"/>
      <c r="J203" s="2"/>
      <c r="K203" s="17">
        <v>151200</v>
      </c>
      <c r="L203" s="17">
        <v>16200</v>
      </c>
      <c r="M203" s="17">
        <v>135000</v>
      </c>
      <c r="N203" s="17">
        <v>151200</v>
      </c>
      <c r="O203" s="2"/>
      <c r="P203" s="2"/>
      <c r="Q203" s="2" t="s">
        <v>30</v>
      </c>
      <c r="R203" s="5">
        <f t="shared" si="9"/>
        <v>151200</v>
      </c>
      <c r="S203" s="5">
        <f t="shared" si="10"/>
        <v>151200</v>
      </c>
      <c r="T203" s="5">
        <f t="shared" si="11"/>
        <v>0</v>
      </c>
    </row>
    <row r="204" spans="1:20">
      <c r="A204" s="2" t="s">
        <v>505</v>
      </c>
      <c r="B204" s="2" t="s">
        <v>583</v>
      </c>
      <c r="C204" s="2" t="s">
        <v>18</v>
      </c>
      <c r="D204" s="16">
        <v>0</v>
      </c>
      <c r="E204" s="2" t="s">
        <v>505</v>
      </c>
      <c r="F204" s="2" t="s">
        <v>581</v>
      </c>
      <c r="G204" s="2" t="s">
        <v>584</v>
      </c>
      <c r="H204" s="17">
        <v>23800</v>
      </c>
      <c r="I204" s="2"/>
      <c r="J204" s="2"/>
      <c r="K204" s="17">
        <v>23800</v>
      </c>
      <c r="L204" s="17">
        <v>2550</v>
      </c>
      <c r="M204" s="17">
        <v>21250</v>
      </c>
      <c r="N204" s="17">
        <v>23800</v>
      </c>
      <c r="O204" s="2"/>
      <c r="P204" s="2"/>
      <c r="Q204" s="2" t="s">
        <v>30</v>
      </c>
      <c r="R204" s="5">
        <f t="shared" si="9"/>
        <v>23800</v>
      </c>
      <c r="S204" s="5">
        <f t="shared" si="10"/>
        <v>23800</v>
      </c>
      <c r="T204" s="5">
        <f t="shared" si="11"/>
        <v>0</v>
      </c>
    </row>
    <row r="205" spans="1:20">
      <c r="A205" s="2" t="s">
        <v>505</v>
      </c>
      <c r="B205" s="2" t="s">
        <v>585</v>
      </c>
      <c r="C205" s="2" t="s">
        <v>18</v>
      </c>
      <c r="D205" s="16">
        <v>0</v>
      </c>
      <c r="E205" s="2" t="s">
        <v>505</v>
      </c>
      <c r="F205" s="2" t="s">
        <v>586</v>
      </c>
      <c r="G205" s="2" t="s">
        <v>587</v>
      </c>
      <c r="H205" s="17">
        <v>140000</v>
      </c>
      <c r="I205" s="2"/>
      <c r="J205" s="2"/>
      <c r="K205" s="17">
        <v>140000</v>
      </c>
      <c r="L205" s="17">
        <v>15000</v>
      </c>
      <c r="M205" s="17">
        <v>125000</v>
      </c>
      <c r="N205" s="17">
        <v>140000</v>
      </c>
      <c r="O205" s="2"/>
      <c r="P205" s="2"/>
      <c r="Q205" s="2" t="s">
        <v>30</v>
      </c>
      <c r="R205" s="5">
        <f t="shared" si="9"/>
        <v>140000</v>
      </c>
      <c r="S205" s="5">
        <f t="shared" si="10"/>
        <v>140000</v>
      </c>
      <c r="T205" s="5">
        <f t="shared" si="11"/>
        <v>0</v>
      </c>
    </row>
    <row r="206" spans="1:20">
      <c r="A206" s="2" t="s">
        <v>505</v>
      </c>
      <c r="B206" s="2" t="s">
        <v>588</v>
      </c>
      <c r="C206" s="2" t="s">
        <v>146</v>
      </c>
      <c r="D206" s="16">
        <v>90</v>
      </c>
      <c r="E206" s="2" t="s">
        <v>532</v>
      </c>
      <c r="F206" s="2" t="s">
        <v>589</v>
      </c>
      <c r="G206" s="2" t="s">
        <v>590</v>
      </c>
      <c r="H206" s="17">
        <v>533750</v>
      </c>
      <c r="I206" s="2"/>
      <c r="J206" s="2"/>
      <c r="K206" s="17">
        <v>533750</v>
      </c>
      <c r="L206" s="17">
        <v>57187.5</v>
      </c>
      <c r="M206" s="17">
        <v>476562.5</v>
      </c>
      <c r="N206" s="17">
        <v>533750</v>
      </c>
      <c r="O206" s="2"/>
      <c r="P206" s="2"/>
      <c r="Q206" s="2" t="s">
        <v>139</v>
      </c>
      <c r="R206" s="5">
        <f t="shared" si="9"/>
        <v>533750</v>
      </c>
      <c r="S206" s="5">
        <f t="shared" si="10"/>
        <v>533750</v>
      </c>
      <c r="T206" s="5">
        <f t="shared" si="11"/>
        <v>0</v>
      </c>
    </row>
    <row r="207" spans="1:20">
      <c r="A207" s="2" t="s">
        <v>505</v>
      </c>
      <c r="B207" s="2" t="s">
        <v>591</v>
      </c>
      <c r="C207" s="2" t="s">
        <v>68</v>
      </c>
      <c r="D207" s="16">
        <v>60</v>
      </c>
      <c r="E207" s="2" t="s">
        <v>509</v>
      </c>
      <c r="F207" s="2" t="s">
        <v>574</v>
      </c>
      <c r="G207" s="2" t="s">
        <v>592</v>
      </c>
      <c r="H207" s="17">
        <v>70510</v>
      </c>
      <c r="I207" s="2"/>
      <c r="J207" s="2"/>
      <c r="K207" s="17">
        <v>70510</v>
      </c>
      <c r="L207" s="17">
        <v>7554.64</v>
      </c>
      <c r="M207" s="17">
        <v>62955.360000000001</v>
      </c>
      <c r="N207" s="17">
        <v>70510</v>
      </c>
      <c r="O207" s="2"/>
      <c r="P207" s="2"/>
      <c r="Q207" s="2" t="s">
        <v>69</v>
      </c>
      <c r="R207" s="5">
        <f t="shared" si="9"/>
        <v>70510</v>
      </c>
      <c r="S207" s="5">
        <f t="shared" si="10"/>
        <v>70510</v>
      </c>
      <c r="T207" s="5">
        <f t="shared" si="11"/>
        <v>0</v>
      </c>
    </row>
    <row r="208" spans="1:20">
      <c r="A208" s="2" t="s">
        <v>505</v>
      </c>
      <c r="B208" s="2" t="s">
        <v>593</v>
      </c>
      <c r="C208" s="2" t="s">
        <v>68</v>
      </c>
      <c r="D208" s="16">
        <v>60</v>
      </c>
      <c r="E208" s="2" t="s">
        <v>509</v>
      </c>
      <c r="F208" s="2" t="s">
        <v>574</v>
      </c>
      <c r="G208" s="2" t="s">
        <v>594</v>
      </c>
      <c r="H208" s="17">
        <v>2221065</v>
      </c>
      <c r="I208" s="2"/>
      <c r="J208" s="2"/>
      <c r="K208" s="17">
        <v>2221065</v>
      </c>
      <c r="L208" s="17">
        <v>237971.25</v>
      </c>
      <c r="M208" s="17">
        <v>1983093.75</v>
      </c>
      <c r="N208" s="17">
        <v>2221065</v>
      </c>
      <c r="O208" s="2"/>
      <c r="P208" s="2"/>
      <c r="Q208" s="2" t="s">
        <v>69</v>
      </c>
      <c r="R208" s="5">
        <f t="shared" si="9"/>
        <v>2221065</v>
      </c>
      <c r="S208" s="5">
        <f t="shared" si="10"/>
        <v>2221065</v>
      </c>
      <c r="T208" s="5">
        <f t="shared" si="11"/>
        <v>0</v>
      </c>
    </row>
    <row r="209" spans="1:20">
      <c r="A209" s="2" t="s">
        <v>596</v>
      </c>
      <c r="B209" s="2" t="s">
        <v>595</v>
      </c>
      <c r="C209" s="2" t="s">
        <v>146</v>
      </c>
      <c r="D209" s="16">
        <v>90</v>
      </c>
      <c r="E209" s="2" t="s">
        <v>597</v>
      </c>
      <c r="F209" s="2" t="s">
        <v>598</v>
      </c>
      <c r="G209" s="2" t="s">
        <v>599</v>
      </c>
      <c r="H209" s="17">
        <v>53721</v>
      </c>
      <c r="I209" s="2"/>
      <c r="J209" s="2"/>
      <c r="K209" s="17">
        <v>53721</v>
      </c>
      <c r="L209" s="17">
        <v>5755.82</v>
      </c>
      <c r="M209" s="17">
        <v>47965.18</v>
      </c>
      <c r="N209" s="17">
        <v>53721</v>
      </c>
      <c r="O209" s="2"/>
      <c r="P209" s="2"/>
      <c r="Q209" s="2" t="s">
        <v>270</v>
      </c>
      <c r="R209" s="5">
        <f t="shared" si="9"/>
        <v>53721</v>
      </c>
      <c r="S209" s="5">
        <f t="shared" si="10"/>
        <v>53721</v>
      </c>
      <c r="T209" s="5">
        <f t="shared" si="11"/>
        <v>0</v>
      </c>
    </row>
    <row r="210" spans="1:20">
      <c r="A210" s="2" t="s">
        <v>596</v>
      </c>
      <c r="B210" s="2" t="s">
        <v>600</v>
      </c>
      <c r="C210" s="2" t="s">
        <v>98</v>
      </c>
      <c r="D210" s="16">
        <v>0</v>
      </c>
      <c r="E210" s="2" t="s">
        <v>596</v>
      </c>
      <c r="F210" s="2" t="s">
        <v>392</v>
      </c>
      <c r="G210" s="2" t="s">
        <v>601</v>
      </c>
      <c r="H210" s="17">
        <v>340975</v>
      </c>
      <c r="I210" s="2"/>
      <c r="J210" s="2"/>
      <c r="K210" s="17">
        <v>340975</v>
      </c>
      <c r="L210" s="17">
        <v>36533.040000000001</v>
      </c>
      <c r="M210" s="17">
        <v>304441.96000000002</v>
      </c>
      <c r="N210" s="17">
        <v>340975</v>
      </c>
      <c r="O210" s="2"/>
      <c r="P210" s="2"/>
      <c r="Q210" s="2" t="s">
        <v>46</v>
      </c>
      <c r="R210" s="5">
        <f t="shared" si="9"/>
        <v>340975</v>
      </c>
      <c r="S210" s="5">
        <f t="shared" si="10"/>
        <v>340975</v>
      </c>
      <c r="T210" s="5">
        <f t="shared" si="11"/>
        <v>0</v>
      </c>
    </row>
    <row r="211" spans="1:20">
      <c r="A211" s="2" t="s">
        <v>596</v>
      </c>
      <c r="B211" s="2" t="s">
        <v>602</v>
      </c>
      <c r="C211" s="2" t="s">
        <v>167</v>
      </c>
      <c r="D211" s="16">
        <v>90</v>
      </c>
      <c r="E211" s="2" t="s">
        <v>597</v>
      </c>
      <c r="F211" s="2" t="s">
        <v>190</v>
      </c>
      <c r="G211" s="2" t="s">
        <v>603</v>
      </c>
      <c r="H211" s="17">
        <v>313116</v>
      </c>
      <c r="I211" s="2"/>
      <c r="J211" s="2"/>
      <c r="K211" s="17">
        <v>313116</v>
      </c>
      <c r="L211" s="17">
        <v>33548.14</v>
      </c>
      <c r="M211" s="17">
        <v>279567.86</v>
      </c>
      <c r="N211" s="17">
        <v>313116</v>
      </c>
      <c r="O211" s="2"/>
      <c r="P211" s="2"/>
      <c r="Q211" s="2" t="s">
        <v>56</v>
      </c>
      <c r="R211" s="5">
        <f t="shared" si="9"/>
        <v>313116</v>
      </c>
      <c r="S211" s="5">
        <f t="shared" si="10"/>
        <v>313116</v>
      </c>
      <c r="T211" s="5">
        <f t="shared" si="11"/>
        <v>0</v>
      </c>
    </row>
    <row r="212" spans="1:20">
      <c r="A212" s="2" t="s">
        <v>596</v>
      </c>
      <c r="B212" s="2" t="s">
        <v>604</v>
      </c>
      <c r="C212" s="2" t="s">
        <v>60</v>
      </c>
      <c r="D212" s="16">
        <v>0</v>
      </c>
      <c r="E212" s="2" t="s">
        <v>596</v>
      </c>
      <c r="F212" s="2" t="s">
        <v>605</v>
      </c>
      <c r="G212" s="2" t="s">
        <v>606</v>
      </c>
      <c r="H212" s="17">
        <v>117620</v>
      </c>
      <c r="I212" s="2"/>
      <c r="J212" s="2"/>
      <c r="K212" s="17">
        <v>117620</v>
      </c>
      <c r="L212" s="17">
        <v>12602.14</v>
      </c>
      <c r="M212" s="17">
        <v>105017.86</v>
      </c>
      <c r="N212" s="17">
        <v>117620</v>
      </c>
      <c r="O212" s="2"/>
      <c r="P212" s="2"/>
      <c r="Q212" s="2" t="s">
        <v>56</v>
      </c>
      <c r="R212" s="5">
        <f t="shared" si="9"/>
        <v>117620</v>
      </c>
      <c r="S212" s="5">
        <f t="shared" si="10"/>
        <v>117620</v>
      </c>
      <c r="T212" s="5">
        <f t="shared" si="11"/>
        <v>0</v>
      </c>
    </row>
    <row r="213" spans="1:20">
      <c r="A213" s="2" t="s">
        <v>596</v>
      </c>
      <c r="B213" s="2" t="s">
        <v>607</v>
      </c>
      <c r="C213" s="2" t="s">
        <v>60</v>
      </c>
      <c r="D213" s="16">
        <v>0</v>
      </c>
      <c r="E213" s="2" t="s">
        <v>596</v>
      </c>
      <c r="F213" s="2" t="s">
        <v>608</v>
      </c>
      <c r="G213" s="2" t="s">
        <v>609</v>
      </c>
      <c r="H213" s="17">
        <v>142360</v>
      </c>
      <c r="I213" s="19">
        <v>-2847.2</v>
      </c>
      <c r="J213" s="2"/>
      <c r="K213" s="17">
        <v>139512.79999999999</v>
      </c>
      <c r="L213" s="17">
        <v>14947.8</v>
      </c>
      <c r="M213" s="17">
        <v>124565</v>
      </c>
      <c r="N213" s="17">
        <v>139512.79999999999</v>
      </c>
      <c r="O213" s="2"/>
      <c r="P213" s="2"/>
      <c r="Q213" s="2" t="s">
        <v>329</v>
      </c>
      <c r="R213" s="5">
        <f t="shared" si="9"/>
        <v>139512.79999999999</v>
      </c>
      <c r="S213" s="5">
        <f t="shared" si="10"/>
        <v>139512.79999999999</v>
      </c>
      <c r="T213" s="5">
        <f t="shared" si="11"/>
        <v>0</v>
      </c>
    </row>
    <row r="214" spans="1:20">
      <c r="A214" s="2" t="s">
        <v>596</v>
      </c>
      <c r="B214" s="2" t="s">
        <v>610</v>
      </c>
      <c r="C214" s="2" t="s">
        <v>60</v>
      </c>
      <c r="D214" s="16">
        <v>0</v>
      </c>
      <c r="E214" s="2" t="s">
        <v>596</v>
      </c>
      <c r="F214" s="2" t="s">
        <v>608</v>
      </c>
      <c r="G214" s="2" t="s">
        <v>611</v>
      </c>
      <c r="H214" s="17">
        <v>31906</v>
      </c>
      <c r="I214" s="19">
        <v>-638.12</v>
      </c>
      <c r="J214" s="2"/>
      <c r="K214" s="17">
        <v>31267.88</v>
      </c>
      <c r="L214" s="17">
        <v>3350.13</v>
      </c>
      <c r="M214" s="17">
        <v>27917.75</v>
      </c>
      <c r="N214" s="17">
        <v>31267.88</v>
      </c>
      <c r="O214" s="2"/>
      <c r="P214" s="2"/>
      <c r="Q214" s="2" t="s">
        <v>329</v>
      </c>
      <c r="R214" s="5">
        <f t="shared" si="9"/>
        <v>31267.88</v>
      </c>
      <c r="S214" s="5">
        <f t="shared" si="10"/>
        <v>31267.88</v>
      </c>
      <c r="T214" s="5">
        <f t="shared" si="11"/>
        <v>0</v>
      </c>
    </row>
    <row r="215" spans="1:20">
      <c r="A215" s="2" t="s">
        <v>596</v>
      </c>
      <c r="B215" s="2" t="s">
        <v>612</v>
      </c>
      <c r="C215" s="2" t="s">
        <v>151</v>
      </c>
      <c r="D215" s="16">
        <v>60</v>
      </c>
      <c r="E215" s="2" t="s">
        <v>613</v>
      </c>
      <c r="F215" s="2" t="s">
        <v>614</v>
      </c>
      <c r="G215" s="2" t="s">
        <v>615</v>
      </c>
      <c r="H215" s="17">
        <v>75600</v>
      </c>
      <c r="I215" s="2"/>
      <c r="J215" s="2"/>
      <c r="K215" s="17">
        <v>75600</v>
      </c>
      <c r="L215" s="17">
        <v>8100</v>
      </c>
      <c r="M215" s="17">
        <v>67500</v>
      </c>
      <c r="N215" s="17">
        <v>75600</v>
      </c>
      <c r="O215" s="2"/>
      <c r="P215" s="2"/>
      <c r="Q215" s="2" t="s">
        <v>30</v>
      </c>
      <c r="R215" s="5">
        <f t="shared" si="9"/>
        <v>75600</v>
      </c>
      <c r="S215" s="5">
        <f t="shared" si="10"/>
        <v>75600</v>
      </c>
      <c r="T215" s="5">
        <f t="shared" si="11"/>
        <v>0</v>
      </c>
    </row>
    <row r="216" spans="1:20">
      <c r="A216" s="2" t="s">
        <v>596</v>
      </c>
      <c r="B216" s="2" t="s">
        <v>616</v>
      </c>
      <c r="C216" s="2" t="s">
        <v>162</v>
      </c>
      <c r="D216" s="16">
        <v>90</v>
      </c>
      <c r="E216" s="2" t="s">
        <v>597</v>
      </c>
      <c r="F216" s="2" t="s">
        <v>399</v>
      </c>
      <c r="G216" s="2" t="s">
        <v>617</v>
      </c>
      <c r="H216" s="17">
        <v>24500</v>
      </c>
      <c r="I216" s="2"/>
      <c r="J216" s="2"/>
      <c r="K216" s="17">
        <v>24500</v>
      </c>
      <c r="L216" s="17">
        <v>2625</v>
      </c>
      <c r="M216" s="17">
        <v>21875</v>
      </c>
      <c r="N216" s="17">
        <v>24500</v>
      </c>
      <c r="O216" s="2"/>
      <c r="P216" s="2"/>
      <c r="Q216" s="2" t="s">
        <v>204</v>
      </c>
      <c r="R216" s="5">
        <f t="shared" si="9"/>
        <v>24500</v>
      </c>
      <c r="S216" s="5">
        <f t="shared" si="10"/>
        <v>24500</v>
      </c>
      <c r="T216" s="5">
        <f t="shared" si="11"/>
        <v>0</v>
      </c>
    </row>
    <row r="217" spans="1:20">
      <c r="A217" s="2" t="s">
        <v>596</v>
      </c>
      <c r="B217" s="2" t="s">
        <v>618</v>
      </c>
      <c r="C217" s="2" t="s">
        <v>243</v>
      </c>
      <c r="D217" s="16">
        <v>30</v>
      </c>
      <c r="E217" s="2" t="s">
        <v>619</v>
      </c>
      <c r="F217" s="2" t="s">
        <v>620</v>
      </c>
      <c r="G217" s="2" t="s">
        <v>621</v>
      </c>
      <c r="H217" s="17">
        <v>91230</v>
      </c>
      <c r="I217" s="2"/>
      <c r="J217" s="2"/>
      <c r="K217" s="17">
        <v>91230</v>
      </c>
      <c r="L217" s="17">
        <v>9774.64</v>
      </c>
      <c r="M217" s="17">
        <v>81455.360000000001</v>
      </c>
      <c r="N217" s="17">
        <v>91230</v>
      </c>
      <c r="O217" s="2"/>
      <c r="P217" s="2"/>
      <c r="Q217" s="2" t="s">
        <v>139</v>
      </c>
      <c r="R217" s="5">
        <f t="shared" si="9"/>
        <v>91230</v>
      </c>
      <c r="S217" s="5">
        <f t="shared" si="10"/>
        <v>91230</v>
      </c>
      <c r="T217" s="5">
        <f t="shared" si="11"/>
        <v>0</v>
      </c>
    </row>
    <row r="218" spans="1:20">
      <c r="A218" s="2" t="s">
        <v>596</v>
      </c>
      <c r="B218" s="2" t="s">
        <v>622</v>
      </c>
      <c r="C218" s="2" t="s">
        <v>29</v>
      </c>
      <c r="D218" s="16">
        <v>0</v>
      </c>
      <c r="E218" s="2" t="s">
        <v>596</v>
      </c>
      <c r="F218" s="2" t="s">
        <v>51</v>
      </c>
      <c r="G218" s="2" t="s">
        <v>623</v>
      </c>
      <c r="H218" s="17">
        <v>11657.2</v>
      </c>
      <c r="I218" s="2"/>
      <c r="J218" s="17">
        <v>11657.2</v>
      </c>
      <c r="K218" s="2">
        <v>0</v>
      </c>
      <c r="L218" s="17">
        <v>1248.99</v>
      </c>
      <c r="M218" s="17">
        <v>10408.209999999999</v>
      </c>
      <c r="N218" s="17">
        <v>11657.2</v>
      </c>
      <c r="O218" s="2"/>
      <c r="P218" s="2" t="s">
        <v>1767</v>
      </c>
      <c r="Q218" s="2" t="s">
        <v>50</v>
      </c>
      <c r="R218" s="5">
        <f t="shared" si="9"/>
        <v>11657.2</v>
      </c>
      <c r="S218" s="5">
        <f t="shared" si="10"/>
        <v>11657.2</v>
      </c>
      <c r="T218" s="5">
        <f t="shared" si="11"/>
        <v>0</v>
      </c>
    </row>
    <row r="219" spans="1:20">
      <c r="A219" s="2" t="s">
        <v>596</v>
      </c>
      <c r="B219" s="2" t="s">
        <v>624</v>
      </c>
      <c r="C219" s="2" t="s">
        <v>243</v>
      </c>
      <c r="D219" s="16">
        <v>30</v>
      </c>
      <c r="E219" s="2" t="s">
        <v>619</v>
      </c>
      <c r="F219" s="2" t="s">
        <v>626</v>
      </c>
      <c r="G219" s="2" t="s">
        <v>627</v>
      </c>
      <c r="H219" s="17">
        <v>4900</v>
      </c>
      <c r="I219" s="2"/>
      <c r="J219" s="2"/>
      <c r="K219" s="17">
        <v>4900</v>
      </c>
      <c r="L219" s="18">
        <v>525</v>
      </c>
      <c r="M219" s="17">
        <v>4375</v>
      </c>
      <c r="N219" s="17">
        <v>4900</v>
      </c>
      <c r="O219" s="2"/>
      <c r="P219" s="2"/>
      <c r="Q219" s="2" t="s">
        <v>625</v>
      </c>
      <c r="R219" s="5">
        <f t="shared" si="9"/>
        <v>4900</v>
      </c>
      <c r="S219" s="5">
        <f t="shared" si="10"/>
        <v>4900</v>
      </c>
      <c r="T219" s="5">
        <f t="shared" si="11"/>
        <v>0</v>
      </c>
    </row>
    <row r="220" spans="1:20">
      <c r="A220" s="2" t="s">
        <v>596</v>
      </c>
      <c r="B220" s="2" t="s">
        <v>628</v>
      </c>
      <c r="C220" s="2" t="s">
        <v>167</v>
      </c>
      <c r="D220" s="16">
        <v>90</v>
      </c>
      <c r="E220" s="2" t="s">
        <v>597</v>
      </c>
      <c r="F220" s="2" t="s">
        <v>168</v>
      </c>
      <c r="G220" s="2" t="s">
        <v>629</v>
      </c>
      <c r="H220" s="17">
        <v>52800</v>
      </c>
      <c r="I220" s="2"/>
      <c r="J220" s="2"/>
      <c r="K220" s="17">
        <v>52800</v>
      </c>
      <c r="L220" s="17">
        <v>5657.14</v>
      </c>
      <c r="M220" s="17">
        <v>47142.86</v>
      </c>
      <c r="N220" s="17">
        <v>52800</v>
      </c>
      <c r="O220" s="2"/>
      <c r="P220" s="2"/>
      <c r="Q220" s="2" t="s">
        <v>56</v>
      </c>
      <c r="R220" s="5">
        <f t="shared" si="9"/>
        <v>52800</v>
      </c>
      <c r="S220" s="5">
        <f t="shared" si="10"/>
        <v>52800</v>
      </c>
      <c r="T220" s="5">
        <f t="shared" si="11"/>
        <v>0</v>
      </c>
    </row>
    <row r="221" spans="1:20">
      <c r="A221" s="2" t="s">
        <v>596</v>
      </c>
      <c r="B221" s="2" t="s">
        <v>630</v>
      </c>
      <c r="C221" s="2" t="s">
        <v>68</v>
      </c>
      <c r="D221" s="16">
        <v>60</v>
      </c>
      <c r="E221" s="2" t="s">
        <v>613</v>
      </c>
      <c r="F221" s="2" t="s">
        <v>70</v>
      </c>
      <c r="G221" s="2" t="s">
        <v>631</v>
      </c>
      <c r="H221" s="17">
        <v>2419200</v>
      </c>
      <c r="I221" s="2"/>
      <c r="J221" s="2"/>
      <c r="K221" s="17">
        <v>2419200</v>
      </c>
      <c r="L221" s="17">
        <v>259200</v>
      </c>
      <c r="M221" s="17">
        <v>2160000</v>
      </c>
      <c r="N221" s="17">
        <v>2419200</v>
      </c>
      <c r="O221" s="2"/>
      <c r="P221" s="2"/>
      <c r="Q221" s="2" t="s">
        <v>69</v>
      </c>
      <c r="R221" s="5">
        <f t="shared" si="9"/>
        <v>2419200</v>
      </c>
      <c r="S221" s="5">
        <f t="shared" si="10"/>
        <v>2419200</v>
      </c>
      <c r="T221" s="5">
        <f t="shared" si="11"/>
        <v>0</v>
      </c>
    </row>
    <row r="222" spans="1:20">
      <c r="A222" s="2" t="s">
        <v>596</v>
      </c>
      <c r="B222" s="2" t="s">
        <v>632</v>
      </c>
      <c r="C222" s="2" t="s">
        <v>162</v>
      </c>
      <c r="D222" s="16">
        <v>90</v>
      </c>
      <c r="E222" s="2" t="s">
        <v>597</v>
      </c>
      <c r="F222" s="2" t="s">
        <v>193</v>
      </c>
      <c r="G222" s="2" t="s">
        <v>633</v>
      </c>
      <c r="H222" s="17">
        <v>44000</v>
      </c>
      <c r="I222" s="2"/>
      <c r="J222" s="2"/>
      <c r="K222" s="17">
        <v>44000</v>
      </c>
      <c r="L222" s="17">
        <v>4714.29</v>
      </c>
      <c r="M222" s="17">
        <v>39285.71</v>
      </c>
      <c r="N222" s="17">
        <v>44000</v>
      </c>
      <c r="O222" s="2"/>
      <c r="P222" s="2"/>
      <c r="Q222" s="2" t="s">
        <v>36</v>
      </c>
      <c r="R222" s="5">
        <f t="shared" si="9"/>
        <v>44000</v>
      </c>
      <c r="S222" s="5">
        <f t="shared" si="10"/>
        <v>44000</v>
      </c>
      <c r="T222" s="5">
        <f t="shared" si="11"/>
        <v>0</v>
      </c>
    </row>
    <row r="223" spans="1:20">
      <c r="A223" s="2" t="s">
        <v>596</v>
      </c>
      <c r="B223" s="2" t="s">
        <v>634</v>
      </c>
      <c r="C223" s="2" t="s">
        <v>146</v>
      </c>
      <c r="D223" s="16">
        <v>90</v>
      </c>
      <c r="E223" s="2" t="s">
        <v>597</v>
      </c>
      <c r="F223" s="2" t="s">
        <v>543</v>
      </c>
      <c r="G223" s="2" t="s">
        <v>635</v>
      </c>
      <c r="H223" s="17">
        <v>199515</v>
      </c>
      <c r="I223" s="2"/>
      <c r="J223" s="2"/>
      <c r="K223" s="17">
        <v>199515</v>
      </c>
      <c r="L223" s="17">
        <v>21376.61</v>
      </c>
      <c r="M223" s="17">
        <v>178138.39</v>
      </c>
      <c r="N223" s="17">
        <v>199515</v>
      </c>
      <c r="O223" s="2"/>
      <c r="P223" s="2"/>
      <c r="Q223" s="2" t="s">
        <v>19</v>
      </c>
      <c r="R223" s="5">
        <f t="shared" si="9"/>
        <v>199515</v>
      </c>
      <c r="S223" s="5">
        <f t="shared" si="10"/>
        <v>199515</v>
      </c>
      <c r="T223" s="5">
        <f t="shared" si="11"/>
        <v>0</v>
      </c>
    </row>
    <row r="224" spans="1:20">
      <c r="A224" s="2" t="s">
        <v>637</v>
      </c>
      <c r="B224" s="2" t="s">
        <v>636</v>
      </c>
      <c r="C224" s="2" t="s">
        <v>73</v>
      </c>
      <c r="D224" s="16">
        <v>30</v>
      </c>
      <c r="E224" s="2" t="s">
        <v>638</v>
      </c>
      <c r="F224" s="2" t="s">
        <v>126</v>
      </c>
      <c r="G224" s="2" t="s">
        <v>639</v>
      </c>
      <c r="H224" s="17">
        <v>19600</v>
      </c>
      <c r="I224" s="2"/>
      <c r="J224" s="2"/>
      <c r="K224" s="17">
        <v>19600</v>
      </c>
      <c r="L224" s="17">
        <v>2100</v>
      </c>
      <c r="M224" s="17">
        <v>17500</v>
      </c>
      <c r="N224" s="17">
        <v>19600</v>
      </c>
      <c r="O224" s="2"/>
      <c r="P224" s="2"/>
      <c r="Q224" s="2" t="s">
        <v>56</v>
      </c>
      <c r="R224" s="5">
        <f t="shared" si="9"/>
        <v>19600</v>
      </c>
      <c r="S224" s="5">
        <f t="shared" si="10"/>
        <v>19600</v>
      </c>
      <c r="T224" s="5">
        <f t="shared" si="11"/>
        <v>0</v>
      </c>
    </row>
    <row r="225" spans="1:20">
      <c r="A225" s="2" t="s">
        <v>637</v>
      </c>
      <c r="B225" s="2" t="s">
        <v>640</v>
      </c>
      <c r="C225" s="2" t="s">
        <v>117</v>
      </c>
      <c r="D225" s="16">
        <v>120</v>
      </c>
      <c r="E225" s="2" t="s">
        <v>641</v>
      </c>
      <c r="F225" s="2" t="s">
        <v>642</v>
      </c>
      <c r="G225" s="2" t="s">
        <v>643</v>
      </c>
      <c r="H225" s="17">
        <v>490500</v>
      </c>
      <c r="I225" s="2"/>
      <c r="J225" s="2"/>
      <c r="K225" s="17">
        <v>490500</v>
      </c>
      <c r="L225" s="17">
        <v>52553.57</v>
      </c>
      <c r="M225" s="17">
        <v>437946.43</v>
      </c>
      <c r="N225" s="17">
        <v>490500</v>
      </c>
      <c r="O225" s="2"/>
      <c r="P225" s="2"/>
      <c r="Q225" s="2" t="s">
        <v>56</v>
      </c>
      <c r="R225" s="5">
        <f t="shared" si="9"/>
        <v>490500</v>
      </c>
      <c r="S225" s="5">
        <f t="shared" si="10"/>
        <v>490500</v>
      </c>
      <c r="T225" s="5">
        <f t="shared" si="11"/>
        <v>0</v>
      </c>
    </row>
    <row r="226" spans="1:20">
      <c r="A226" s="2" t="s">
        <v>637</v>
      </c>
      <c r="B226" s="2" t="s">
        <v>644</v>
      </c>
      <c r="C226" s="2" t="s">
        <v>29</v>
      </c>
      <c r="D226" s="16">
        <v>0</v>
      </c>
      <c r="E226" s="2" t="s">
        <v>637</v>
      </c>
      <c r="F226" s="2" t="s">
        <v>31</v>
      </c>
      <c r="G226" s="2" t="s">
        <v>645</v>
      </c>
      <c r="H226" s="17">
        <v>62535</v>
      </c>
      <c r="I226" s="2"/>
      <c r="J226" s="2"/>
      <c r="K226" s="17">
        <v>62535</v>
      </c>
      <c r="L226" s="17">
        <v>6700.18</v>
      </c>
      <c r="M226" s="17">
        <v>55834.82</v>
      </c>
      <c r="N226" s="17">
        <v>62535</v>
      </c>
      <c r="O226" s="2"/>
      <c r="P226" s="2"/>
      <c r="Q226" s="2" t="s">
        <v>30</v>
      </c>
      <c r="R226" s="5">
        <f t="shared" si="9"/>
        <v>62535</v>
      </c>
      <c r="S226" s="5">
        <f t="shared" si="10"/>
        <v>62535</v>
      </c>
      <c r="T226" s="5">
        <f t="shared" si="11"/>
        <v>0</v>
      </c>
    </row>
    <row r="227" spans="1:20">
      <c r="A227" s="2" t="s">
        <v>637</v>
      </c>
      <c r="B227" s="2" t="s">
        <v>646</v>
      </c>
      <c r="C227" s="2" t="s">
        <v>29</v>
      </c>
      <c r="D227" s="16">
        <v>0</v>
      </c>
      <c r="E227" s="2" t="s">
        <v>637</v>
      </c>
      <c r="F227" s="2" t="s">
        <v>31</v>
      </c>
      <c r="G227" s="2" t="s">
        <v>647</v>
      </c>
      <c r="H227" s="17">
        <v>31800</v>
      </c>
      <c r="I227" s="2"/>
      <c r="J227" s="2"/>
      <c r="K227" s="17">
        <v>31800</v>
      </c>
      <c r="L227" s="17">
        <v>3407.14</v>
      </c>
      <c r="M227" s="17">
        <v>28392.86</v>
      </c>
      <c r="N227" s="17">
        <v>31800</v>
      </c>
      <c r="O227" s="2"/>
      <c r="P227" s="2"/>
      <c r="Q227" s="2" t="s">
        <v>30</v>
      </c>
      <c r="R227" s="5">
        <f t="shared" si="9"/>
        <v>31800</v>
      </c>
      <c r="S227" s="5">
        <f t="shared" si="10"/>
        <v>31800</v>
      </c>
      <c r="T227" s="5">
        <f t="shared" si="11"/>
        <v>0</v>
      </c>
    </row>
    <row r="228" spans="1:20">
      <c r="A228" s="2" t="s">
        <v>637</v>
      </c>
      <c r="B228" s="2" t="s">
        <v>648</v>
      </c>
      <c r="C228" s="2" t="s">
        <v>29</v>
      </c>
      <c r="D228" s="16">
        <v>0</v>
      </c>
      <c r="E228" s="2" t="s">
        <v>637</v>
      </c>
      <c r="F228" s="2" t="s">
        <v>31</v>
      </c>
      <c r="G228" s="2" t="s">
        <v>649</v>
      </c>
      <c r="H228" s="17">
        <v>6400</v>
      </c>
      <c r="I228" s="2"/>
      <c r="J228" s="2"/>
      <c r="K228" s="17">
        <v>6400</v>
      </c>
      <c r="L228" s="18">
        <v>685.71</v>
      </c>
      <c r="M228" s="17">
        <v>5714.29</v>
      </c>
      <c r="N228" s="17">
        <v>6400</v>
      </c>
      <c r="O228" s="2"/>
      <c r="P228" s="2"/>
      <c r="Q228" s="2" t="s">
        <v>30</v>
      </c>
      <c r="R228" s="5">
        <f t="shared" si="9"/>
        <v>6400</v>
      </c>
      <c r="S228" s="5">
        <f t="shared" si="10"/>
        <v>6400</v>
      </c>
      <c r="T228" s="5">
        <f t="shared" si="11"/>
        <v>0</v>
      </c>
    </row>
    <row r="229" spans="1:20">
      <c r="A229" s="2" t="s">
        <v>637</v>
      </c>
      <c r="B229" s="2" t="s">
        <v>650</v>
      </c>
      <c r="C229" s="2" t="s">
        <v>29</v>
      </c>
      <c r="D229" s="16">
        <v>0</v>
      </c>
      <c r="E229" s="2" t="s">
        <v>637</v>
      </c>
      <c r="F229" s="2" t="s">
        <v>31</v>
      </c>
      <c r="G229" s="2" t="s">
        <v>651</v>
      </c>
      <c r="H229" s="17">
        <v>142800</v>
      </c>
      <c r="I229" s="2"/>
      <c r="J229" s="2"/>
      <c r="K229" s="17">
        <v>142800</v>
      </c>
      <c r="L229" s="17">
        <v>15300</v>
      </c>
      <c r="M229" s="17">
        <v>127500</v>
      </c>
      <c r="N229" s="17">
        <v>142800</v>
      </c>
      <c r="O229" s="2"/>
      <c r="P229" s="2"/>
      <c r="Q229" s="2" t="s">
        <v>30</v>
      </c>
      <c r="R229" s="5">
        <f t="shared" si="9"/>
        <v>142800</v>
      </c>
      <c r="S229" s="5">
        <f t="shared" si="10"/>
        <v>142800</v>
      </c>
      <c r="T229" s="5">
        <f t="shared" si="11"/>
        <v>0</v>
      </c>
    </row>
    <row r="230" spans="1:20">
      <c r="A230" s="2" t="s">
        <v>637</v>
      </c>
      <c r="B230" s="2" t="s">
        <v>652</v>
      </c>
      <c r="C230" s="2" t="s">
        <v>73</v>
      </c>
      <c r="D230" s="16">
        <v>30</v>
      </c>
      <c r="E230" s="2" t="s">
        <v>638</v>
      </c>
      <c r="F230" s="2" t="s">
        <v>244</v>
      </c>
      <c r="G230" s="2" t="s">
        <v>653</v>
      </c>
      <c r="H230" s="17">
        <v>190560</v>
      </c>
      <c r="I230" s="2"/>
      <c r="J230" s="2"/>
      <c r="K230" s="17">
        <v>190560</v>
      </c>
      <c r="L230" s="17">
        <v>20417.14</v>
      </c>
      <c r="M230" s="17">
        <v>170142.86</v>
      </c>
      <c r="N230" s="17">
        <v>190560</v>
      </c>
      <c r="O230" s="2"/>
      <c r="P230" s="2"/>
      <c r="Q230" s="2" t="s">
        <v>56</v>
      </c>
      <c r="R230" s="5">
        <f t="shared" si="9"/>
        <v>190560</v>
      </c>
      <c r="S230" s="5">
        <f t="shared" si="10"/>
        <v>190560</v>
      </c>
      <c r="T230" s="5">
        <f t="shared" si="11"/>
        <v>0</v>
      </c>
    </row>
    <row r="231" spans="1:20">
      <c r="A231" s="2" t="s">
        <v>637</v>
      </c>
      <c r="B231" s="2" t="s">
        <v>654</v>
      </c>
      <c r="C231" s="2" t="s">
        <v>167</v>
      </c>
      <c r="D231" s="16">
        <v>90</v>
      </c>
      <c r="E231" s="2" t="s">
        <v>655</v>
      </c>
      <c r="F231" s="2" t="s">
        <v>190</v>
      </c>
      <c r="G231" s="2" t="s">
        <v>656</v>
      </c>
      <c r="H231" s="17">
        <v>205540</v>
      </c>
      <c r="I231" s="2"/>
      <c r="J231" s="2"/>
      <c r="K231" s="17">
        <v>205540</v>
      </c>
      <c r="L231" s="17">
        <v>22022.14</v>
      </c>
      <c r="M231" s="17">
        <v>183517.86</v>
      </c>
      <c r="N231" s="17">
        <v>205540</v>
      </c>
      <c r="O231" s="2"/>
      <c r="P231" s="2"/>
      <c r="Q231" s="2" t="s">
        <v>56</v>
      </c>
      <c r="R231" s="5">
        <f t="shared" si="9"/>
        <v>205540</v>
      </c>
      <c r="S231" s="5">
        <f t="shared" si="10"/>
        <v>205540</v>
      </c>
      <c r="T231" s="5">
        <f t="shared" si="11"/>
        <v>0</v>
      </c>
    </row>
    <row r="232" spans="1:20">
      <c r="A232" s="2" t="s">
        <v>637</v>
      </c>
      <c r="B232" s="2" t="s">
        <v>657</v>
      </c>
      <c r="C232" s="2" t="s">
        <v>658</v>
      </c>
      <c r="D232" s="16">
        <v>60</v>
      </c>
      <c r="E232" s="2" t="s">
        <v>659</v>
      </c>
      <c r="F232" s="2" t="s">
        <v>660</v>
      </c>
      <c r="G232" s="2" t="s">
        <v>661</v>
      </c>
      <c r="H232" s="17">
        <v>42000</v>
      </c>
      <c r="I232" s="2"/>
      <c r="J232" s="2"/>
      <c r="K232" s="17">
        <v>42000</v>
      </c>
      <c r="L232" s="17">
        <v>4500</v>
      </c>
      <c r="M232" s="17">
        <v>37500</v>
      </c>
      <c r="N232" s="17">
        <v>42000</v>
      </c>
      <c r="O232" s="2"/>
      <c r="P232" s="2"/>
      <c r="Q232" s="2" t="s">
        <v>46</v>
      </c>
      <c r="R232" s="5">
        <f t="shared" si="9"/>
        <v>42000</v>
      </c>
      <c r="S232" s="5">
        <f t="shared" si="10"/>
        <v>42000</v>
      </c>
      <c r="T232" s="5">
        <f t="shared" si="11"/>
        <v>0</v>
      </c>
    </row>
    <row r="233" spans="1:20">
      <c r="A233" s="2" t="s">
        <v>637</v>
      </c>
      <c r="B233" s="2" t="s">
        <v>662</v>
      </c>
      <c r="C233" s="2" t="s">
        <v>146</v>
      </c>
      <c r="D233" s="16">
        <v>90</v>
      </c>
      <c r="E233" s="2" t="s">
        <v>655</v>
      </c>
      <c r="F233" s="2" t="s">
        <v>663</v>
      </c>
      <c r="G233" s="2" t="s">
        <v>664</v>
      </c>
      <c r="H233" s="17">
        <v>643242.6</v>
      </c>
      <c r="I233" s="2"/>
      <c r="J233" s="2"/>
      <c r="K233" s="17">
        <v>643242.6</v>
      </c>
      <c r="L233" s="17">
        <v>68918.850000000006</v>
      </c>
      <c r="M233" s="17">
        <v>574323.75</v>
      </c>
      <c r="N233" s="17">
        <v>643242.6</v>
      </c>
      <c r="O233" s="2"/>
      <c r="P233" s="2"/>
      <c r="Q233" s="2" t="s">
        <v>69</v>
      </c>
      <c r="R233" s="5">
        <f t="shared" si="9"/>
        <v>643242.6</v>
      </c>
      <c r="S233" s="5">
        <f t="shared" si="10"/>
        <v>643242.6</v>
      </c>
      <c r="T233" s="5">
        <f t="shared" si="11"/>
        <v>0</v>
      </c>
    </row>
    <row r="234" spans="1:20">
      <c r="A234" s="2" t="s">
        <v>637</v>
      </c>
      <c r="B234" s="2" t="s">
        <v>665</v>
      </c>
      <c r="C234" s="2" t="s">
        <v>146</v>
      </c>
      <c r="D234" s="16">
        <v>90</v>
      </c>
      <c r="E234" s="2" t="s">
        <v>655</v>
      </c>
      <c r="F234" s="2" t="s">
        <v>666</v>
      </c>
      <c r="G234" s="2" t="s">
        <v>667</v>
      </c>
      <c r="H234" s="17">
        <v>710170</v>
      </c>
      <c r="I234" s="2"/>
      <c r="J234" s="2"/>
      <c r="K234" s="17">
        <v>710170</v>
      </c>
      <c r="L234" s="17">
        <v>76089.64</v>
      </c>
      <c r="M234" s="17">
        <v>634080.36</v>
      </c>
      <c r="N234" s="17">
        <v>710170</v>
      </c>
      <c r="O234" s="2"/>
      <c r="P234" s="2"/>
      <c r="Q234" s="2" t="s">
        <v>56</v>
      </c>
      <c r="R234" s="5">
        <f t="shared" si="9"/>
        <v>710170</v>
      </c>
      <c r="S234" s="5">
        <f t="shared" si="10"/>
        <v>710170</v>
      </c>
      <c r="T234" s="5">
        <f t="shared" si="11"/>
        <v>0</v>
      </c>
    </row>
    <row r="235" spans="1:20">
      <c r="A235" s="2" t="s">
        <v>637</v>
      </c>
      <c r="B235" s="2" t="s">
        <v>668</v>
      </c>
      <c r="C235" s="2" t="s">
        <v>151</v>
      </c>
      <c r="D235" s="16">
        <v>60</v>
      </c>
      <c r="E235" s="2" t="s">
        <v>659</v>
      </c>
      <c r="F235" s="2" t="s">
        <v>669</v>
      </c>
      <c r="G235" s="2" t="s">
        <v>670</v>
      </c>
      <c r="H235" s="17">
        <v>23500</v>
      </c>
      <c r="I235" s="2"/>
      <c r="J235" s="2"/>
      <c r="K235" s="17">
        <v>23500</v>
      </c>
      <c r="L235" s="17">
        <v>2517.86</v>
      </c>
      <c r="M235" s="17">
        <v>20982.14</v>
      </c>
      <c r="N235" s="17">
        <v>23500</v>
      </c>
      <c r="O235" s="2"/>
      <c r="P235" s="2"/>
      <c r="Q235" s="2" t="s">
        <v>56</v>
      </c>
      <c r="R235" s="5">
        <f t="shared" si="9"/>
        <v>23500</v>
      </c>
      <c r="S235" s="5">
        <f t="shared" si="10"/>
        <v>23500</v>
      </c>
      <c r="T235" s="5">
        <f t="shared" si="11"/>
        <v>0</v>
      </c>
    </row>
    <row r="236" spans="1:20">
      <c r="A236" s="2" t="s">
        <v>637</v>
      </c>
      <c r="B236" s="2" t="s">
        <v>671</v>
      </c>
      <c r="C236" s="2" t="s">
        <v>162</v>
      </c>
      <c r="D236" s="16">
        <v>90</v>
      </c>
      <c r="E236" s="2" t="s">
        <v>655</v>
      </c>
      <c r="F236" s="2" t="s">
        <v>672</v>
      </c>
      <c r="G236" s="2" t="s">
        <v>673</v>
      </c>
      <c r="H236" s="17">
        <v>11760</v>
      </c>
      <c r="I236" s="2"/>
      <c r="J236" s="2"/>
      <c r="K236" s="17">
        <v>11760</v>
      </c>
      <c r="L236" s="17">
        <v>1260</v>
      </c>
      <c r="M236" s="17">
        <v>10500</v>
      </c>
      <c r="N236" s="17">
        <v>11760</v>
      </c>
      <c r="O236" s="2"/>
      <c r="P236" s="2"/>
      <c r="Q236" s="2" t="s">
        <v>19</v>
      </c>
      <c r="R236" s="5">
        <f t="shared" si="9"/>
        <v>11760</v>
      </c>
      <c r="S236" s="5">
        <f t="shared" si="10"/>
        <v>11760</v>
      </c>
      <c r="T236" s="5">
        <f t="shared" si="11"/>
        <v>0</v>
      </c>
    </row>
    <row r="237" spans="1:20">
      <c r="A237" s="2" t="s">
        <v>637</v>
      </c>
      <c r="B237" s="2" t="s">
        <v>674</v>
      </c>
      <c r="C237" s="2" t="s">
        <v>162</v>
      </c>
      <c r="D237" s="16">
        <v>90</v>
      </c>
      <c r="E237" s="2" t="s">
        <v>655</v>
      </c>
      <c r="F237" s="2" t="s">
        <v>672</v>
      </c>
      <c r="G237" s="2" t="s">
        <v>673</v>
      </c>
      <c r="H237" s="17">
        <v>11760</v>
      </c>
      <c r="I237" s="2"/>
      <c r="J237" s="2"/>
      <c r="K237" s="17">
        <v>11760</v>
      </c>
      <c r="L237" s="17">
        <v>1260</v>
      </c>
      <c r="M237" s="17">
        <v>10500</v>
      </c>
      <c r="N237" s="17">
        <v>11760</v>
      </c>
      <c r="O237" s="2"/>
      <c r="P237" s="2"/>
      <c r="Q237" s="2" t="s">
        <v>19</v>
      </c>
      <c r="R237" s="5">
        <f t="shared" si="9"/>
        <v>11760</v>
      </c>
      <c r="S237" s="5">
        <f t="shared" si="10"/>
        <v>11760</v>
      </c>
      <c r="T237" s="5">
        <f t="shared" si="11"/>
        <v>0</v>
      </c>
    </row>
    <row r="238" spans="1:20">
      <c r="A238" s="2" t="s">
        <v>637</v>
      </c>
      <c r="B238" s="2" t="s">
        <v>675</v>
      </c>
      <c r="C238" s="2" t="s">
        <v>162</v>
      </c>
      <c r="D238" s="16">
        <v>90</v>
      </c>
      <c r="E238" s="2" t="s">
        <v>655</v>
      </c>
      <c r="F238" s="2" t="s">
        <v>424</v>
      </c>
      <c r="G238" s="2" t="s">
        <v>676</v>
      </c>
      <c r="H238" s="17">
        <v>88200</v>
      </c>
      <c r="I238" s="2"/>
      <c r="J238" s="2"/>
      <c r="K238" s="17">
        <v>88200</v>
      </c>
      <c r="L238" s="17">
        <v>9450</v>
      </c>
      <c r="M238" s="17">
        <v>78750</v>
      </c>
      <c r="N238" s="17">
        <v>88200</v>
      </c>
      <c r="O238" s="2"/>
      <c r="P238" s="2"/>
      <c r="Q238" s="2" t="s">
        <v>423</v>
      </c>
      <c r="R238" s="5">
        <f t="shared" si="9"/>
        <v>88200</v>
      </c>
      <c r="S238" s="5">
        <f t="shared" si="10"/>
        <v>88200</v>
      </c>
      <c r="T238" s="5">
        <f t="shared" si="11"/>
        <v>0</v>
      </c>
    </row>
    <row r="239" spans="1:20">
      <c r="A239" s="2" t="s">
        <v>637</v>
      </c>
      <c r="B239" s="2" t="s">
        <v>677</v>
      </c>
      <c r="C239" s="2" t="s">
        <v>151</v>
      </c>
      <c r="D239" s="16">
        <v>60</v>
      </c>
      <c r="E239" s="2" t="s">
        <v>659</v>
      </c>
      <c r="F239" s="2" t="s">
        <v>678</v>
      </c>
      <c r="G239" s="2" t="s">
        <v>679</v>
      </c>
      <c r="H239" s="17">
        <v>162500</v>
      </c>
      <c r="I239" s="2"/>
      <c r="J239" s="2"/>
      <c r="K239" s="17">
        <v>162500</v>
      </c>
      <c r="L239" s="17">
        <v>17410.71</v>
      </c>
      <c r="M239" s="17">
        <v>145089.29</v>
      </c>
      <c r="N239" s="17">
        <v>162500</v>
      </c>
      <c r="O239" s="2"/>
      <c r="P239" s="2"/>
      <c r="Q239" s="2" t="s">
        <v>19</v>
      </c>
      <c r="R239" s="5">
        <f t="shared" si="9"/>
        <v>162500</v>
      </c>
      <c r="S239" s="5">
        <f t="shared" si="10"/>
        <v>162500</v>
      </c>
      <c r="T239" s="5">
        <f t="shared" si="11"/>
        <v>0</v>
      </c>
    </row>
    <row r="240" spans="1:20">
      <c r="A240" s="2" t="s">
        <v>637</v>
      </c>
      <c r="B240" s="2" t="s">
        <v>680</v>
      </c>
      <c r="C240" s="2" t="s">
        <v>681</v>
      </c>
      <c r="D240" s="16">
        <v>0</v>
      </c>
      <c r="E240" s="2" t="s">
        <v>637</v>
      </c>
      <c r="F240" s="2" t="s">
        <v>682</v>
      </c>
      <c r="G240" s="2" t="s">
        <v>683</v>
      </c>
      <c r="H240" s="17">
        <v>7455</v>
      </c>
      <c r="I240" s="2"/>
      <c r="J240" s="2"/>
      <c r="K240" s="17">
        <v>7455</v>
      </c>
      <c r="L240" s="18">
        <v>798.75</v>
      </c>
      <c r="M240" s="17">
        <v>6656.25</v>
      </c>
      <c r="N240" s="17">
        <v>7455</v>
      </c>
      <c r="O240" s="2"/>
      <c r="P240" s="2"/>
      <c r="Q240" s="2" t="s">
        <v>46</v>
      </c>
      <c r="R240" s="5">
        <f t="shared" si="9"/>
        <v>7455</v>
      </c>
      <c r="S240" s="5">
        <f t="shared" si="10"/>
        <v>7455</v>
      </c>
      <c r="T240" s="5">
        <f t="shared" si="11"/>
        <v>0</v>
      </c>
    </row>
    <row r="241" spans="1:20">
      <c r="A241" s="2" t="s">
        <v>637</v>
      </c>
      <c r="B241" s="2" t="s">
        <v>684</v>
      </c>
      <c r="C241" s="2" t="s">
        <v>681</v>
      </c>
      <c r="D241" s="16">
        <v>0</v>
      </c>
      <c r="E241" s="2" t="s">
        <v>637</v>
      </c>
      <c r="F241" s="2" t="s">
        <v>682</v>
      </c>
      <c r="G241" s="2" t="s">
        <v>685</v>
      </c>
      <c r="H241" s="17">
        <v>8452</v>
      </c>
      <c r="I241" s="2"/>
      <c r="J241" s="2"/>
      <c r="K241" s="17">
        <v>8452</v>
      </c>
      <c r="L241" s="18">
        <v>905.57</v>
      </c>
      <c r="M241" s="17">
        <v>7546.43</v>
      </c>
      <c r="N241" s="17">
        <v>8452</v>
      </c>
      <c r="O241" s="2"/>
      <c r="P241" s="2"/>
      <c r="Q241" s="2" t="s">
        <v>46</v>
      </c>
      <c r="R241" s="5">
        <f t="shared" si="9"/>
        <v>8452</v>
      </c>
      <c r="S241" s="5">
        <f t="shared" si="10"/>
        <v>8452</v>
      </c>
      <c r="T241" s="5">
        <f t="shared" si="11"/>
        <v>0</v>
      </c>
    </row>
    <row r="242" spans="1:20">
      <c r="A242" s="2" t="s">
        <v>637</v>
      </c>
      <c r="B242" s="2" t="s">
        <v>686</v>
      </c>
      <c r="C242" s="2" t="s">
        <v>73</v>
      </c>
      <c r="D242" s="16">
        <v>30</v>
      </c>
      <c r="E242" s="2" t="s">
        <v>638</v>
      </c>
      <c r="F242" s="2" t="s">
        <v>267</v>
      </c>
      <c r="G242" s="2" t="s">
        <v>687</v>
      </c>
      <c r="H242" s="17">
        <v>223360</v>
      </c>
      <c r="I242" s="2"/>
      <c r="J242" s="17">
        <v>14000</v>
      </c>
      <c r="K242" s="17">
        <f>237360-J242</f>
        <v>223360</v>
      </c>
      <c r="L242" s="17">
        <v>25431.43</v>
      </c>
      <c r="M242" s="17">
        <v>211928.57</v>
      </c>
      <c r="N242" s="17">
        <v>237360</v>
      </c>
      <c r="O242" s="2"/>
      <c r="P242" s="2" t="s">
        <v>1771</v>
      </c>
      <c r="Q242" s="2" t="s">
        <v>19</v>
      </c>
      <c r="R242" s="5">
        <f t="shared" si="9"/>
        <v>237360</v>
      </c>
      <c r="S242" s="5">
        <f t="shared" si="10"/>
        <v>237360</v>
      </c>
      <c r="T242" s="5">
        <f t="shared" si="11"/>
        <v>0</v>
      </c>
    </row>
    <row r="243" spans="1:20">
      <c r="A243" s="2" t="s">
        <v>689</v>
      </c>
      <c r="B243" s="2" t="s">
        <v>688</v>
      </c>
      <c r="C243" s="2" t="s">
        <v>60</v>
      </c>
      <c r="D243" s="16">
        <v>0</v>
      </c>
      <c r="E243" s="2" t="s">
        <v>689</v>
      </c>
      <c r="F243" s="2" t="s">
        <v>293</v>
      </c>
      <c r="G243" s="2" t="s">
        <v>690</v>
      </c>
      <c r="H243" s="17">
        <v>34500</v>
      </c>
      <c r="I243" s="2"/>
      <c r="J243" s="2"/>
      <c r="K243" s="17">
        <v>34500</v>
      </c>
      <c r="L243" s="17">
        <v>3696.43</v>
      </c>
      <c r="M243" s="17">
        <v>30803.57</v>
      </c>
      <c r="N243" s="17">
        <v>34500</v>
      </c>
      <c r="O243" s="2"/>
      <c r="P243" s="2"/>
      <c r="Q243" s="2" t="s">
        <v>56</v>
      </c>
      <c r="R243" s="5">
        <f t="shared" si="9"/>
        <v>34500</v>
      </c>
      <c r="S243" s="5">
        <f t="shared" si="10"/>
        <v>34500</v>
      </c>
      <c r="T243" s="5">
        <f t="shared" si="11"/>
        <v>0</v>
      </c>
    </row>
    <row r="244" spans="1:20">
      <c r="A244" s="2" t="s">
        <v>689</v>
      </c>
      <c r="B244" s="2" t="s">
        <v>691</v>
      </c>
      <c r="C244" s="2" t="s">
        <v>151</v>
      </c>
      <c r="D244" s="16">
        <v>60</v>
      </c>
      <c r="E244" s="2" t="s">
        <v>692</v>
      </c>
      <c r="F244" s="2" t="s">
        <v>264</v>
      </c>
      <c r="G244" s="2" t="s">
        <v>693</v>
      </c>
      <c r="H244" s="17">
        <v>29016</v>
      </c>
      <c r="I244" s="2"/>
      <c r="J244" s="2"/>
      <c r="K244" s="17">
        <v>29016</v>
      </c>
      <c r="L244" s="17">
        <v>3108.86</v>
      </c>
      <c r="M244" s="17">
        <v>25907.14</v>
      </c>
      <c r="N244" s="17">
        <v>29016</v>
      </c>
      <c r="O244" s="2"/>
      <c r="P244" s="2"/>
      <c r="Q244" s="2" t="s">
        <v>139</v>
      </c>
      <c r="R244" s="5">
        <f t="shared" si="9"/>
        <v>29016</v>
      </c>
      <c r="S244" s="5">
        <f t="shared" si="10"/>
        <v>29016</v>
      </c>
      <c r="T244" s="5">
        <f t="shared" si="11"/>
        <v>0</v>
      </c>
    </row>
    <row r="245" spans="1:20">
      <c r="A245" s="2" t="s">
        <v>689</v>
      </c>
      <c r="B245" s="2" t="s">
        <v>694</v>
      </c>
      <c r="C245" s="2" t="s">
        <v>151</v>
      </c>
      <c r="D245" s="16">
        <v>60</v>
      </c>
      <c r="E245" s="2" t="s">
        <v>692</v>
      </c>
      <c r="F245" s="2" t="s">
        <v>264</v>
      </c>
      <c r="G245" s="2" t="s">
        <v>695</v>
      </c>
      <c r="H245" s="17">
        <v>2768</v>
      </c>
      <c r="I245" s="2"/>
      <c r="J245" s="2"/>
      <c r="K245" s="17">
        <v>2768</v>
      </c>
      <c r="L245" s="18">
        <v>296.57</v>
      </c>
      <c r="M245" s="17">
        <v>2471.4299999999998</v>
      </c>
      <c r="N245" s="17">
        <v>2768</v>
      </c>
      <c r="O245" s="2"/>
      <c r="P245" s="2"/>
      <c r="Q245" s="2" t="s">
        <v>139</v>
      </c>
      <c r="R245" s="5">
        <f t="shared" si="9"/>
        <v>2768</v>
      </c>
      <c r="S245" s="5">
        <f t="shared" si="10"/>
        <v>2768</v>
      </c>
      <c r="T245" s="5">
        <f t="shared" si="11"/>
        <v>0</v>
      </c>
    </row>
    <row r="246" spans="1:20">
      <c r="A246" s="2" t="s">
        <v>689</v>
      </c>
      <c r="B246" s="2" t="s">
        <v>696</v>
      </c>
      <c r="C246" s="2" t="s">
        <v>34</v>
      </c>
      <c r="D246" s="16">
        <v>60</v>
      </c>
      <c r="E246" s="2" t="s">
        <v>692</v>
      </c>
      <c r="F246" s="2" t="s">
        <v>697</v>
      </c>
      <c r="G246" s="2" t="s">
        <v>698</v>
      </c>
      <c r="H246" s="17">
        <v>167725</v>
      </c>
      <c r="I246" s="2"/>
      <c r="J246" s="2"/>
      <c r="K246" s="17">
        <v>167725</v>
      </c>
      <c r="L246" s="17">
        <v>17970.54</v>
      </c>
      <c r="M246" s="17">
        <v>149754.46</v>
      </c>
      <c r="N246" s="17">
        <v>167725</v>
      </c>
      <c r="O246" s="2"/>
      <c r="P246" s="2"/>
      <c r="Q246" s="2" t="s">
        <v>69</v>
      </c>
      <c r="R246" s="5">
        <f t="shared" si="9"/>
        <v>167725</v>
      </c>
      <c r="S246" s="5">
        <f t="shared" si="10"/>
        <v>167725</v>
      </c>
      <c r="T246" s="5">
        <f t="shared" si="11"/>
        <v>0</v>
      </c>
    </row>
    <row r="247" spans="1:20">
      <c r="A247" s="2" t="s">
        <v>689</v>
      </c>
      <c r="B247" s="2" t="s">
        <v>699</v>
      </c>
      <c r="C247" s="2" t="s">
        <v>60</v>
      </c>
      <c r="D247" s="16">
        <v>0</v>
      </c>
      <c r="E247" s="2" t="s">
        <v>689</v>
      </c>
      <c r="F247" s="2" t="s">
        <v>196</v>
      </c>
      <c r="G247" s="2" t="s">
        <v>700</v>
      </c>
      <c r="H247" s="17">
        <v>321457</v>
      </c>
      <c r="I247" s="2"/>
      <c r="J247" s="2"/>
      <c r="K247" s="17">
        <v>321457</v>
      </c>
      <c r="L247" s="17">
        <v>34441.82</v>
      </c>
      <c r="M247" s="17">
        <v>287015.18</v>
      </c>
      <c r="N247" s="17">
        <v>321457</v>
      </c>
      <c r="O247" s="2"/>
      <c r="P247" s="2"/>
      <c r="Q247" s="2" t="s">
        <v>56</v>
      </c>
      <c r="R247" s="5">
        <f t="shared" si="9"/>
        <v>321457</v>
      </c>
      <c r="S247" s="5">
        <f t="shared" si="10"/>
        <v>321457</v>
      </c>
      <c r="T247" s="5">
        <f t="shared" si="11"/>
        <v>0</v>
      </c>
    </row>
    <row r="248" spans="1:20">
      <c r="A248" s="2" t="s">
        <v>689</v>
      </c>
      <c r="B248" s="2" t="s">
        <v>701</v>
      </c>
      <c r="C248" s="2" t="s">
        <v>60</v>
      </c>
      <c r="D248" s="16">
        <v>0</v>
      </c>
      <c r="E248" s="2" t="s">
        <v>689</v>
      </c>
      <c r="F248" s="2" t="s">
        <v>196</v>
      </c>
      <c r="G248" s="2" t="s">
        <v>702</v>
      </c>
      <c r="H248" s="17">
        <v>168063</v>
      </c>
      <c r="I248" s="2"/>
      <c r="J248" s="2"/>
      <c r="K248" s="17">
        <v>168063</v>
      </c>
      <c r="L248" s="17">
        <v>18006.75</v>
      </c>
      <c r="M248" s="17">
        <v>150056.25</v>
      </c>
      <c r="N248" s="17">
        <v>168063</v>
      </c>
      <c r="O248" s="2"/>
      <c r="P248" s="2"/>
      <c r="Q248" s="2" t="s">
        <v>56</v>
      </c>
      <c r="R248" s="5">
        <f t="shared" si="9"/>
        <v>168063</v>
      </c>
      <c r="S248" s="5">
        <f t="shared" si="10"/>
        <v>168063</v>
      </c>
      <c r="T248" s="5">
        <f t="shared" si="11"/>
        <v>0</v>
      </c>
    </row>
    <row r="249" spans="1:20">
      <c r="A249" s="2" t="s">
        <v>689</v>
      </c>
      <c r="B249" s="2" t="s">
        <v>703</v>
      </c>
      <c r="C249" s="2" t="s">
        <v>73</v>
      </c>
      <c r="D249" s="16">
        <v>30</v>
      </c>
      <c r="E249" s="2" t="s">
        <v>704</v>
      </c>
      <c r="F249" s="2" t="s">
        <v>705</v>
      </c>
      <c r="G249" s="2" t="s">
        <v>706</v>
      </c>
      <c r="H249" s="17">
        <v>88200</v>
      </c>
      <c r="I249" s="2"/>
      <c r="J249" s="2"/>
      <c r="K249" s="17">
        <v>88200</v>
      </c>
      <c r="L249" s="17">
        <v>9450</v>
      </c>
      <c r="M249" s="17">
        <v>78750</v>
      </c>
      <c r="N249" s="17">
        <v>88200</v>
      </c>
      <c r="O249" s="2"/>
      <c r="P249" s="2"/>
      <c r="Q249" s="2" t="s">
        <v>270</v>
      </c>
      <c r="R249" s="5">
        <f t="shared" si="9"/>
        <v>88200</v>
      </c>
      <c r="S249" s="5">
        <f t="shared" si="10"/>
        <v>88200</v>
      </c>
      <c r="T249" s="5">
        <f t="shared" si="11"/>
        <v>0</v>
      </c>
    </row>
    <row r="250" spans="1:20">
      <c r="A250" s="2" t="s">
        <v>689</v>
      </c>
      <c r="B250" s="2" t="s">
        <v>707</v>
      </c>
      <c r="C250" s="2" t="s">
        <v>104</v>
      </c>
      <c r="D250" s="16">
        <v>0</v>
      </c>
      <c r="E250" s="2" t="s">
        <v>689</v>
      </c>
      <c r="F250" s="2" t="s">
        <v>277</v>
      </c>
      <c r="G250" s="2" t="s">
        <v>708</v>
      </c>
      <c r="H250" s="17">
        <v>191660</v>
      </c>
      <c r="I250" s="2"/>
      <c r="J250" s="2"/>
      <c r="K250" s="17">
        <v>191660</v>
      </c>
      <c r="L250" s="17">
        <v>20535</v>
      </c>
      <c r="M250" s="17">
        <v>171125</v>
      </c>
      <c r="N250" s="17">
        <v>191660</v>
      </c>
      <c r="O250" s="2"/>
      <c r="P250" s="2"/>
      <c r="Q250" s="2" t="s">
        <v>69</v>
      </c>
      <c r="R250" s="5">
        <f t="shared" si="9"/>
        <v>191660</v>
      </c>
      <c r="S250" s="5">
        <f t="shared" si="10"/>
        <v>191660</v>
      </c>
      <c r="T250" s="5">
        <f t="shared" si="11"/>
        <v>0</v>
      </c>
    </row>
    <row r="251" spans="1:20">
      <c r="A251" s="2" t="s">
        <v>689</v>
      </c>
      <c r="B251" s="2" t="s">
        <v>709</v>
      </c>
      <c r="C251" s="2" t="s">
        <v>34</v>
      </c>
      <c r="D251" s="16">
        <v>60</v>
      </c>
      <c r="E251" s="2" t="s">
        <v>692</v>
      </c>
      <c r="F251" s="2" t="s">
        <v>201</v>
      </c>
      <c r="G251" s="2" t="s">
        <v>710</v>
      </c>
      <c r="H251" s="17">
        <v>9540</v>
      </c>
      <c r="I251" s="2"/>
      <c r="J251" s="2"/>
      <c r="K251" s="17">
        <v>9540</v>
      </c>
      <c r="L251" s="17">
        <v>1022.14</v>
      </c>
      <c r="M251" s="17">
        <v>8517.86</v>
      </c>
      <c r="N251" s="17">
        <v>9540</v>
      </c>
      <c r="O251" s="2"/>
      <c r="P251" s="2"/>
      <c r="Q251" s="2" t="s">
        <v>30</v>
      </c>
      <c r="R251" s="5">
        <f t="shared" si="9"/>
        <v>9540</v>
      </c>
      <c r="S251" s="5">
        <f t="shared" si="10"/>
        <v>9540</v>
      </c>
      <c r="T251" s="5">
        <f t="shared" si="11"/>
        <v>0</v>
      </c>
    </row>
    <row r="252" spans="1:20">
      <c r="A252" s="2" t="s">
        <v>689</v>
      </c>
      <c r="B252" s="2" t="s">
        <v>711</v>
      </c>
      <c r="C252" s="2" t="s">
        <v>104</v>
      </c>
      <c r="D252" s="16">
        <v>0</v>
      </c>
      <c r="E252" s="2" t="s">
        <v>689</v>
      </c>
      <c r="F252" s="2" t="s">
        <v>712</v>
      </c>
      <c r="G252" s="2" t="s">
        <v>713</v>
      </c>
      <c r="H252" s="17">
        <v>397768</v>
      </c>
      <c r="I252" s="2"/>
      <c r="J252" s="2"/>
      <c r="K252" s="17">
        <v>397768</v>
      </c>
      <c r="L252" s="17">
        <v>42618</v>
      </c>
      <c r="M252" s="17">
        <v>355150</v>
      </c>
      <c r="N252" s="17">
        <v>397768</v>
      </c>
      <c r="O252" s="2"/>
      <c r="P252" s="2"/>
      <c r="Q252" s="2" t="s">
        <v>30</v>
      </c>
      <c r="R252" s="5">
        <f t="shared" si="9"/>
        <v>397768</v>
      </c>
      <c r="S252" s="5">
        <f t="shared" si="10"/>
        <v>397768</v>
      </c>
      <c r="T252" s="5">
        <f t="shared" si="11"/>
        <v>0</v>
      </c>
    </row>
    <row r="253" spans="1:20">
      <c r="A253" s="2" t="s">
        <v>689</v>
      </c>
      <c r="B253" s="2" t="s">
        <v>714</v>
      </c>
      <c r="C253" s="2" t="s">
        <v>104</v>
      </c>
      <c r="D253" s="16">
        <v>0</v>
      </c>
      <c r="E253" s="2" t="s">
        <v>689</v>
      </c>
      <c r="F253" s="2" t="s">
        <v>712</v>
      </c>
      <c r="G253" s="2" t="s">
        <v>715</v>
      </c>
      <c r="H253" s="17">
        <v>38400</v>
      </c>
      <c r="I253" s="2"/>
      <c r="J253" s="2"/>
      <c r="K253" s="17">
        <v>38400</v>
      </c>
      <c r="L253" s="17">
        <v>4114.29</v>
      </c>
      <c r="M253" s="17">
        <v>34285.71</v>
      </c>
      <c r="N253" s="17">
        <v>38400</v>
      </c>
      <c r="O253" s="2"/>
      <c r="P253" s="2"/>
      <c r="Q253" s="2" t="s">
        <v>30</v>
      </c>
      <c r="R253" s="5">
        <f t="shared" si="9"/>
        <v>38400</v>
      </c>
      <c r="S253" s="5">
        <f t="shared" si="10"/>
        <v>38400</v>
      </c>
      <c r="T253" s="5">
        <f t="shared" si="11"/>
        <v>0</v>
      </c>
    </row>
    <row r="254" spans="1:20">
      <c r="A254" s="2" t="s">
        <v>689</v>
      </c>
      <c r="B254" s="2" t="s">
        <v>716</v>
      </c>
      <c r="C254" s="2" t="s">
        <v>104</v>
      </c>
      <c r="D254" s="16">
        <v>0</v>
      </c>
      <c r="E254" s="2" t="s">
        <v>689</v>
      </c>
      <c r="F254" s="2" t="s">
        <v>712</v>
      </c>
      <c r="G254" s="2" t="s">
        <v>717</v>
      </c>
      <c r="H254" s="17">
        <v>47488</v>
      </c>
      <c r="I254" s="2"/>
      <c r="J254" s="2"/>
      <c r="K254" s="17">
        <v>47488</v>
      </c>
      <c r="L254" s="17">
        <v>5088</v>
      </c>
      <c r="M254" s="17">
        <v>42400</v>
      </c>
      <c r="N254" s="17">
        <v>47488</v>
      </c>
      <c r="O254" s="2"/>
      <c r="P254" s="2"/>
      <c r="Q254" s="2" t="s">
        <v>30</v>
      </c>
      <c r="R254" s="5">
        <f t="shared" si="9"/>
        <v>47488</v>
      </c>
      <c r="S254" s="5">
        <f t="shared" si="10"/>
        <v>47488</v>
      </c>
      <c r="T254" s="5">
        <f t="shared" si="11"/>
        <v>0</v>
      </c>
    </row>
    <row r="255" spans="1:20">
      <c r="A255" s="2" t="s">
        <v>689</v>
      </c>
      <c r="B255" s="2" t="s">
        <v>718</v>
      </c>
      <c r="C255" s="2" t="s">
        <v>60</v>
      </c>
      <c r="D255" s="16">
        <v>0</v>
      </c>
      <c r="E255" s="2" t="s">
        <v>689</v>
      </c>
      <c r="F255" s="2" t="s">
        <v>196</v>
      </c>
      <c r="G255" s="2" t="s">
        <v>719</v>
      </c>
      <c r="H255" s="17">
        <v>86505</v>
      </c>
      <c r="I255" s="2"/>
      <c r="J255" s="2"/>
      <c r="K255" s="17">
        <v>86505</v>
      </c>
      <c r="L255" s="17">
        <v>9268.39</v>
      </c>
      <c r="M255" s="17">
        <v>77236.61</v>
      </c>
      <c r="N255" s="17">
        <v>86505</v>
      </c>
      <c r="O255" s="2"/>
      <c r="P255" s="2"/>
      <c r="Q255" s="2" t="s">
        <v>56</v>
      </c>
      <c r="R255" s="5">
        <f t="shared" si="9"/>
        <v>86505</v>
      </c>
      <c r="S255" s="5">
        <f t="shared" si="10"/>
        <v>86505</v>
      </c>
      <c r="T255" s="5">
        <f t="shared" si="11"/>
        <v>0</v>
      </c>
    </row>
    <row r="256" spans="1:20">
      <c r="A256" s="2" t="s">
        <v>689</v>
      </c>
      <c r="B256" s="2" t="s">
        <v>720</v>
      </c>
      <c r="C256" s="2" t="s">
        <v>23</v>
      </c>
      <c r="D256" s="16">
        <v>30</v>
      </c>
      <c r="E256" s="2" t="s">
        <v>704</v>
      </c>
      <c r="F256" s="2" t="s">
        <v>224</v>
      </c>
      <c r="G256" s="2" t="s">
        <v>721</v>
      </c>
      <c r="H256" s="17">
        <v>22900</v>
      </c>
      <c r="I256" s="2"/>
      <c r="J256" s="2"/>
      <c r="K256" s="17">
        <v>22900</v>
      </c>
      <c r="L256" s="17">
        <v>2453.5700000000002</v>
      </c>
      <c r="M256" s="17">
        <v>20446.43</v>
      </c>
      <c r="N256" s="17">
        <v>22900</v>
      </c>
      <c r="O256" s="2"/>
      <c r="P256" s="2"/>
      <c r="Q256" s="2" t="s">
        <v>180</v>
      </c>
      <c r="R256" s="5">
        <f t="shared" si="9"/>
        <v>22900</v>
      </c>
      <c r="S256" s="5">
        <f t="shared" si="10"/>
        <v>22900</v>
      </c>
      <c r="T256" s="5">
        <f t="shared" si="11"/>
        <v>0</v>
      </c>
    </row>
    <row r="257" spans="1:20">
      <c r="A257" s="2" t="s">
        <v>689</v>
      </c>
      <c r="B257" s="2" t="s">
        <v>722</v>
      </c>
      <c r="C257" s="2" t="s">
        <v>23</v>
      </c>
      <c r="D257" s="16">
        <v>30</v>
      </c>
      <c r="E257" s="2" t="s">
        <v>704</v>
      </c>
      <c r="F257" s="2" t="s">
        <v>224</v>
      </c>
      <c r="G257" s="2" t="s">
        <v>723</v>
      </c>
      <c r="H257" s="17">
        <v>57200</v>
      </c>
      <c r="I257" s="2"/>
      <c r="J257" s="2"/>
      <c r="K257" s="17">
        <v>57200</v>
      </c>
      <c r="L257" s="17">
        <v>6128.57</v>
      </c>
      <c r="M257" s="17">
        <v>51071.43</v>
      </c>
      <c r="N257" s="17">
        <v>57200</v>
      </c>
      <c r="O257" s="2"/>
      <c r="P257" s="2"/>
      <c r="Q257" s="2" t="s">
        <v>180</v>
      </c>
      <c r="R257" s="5">
        <f t="shared" si="9"/>
        <v>57200</v>
      </c>
      <c r="S257" s="5">
        <f t="shared" si="10"/>
        <v>57200</v>
      </c>
      <c r="T257" s="5">
        <f t="shared" si="11"/>
        <v>0</v>
      </c>
    </row>
    <row r="258" spans="1:20">
      <c r="A258" s="2" t="s">
        <v>689</v>
      </c>
      <c r="B258" s="2" t="s">
        <v>724</v>
      </c>
      <c r="C258" s="2" t="s">
        <v>23</v>
      </c>
      <c r="D258" s="16">
        <v>30</v>
      </c>
      <c r="E258" s="2" t="s">
        <v>704</v>
      </c>
      <c r="F258" s="2" t="s">
        <v>224</v>
      </c>
      <c r="G258" s="2" t="s">
        <v>725</v>
      </c>
      <c r="H258" s="17">
        <v>22900</v>
      </c>
      <c r="I258" s="2"/>
      <c r="J258" s="2"/>
      <c r="K258" s="17">
        <v>22900</v>
      </c>
      <c r="L258" s="17">
        <v>2453.5700000000002</v>
      </c>
      <c r="M258" s="17">
        <v>20446.43</v>
      </c>
      <c r="N258" s="17">
        <v>22900</v>
      </c>
      <c r="O258" s="2"/>
      <c r="P258" s="2"/>
      <c r="Q258" s="2" t="s">
        <v>180</v>
      </c>
      <c r="R258" s="5">
        <f t="shared" si="9"/>
        <v>22900</v>
      </c>
      <c r="S258" s="5">
        <f t="shared" si="10"/>
        <v>22900</v>
      </c>
      <c r="T258" s="5">
        <f t="shared" si="11"/>
        <v>0</v>
      </c>
    </row>
    <row r="259" spans="1:20">
      <c r="A259" s="2" t="s">
        <v>689</v>
      </c>
      <c r="B259" s="2" t="s">
        <v>726</v>
      </c>
      <c r="C259" s="2" t="s">
        <v>151</v>
      </c>
      <c r="D259" s="16">
        <v>60</v>
      </c>
      <c r="E259" s="2" t="s">
        <v>692</v>
      </c>
      <c r="F259" s="2" t="s">
        <v>728</v>
      </c>
      <c r="G259" s="2" t="s">
        <v>729</v>
      </c>
      <c r="H259" s="17">
        <v>113168</v>
      </c>
      <c r="I259" s="2"/>
      <c r="J259" s="2"/>
      <c r="K259" s="17">
        <v>113168</v>
      </c>
      <c r="L259" s="17">
        <v>12125.14</v>
      </c>
      <c r="M259" s="17">
        <v>101042.86</v>
      </c>
      <c r="N259" s="17">
        <v>113168</v>
      </c>
      <c r="O259" s="2"/>
      <c r="P259" s="2"/>
      <c r="Q259" s="2" t="s">
        <v>727</v>
      </c>
      <c r="R259" s="5">
        <f t="shared" si="9"/>
        <v>113168</v>
      </c>
      <c r="S259" s="5">
        <f t="shared" si="10"/>
        <v>113168</v>
      </c>
      <c r="T259" s="5">
        <f t="shared" si="11"/>
        <v>0</v>
      </c>
    </row>
    <row r="260" spans="1:20">
      <c r="A260" s="2" t="s">
        <v>689</v>
      </c>
      <c r="B260" s="2" t="s">
        <v>730</v>
      </c>
      <c r="C260" s="2" t="s">
        <v>151</v>
      </c>
      <c r="D260" s="16">
        <v>60</v>
      </c>
      <c r="E260" s="2" t="s">
        <v>692</v>
      </c>
      <c r="F260" s="2" t="s">
        <v>728</v>
      </c>
      <c r="G260" s="2" t="s">
        <v>731</v>
      </c>
      <c r="H260" s="17">
        <v>686000</v>
      </c>
      <c r="I260" s="2"/>
      <c r="J260" s="2"/>
      <c r="K260" s="17">
        <v>686000</v>
      </c>
      <c r="L260" s="17">
        <v>73500</v>
      </c>
      <c r="M260" s="17">
        <v>612500</v>
      </c>
      <c r="N260" s="17">
        <v>686000</v>
      </c>
      <c r="O260" s="2"/>
      <c r="P260" s="2"/>
      <c r="Q260" s="2" t="s">
        <v>727</v>
      </c>
      <c r="R260" s="5">
        <f t="shared" si="9"/>
        <v>686000</v>
      </c>
      <c r="S260" s="5">
        <f t="shared" si="10"/>
        <v>686000</v>
      </c>
      <c r="T260" s="5">
        <f t="shared" si="11"/>
        <v>0</v>
      </c>
    </row>
    <row r="261" spans="1:20">
      <c r="A261" s="2" t="s">
        <v>689</v>
      </c>
      <c r="B261" s="2" t="s">
        <v>732</v>
      </c>
      <c r="C261" s="2" t="s">
        <v>151</v>
      </c>
      <c r="D261" s="16">
        <v>60</v>
      </c>
      <c r="E261" s="2" t="s">
        <v>692</v>
      </c>
      <c r="F261" s="2" t="s">
        <v>728</v>
      </c>
      <c r="G261" s="2" t="s">
        <v>733</v>
      </c>
      <c r="H261" s="17">
        <v>313000</v>
      </c>
      <c r="I261" s="2"/>
      <c r="J261" s="2"/>
      <c r="K261" s="17">
        <v>313000</v>
      </c>
      <c r="L261" s="17">
        <v>33535.71</v>
      </c>
      <c r="M261" s="17">
        <v>279464.28999999998</v>
      </c>
      <c r="N261" s="17">
        <v>313000</v>
      </c>
      <c r="O261" s="2"/>
      <c r="P261" s="2"/>
      <c r="Q261" s="2" t="s">
        <v>727</v>
      </c>
      <c r="R261" s="5">
        <f t="shared" si="9"/>
        <v>313000</v>
      </c>
      <c r="S261" s="5">
        <f t="shared" si="10"/>
        <v>313000</v>
      </c>
      <c r="T261" s="5">
        <f t="shared" si="11"/>
        <v>0</v>
      </c>
    </row>
    <row r="262" spans="1:20">
      <c r="A262" s="2" t="s">
        <v>689</v>
      </c>
      <c r="B262" s="2" t="s">
        <v>734</v>
      </c>
      <c r="C262" s="2" t="s">
        <v>151</v>
      </c>
      <c r="D262" s="16">
        <v>60</v>
      </c>
      <c r="E262" s="2" t="s">
        <v>692</v>
      </c>
      <c r="F262" s="2" t="s">
        <v>728</v>
      </c>
      <c r="G262" s="2" t="s">
        <v>735</v>
      </c>
      <c r="H262" s="17">
        <v>111830</v>
      </c>
      <c r="I262" s="2"/>
      <c r="J262" s="2"/>
      <c r="K262" s="17">
        <v>111830</v>
      </c>
      <c r="L262" s="17">
        <v>11981.79</v>
      </c>
      <c r="M262" s="17">
        <v>99848.21</v>
      </c>
      <c r="N262" s="17">
        <v>111830</v>
      </c>
      <c r="O262" s="2"/>
      <c r="P262" s="2"/>
      <c r="Q262" s="2" t="s">
        <v>727</v>
      </c>
      <c r="R262" s="5">
        <f t="shared" ref="R262:R325" si="12">+J262+K262</f>
        <v>111830</v>
      </c>
      <c r="S262" s="5">
        <f t="shared" ref="S262:S325" si="13">+N262</f>
        <v>111830</v>
      </c>
      <c r="T262" s="5">
        <f t="shared" ref="T262:T325" si="14">+R262-S262</f>
        <v>0</v>
      </c>
    </row>
    <row r="263" spans="1:20">
      <c r="A263" s="2" t="s">
        <v>689</v>
      </c>
      <c r="B263" s="2" t="s">
        <v>736</v>
      </c>
      <c r="C263" s="2" t="s">
        <v>151</v>
      </c>
      <c r="D263" s="16">
        <v>60</v>
      </c>
      <c r="E263" s="2" t="s">
        <v>692</v>
      </c>
      <c r="F263" s="2" t="s">
        <v>728</v>
      </c>
      <c r="G263" s="2" t="s">
        <v>737</v>
      </c>
      <c r="H263" s="17">
        <v>313000</v>
      </c>
      <c r="I263" s="2"/>
      <c r="J263" s="2"/>
      <c r="K263" s="17">
        <v>313000</v>
      </c>
      <c r="L263" s="17">
        <v>33535.71</v>
      </c>
      <c r="M263" s="17">
        <v>279464.28999999998</v>
      </c>
      <c r="N263" s="17">
        <v>313000</v>
      </c>
      <c r="O263" s="2"/>
      <c r="P263" s="2"/>
      <c r="Q263" s="2" t="s">
        <v>727</v>
      </c>
      <c r="R263" s="5">
        <f t="shared" si="12"/>
        <v>313000</v>
      </c>
      <c r="S263" s="5">
        <f t="shared" si="13"/>
        <v>313000</v>
      </c>
      <c r="T263" s="5">
        <f t="shared" si="14"/>
        <v>0</v>
      </c>
    </row>
    <row r="264" spans="1:20">
      <c r="A264" s="2" t="s">
        <v>689</v>
      </c>
      <c r="B264" s="2" t="s">
        <v>738</v>
      </c>
      <c r="C264" s="2" t="s">
        <v>60</v>
      </c>
      <c r="D264" s="16">
        <v>0</v>
      </c>
      <c r="E264" s="2" t="s">
        <v>689</v>
      </c>
      <c r="F264" s="2" t="s">
        <v>546</v>
      </c>
      <c r="G264" s="2" t="s">
        <v>739</v>
      </c>
      <c r="H264" s="17">
        <v>46363.6</v>
      </c>
      <c r="I264" s="2"/>
      <c r="J264" s="2"/>
      <c r="K264" s="17">
        <v>46363.6</v>
      </c>
      <c r="L264" s="17">
        <v>4967.53</v>
      </c>
      <c r="M264" s="17">
        <v>41396.07</v>
      </c>
      <c r="N264" s="17">
        <v>46363.6</v>
      </c>
      <c r="O264" s="2"/>
      <c r="P264" s="2"/>
      <c r="Q264" s="2" t="s">
        <v>56</v>
      </c>
      <c r="R264" s="5">
        <f t="shared" si="12"/>
        <v>46363.6</v>
      </c>
      <c r="S264" s="5">
        <f t="shared" si="13"/>
        <v>46363.6</v>
      </c>
      <c r="T264" s="5">
        <f t="shared" si="14"/>
        <v>0</v>
      </c>
    </row>
    <row r="265" spans="1:20">
      <c r="A265" s="2" t="s">
        <v>689</v>
      </c>
      <c r="B265" s="2" t="s">
        <v>740</v>
      </c>
      <c r="C265" s="2" t="s">
        <v>104</v>
      </c>
      <c r="D265" s="16">
        <v>0</v>
      </c>
      <c r="E265" s="2" t="s">
        <v>689</v>
      </c>
      <c r="F265" s="2" t="s">
        <v>490</v>
      </c>
      <c r="G265" s="2" t="s">
        <v>741</v>
      </c>
      <c r="H265" s="17">
        <v>770100</v>
      </c>
      <c r="I265" s="2"/>
      <c r="J265" s="2"/>
      <c r="K265" s="17">
        <v>770100</v>
      </c>
      <c r="L265" s="17">
        <v>82510.710000000006</v>
      </c>
      <c r="M265" s="17">
        <v>687589.29</v>
      </c>
      <c r="N265" s="17">
        <v>770100</v>
      </c>
      <c r="O265" s="2"/>
      <c r="P265" s="2"/>
      <c r="Q265" s="2" t="s">
        <v>30</v>
      </c>
      <c r="R265" s="5">
        <f t="shared" si="12"/>
        <v>770100</v>
      </c>
      <c r="S265" s="5">
        <f t="shared" si="13"/>
        <v>770100</v>
      </c>
      <c r="T265" s="5">
        <f t="shared" si="14"/>
        <v>0</v>
      </c>
    </row>
    <row r="266" spans="1:20">
      <c r="A266" s="2" t="s">
        <v>689</v>
      </c>
      <c r="B266" s="2" t="s">
        <v>742</v>
      </c>
      <c r="C266" s="2" t="s">
        <v>29</v>
      </c>
      <c r="D266" s="16">
        <v>0</v>
      </c>
      <c r="E266" s="2" t="s">
        <v>689</v>
      </c>
      <c r="F266" s="2" t="s">
        <v>218</v>
      </c>
      <c r="G266" s="2" t="s">
        <v>743</v>
      </c>
      <c r="H266" s="17">
        <v>22936</v>
      </c>
      <c r="I266" s="19">
        <v>-688.08</v>
      </c>
      <c r="J266" s="2"/>
      <c r="K266" s="17">
        <v>22247.919999999998</v>
      </c>
      <c r="L266" s="17">
        <v>2383.71</v>
      </c>
      <c r="M266" s="17">
        <v>19864.21</v>
      </c>
      <c r="N266" s="17">
        <v>22247.919999999998</v>
      </c>
      <c r="O266" s="2"/>
      <c r="P266" s="2"/>
      <c r="Q266" s="2" t="s">
        <v>30</v>
      </c>
      <c r="R266" s="5">
        <f t="shared" si="12"/>
        <v>22247.919999999998</v>
      </c>
      <c r="S266" s="5">
        <f t="shared" si="13"/>
        <v>22247.919999999998</v>
      </c>
      <c r="T266" s="5">
        <f t="shared" si="14"/>
        <v>0</v>
      </c>
    </row>
    <row r="267" spans="1:20">
      <c r="A267" s="2" t="s">
        <v>689</v>
      </c>
      <c r="B267" s="2" t="s">
        <v>744</v>
      </c>
      <c r="C267" s="2" t="s">
        <v>29</v>
      </c>
      <c r="D267" s="16">
        <v>0</v>
      </c>
      <c r="E267" s="2" t="s">
        <v>689</v>
      </c>
      <c r="F267" s="2" t="s">
        <v>218</v>
      </c>
      <c r="G267" s="2" t="s">
        <v>745</v>
      </c>
      <c r="H267" s="17">
        <v>61692</v>
      </c>
      <c r="I267" s="19">
        <v>-1850.76</v>
      </c>
      <c r="J267" s="2"/>
      <c r="K267" s="17">
        <v>59841.24</v>
      </c>
      <c r="L267" s="17">
        <v>6411.56</v>
      </c>
      <c r="M267" s="17">
        <v>53429.68</v>
      </c>
      <c r="N267" s="17">
        <v>59841.24</v>
      </c>
      <c r="O267" s="2"/>
      <c r="P267" s="2"/>
      <c r="Q267" s="2" t="s">
        <v>30</v>
      </c>
      <c r="R267" s="5">
        <f t="shared" si="12"/>
        <v>59841.24</v>
      </c>
      <c r="S267" s="5">
        <f t="shared" si="13"/>
        <v>59841.24</v>
      </c>
      <c r="T267" s="5">
        <f t="shared" si="14"/>
        <v>0</v>
      </c>
    </row>
    <row r="268" spans="1:20">
      <c r="A268" s="2" t="s">
        <v>689</v>
      </c>
      <c r="B268" s="2" t="s">
        <v>746</v>
      </c>
      <c r="C268" s="2" t="s">
        <v>151</v>
      </c>
      <c r="D268" s="16">
        <v>60</v>
      </c>
      <c r="E268" s="2" t="s">
        <v>692</v>
      </c>
      <c r="F268" s="2" t="s">
        <v>728</v>
      </c>
      <c r="G268" s="2" t="s">
        <v>747</v>
      </c>
      <c r="H268" s="17">
        <v>408480</v>
      </c>
      <c r="I268" s="2"/>
      <c r="J268" s="2"/>
      <c r="K268" s="17">
        <v>408480</v>
      </c>
      <c r="L268" s="17">
        <v>43765.71</v>
      </c>
      <c r="M268" s="17">
        <v>364714.29</v>
      </c>
      <c r="N268" s="17">
        <v>408480</v>
      </c>
      <c r="O268" s="2"/>
      <c r="P268" s="2"/>
      <c r="Q268" s="2" t="s">
        <v>727</v>
      </c>
      <c r="R268" s="5">
        <f t="shared" si="12"/>
        <v>408480</v>
      </c>
      <c r="S268" s="5">
        <f t="shared" si="13"/>
        <v>408480</v>
      </c>
      <c r="T268" s="5">
        <f t="shared" si="14"/>
        <v>0</v>
      </c>
    </row>
    <row r="269" spans="1:20">
      <c r="A269" s="2" t="s">
        <v>689</v>
      </c>
      <c r="B269" s="2" t="s">
        <v>748</v>
      </c>
      <c r="C269" s="2" t="s">
        <v>151</v>
      </c>
      <c r="D269" s="16">
        <v>60</v>
      </c>
      <c r="E269" s="2" t="s">
        <v>692</v>
      </c>
      <c r="F269" s="2" t="s">
        <v>728</v>
      </c>
      <c r="G269" s="2" t="s">
        <v>749</v>
      </c>
      <c r="H269" s="17">
        <v>250400</v>
      </c>
      <c r="I269" s="2"/>
      <c r="J269" s="2"/>
      <c r="K269" s="17">
        <v>250400</v>
      </c>
      <c r="L269" s="17">
        <v>26828.57</v>
      </c>
      <c r="M269" s="17">
        <v>223571.43</v>
      </c>
      <c r="N269" s="17">
        <v>250400</v>
      </c>
      <c r="O269" s="2"/>
      <c r="P269" s="2"/>
      <c r="Q269" s="2" t="s">
        <v>727</v>
      </c>
      <c r="R269" s="5">
        <f t="shared" si="12"/>
        <v>250400</v>
      </c>
      <c r="S269" s="5">
        <f t="shared" si="13"/>
        <v>250400</v>
      </c>
      <c r="T269" s="5">
        <f t="shared" si="14"/>
        <v>0</v>
      </c>
    </row>
    <row r="270" spans="1:20">
      <c r="A270" s="2" t="s">
        <v>689</v>
      </c>
      <c r="B270" s="2" t="s">
        <v>750</v>
      </c>
      <c r="C270" s="2" t="s">
        <v>162</v>
      </c>
      <c r="D270" s="16">
        <v>90</v>
      </c>
      <c r="E270" s="2" t="s">
        <v>751</v>
      </c>
      <c r="F270" s="2" t="s">
        <v>193</v>
      </c>
      <c r="G270" s="2" t="s">
        <v>752</v>
      </c>
      <c r="H270" s="17">
        <v>8216</v>
      </c>
      <c r="I270" s="2"/>
      <c r="J270" s="2"/>
      <c r="K270" s="17">
        <v>8216</v>
      </c>
      <c r="L270" s="18">
        <v>880.29</v>
      </c>
      <c r="M270" s="17">
        <v>7335.71</v>
      </c>
      <c r="N270" s="17">
        <v>8216</v>
      </c>
      <c r="O270" s="2"/>
      <c r="P270" s="2"/>
      <c r="Q270" s="2" t="s">
        <v>36</v>
      </c>
      <c r="R270" s="5">
        <f t="shared" si="12"/>
        <v>8216</v>
      </c>
      <c r="S270" s="5">
        <f t="shared" si="13"/>
        <v>8216</v>
      </c>
      <c r="T270" s="5">
        <f t="shared" si="14"/>
        <v>0</v>
      </c>
    </row>
    <row r="271" spans="1:20">
      <c r="A271" s="2" t="s">
        <v>689</v>
      </c>
      <c r="B271" s="2" t="s">
        <v>753</v>
      </c>
      <c r="C271" s="2" t="s">
        <v>162</v>
      </c>
      <c r="D271" s="16">
        <v>90</v>
      </c>
      <c r="E271" s="2" t="s">
        <v>751</v>
      </c>
      <c r="F271" s="2" t="s">
        <v>754</v>
      </c>
      <c r="G271" s="2" t="s">
        <v>755</v>
      </c>
      <c r="H271" s="17">
        <v>18780</v>
      </c>
      <c r="I271" s="2"/>
      <c r="J271" s="2"/>
      <c r="K271" s="17">
        <v>18780</v>
      </c>
      <c r="L271" s="17">
        <v>2012.14</v>
      </c>
      <c r="M271" s="17">
        <v>16767.86</v>
      </c>
      <c r="N271" s="17">
        <v>18780</v>
      </c>
      <c r="O271" s="2"/>
      <c r="P271" s="2"/>
      <c r="Q271" s="2" t="s">
        <v>36</v>
      </c>
      <c r="R271" s="5">
        <f t="shared" si="12"/>
        <v>18780</v>
      </c>
      <c r="S271" s="5">
        <f t="shared" si="13"/>
        <v>18780</v>
      </c>
      <c r="T271" s="5">
        <f t="shared" si="14"/>
        <v>0</v>
      </c>
    </row>
    <row r="272" spans="1:20">
      <c r="A272" s="2" t="s">
        <v>689</v>
      </c>
      <c r="B272" s="2" t="s">
        <v>756</v>
      </c>
      <c r="C272" s="2" t="s">
        <v>68</v>
      </c>
      <c r="D272" s="16">
        <v>60</v>
      </c>
      <c r="E272" s="2" t="s">
        <v>692</v>
      </c>
      <c r="F272" s="2" t="s">
        <v>70</v>
      </c>
      <c r="G272" s="2" t="s">
        <v>757</v>
      </c>
      <c r="H272" s="17">
        <v>2419200</v>
      </c>
      <c r="I272" s="2"/>
      <c r="J272" s="2"/>
      <c r="K272" s="17">
        <v>2419200</v>
      </c>
      <c r="L272" s="17">
        <v>259200</v>
      </c>
      <c r="M272" s="17">
        <v>2160000</v>
      </c>
      <c r="N272" s="17">
        <v>2419200</v>
      </c>
      <c r="O272" s="2"/>
      <c r="P272" s="2"/>
      <c r="Q272" s="2" t="s">
        <v>69</v>
      </c>
      <c r="R272" s="5">
        <f t="shared" si="12"/>
        <v>2419200</v>
      </c>
      <c r="S272" s="5">
        <f t="shared" si="13"/>
        <v>2419200</v>
      </c>
      <c r="T272" s="5">
        <f t="shared" si="14"/>
        <v>0</v>
      </c>
    </row>
    <row r="273" spans="1:20">
      <c r="A273" s="2" t="s">
        <v>689</v>
      </c>
      <c r="B273" s="2" t="s">
        <v>758</v>
      </c>
      <c r="C273" s="2" t="s">
        <v>237</v>
      </c>
      <c r="D273" s="16">
        <v>60</v>
      </c>
      <c r="E273" s="2" t="s">
        <v>692</v>
      </c>
      <c r="F273" s="2" t="s">
        <v>760</v>
      </c>
      <c r="G273" s="2" t="s">
        <v>761</v>
      </c>
      <c r="H273" s="17">
        <v>89550</v>
      </c>
      <c r="I273" s="2"/>
      <c r="J273" s="2"/>
      <c r="K273" s="17">
        <v>89550</v>
      </c>
      <c r="L273" s="17">
        <v>9594.64</v>
      </c>
      <c r="M273" s="17">
        <v>79955.360000000001</v>
      </c>
      <c r="N273" s="17">
        <v>89550</v>
      </c>
      <c r="O273" s="2"/>
      <c r="P273" s="2"/>
      <c r="Q273" s="2" t="s">
        <v>759</v>
      </c>
      <c r="R273" s="5">
        <f t="shared" si="12"/>
        <v>89550</v>
      </c>
      <c r="S273" s="5">
        <f t="shared" si="13"/>
        <v>89550</v>
      </c>
      <c r="T273" s="5">
        <f t="shared" si="14"/>
        <v>0</v>
      </c>
    </row>
    <row r="274" spans="1:20">
      <c r="A274" s="2" t="s">
        <v>689</v>
      </c>
      <c r="B274" s="2" t="s">
        <v>762</v>
      </c>
      <c r="C274" s="2" t="s">
        <v>146</v>
      </c>
      <c r="D274" s="16">
        <v>90</v>
      </c>
      <c r="E274" s="2" t="s">
        <v>751</v>
      </c>
      <c r="F274" s="2" t="s">
        <v>763</v>
      </c>
      <c r="G274" s="2" t="s">
        <v>764</v>
      </c>
      <c r="H274" s="17">
        <v>49500</v>
      </c>
      <c r="I274" s="2"/>
      <c r="J274" s="2"/>
      <c r="K274" s="17">
        <v>49500</v>
      </c>
      <c r="L274" s="17">
        <v>5303.57</v>
      </c>
      <c r="M274" s="17">
        <v>44196.43</v>
      </c>
      <c r="N274" s="17">
        <v>49500</v>
      </c>
      <c r="O274" s="2"/>
      <c r="P274" s="2"/>
      <c r="Q274" s="2" t="s">
        <v>759</v>
      </c>
      <c r="R274" s="5">
        <f t="shared" si="12"/>
        <v>49500</v>
      </c>
      <c r="S274" s="5">
        <f t="shared" si="13"/>
        <v>49500</v>
      </c>
      <c r="T274" s="5">
        <f t="shared" si="14"/>
        <v>0</v>
      </c>
    </row>
    <row r="275" spans="1:20">
      <c r="A275" s="2" t="s">
        <v>689</v>
      </c>
      <c r="B275" s="2" t="s">
        <v>765</v>
      </c>
      <c r="C275" s="2" t="s">
        <v>146</v>
      </c>
      <c r="D275" s="16">
        <v>90</v>
      </c>
      <c r="E275" s="2" t="s">
        <v>751</v>
      </c>
      <c r="F275" s="2" t="s">
        <v>766</v>
      </c>
      <c r="G275" s="2" t="s">
        <v>767</v>
      </c>
      <c r="H275" s="17">
        <v>89550</v>
      </c>
      <c r="I275" s="2"/>
      <c r="J275" s="2"/>
      <c r="K275" s="17">
        <v>89550</v>
      </c>
      <c r="L275" s="17">
        <v>9594.64</v>
      </c>
      <c r="M275" s="17">
        <v>79955.360000000001</v>
      </c>
      <c r="N275" s="17">
        <v>89550</v>
      </c>
      <c r="O275" s="2"/>
      <c r="P275" s="2"/>
      <c r="Q275" s="2" t="s">
        <v>759</v>
      </c>
      <c r="R275" s="5">
        <f t="shared" si="12"/>
        <v>89550</v>
      </c>
      <c r="S275" s="5">
        <f t="shared" si="13"/>
        <v>89550</v>
      </c>
      <c r="T275" s="5">
        <f t="shared" si="14"/>
        <v>0</v>
      </c>
    </row>
    <row r="276" spans="1:20">
      <c r="A276" s="2" t="s">
        <v>769</v>
      </c>
      <c r="B276" s="2" t="s">
        <v>768</v>
      </c>
      <c r="C276" s="2" t="s">
        <v>237</v>
      </c>
      <c r="D276" s="16">
        <v>60</v>
      </c>
      <c r="E276" s="2" t="s">
        <v>770</v>
      </c>
      <c r="F276" s="2" t="s">
        <v>303</v>
      </c>
      <c r="G276" s="2" t="s">
        <v>771</v>
      </c>
      <c r="H276" s="17">
        <v>113650</v>
      </c>
      <c r="I276" s="2"/>
      <c r="J276" s="2"/>
      <c r="K276" s="17">
        <v>113650</v>
      </c>
      <c r="L276" s="17">
        <v>12176.79</v>
      </c>
      <c r="M276" s="17">
        <v>101473.21</v>
      </c>
      <c r="N276" s="17">
        <v>113650</v>
      </c>
      <c r="O276" s="2"/>
      <c r="P276" s="2"/>
      <c r="Q276" s="2" t="s">
        <v>69</v>
      </c>
      <c r="R276" s="5">
        <f t="shared" si="12"/>
        <v>113650</v>
      </c>
      <c r="S276" s="5">
        <f t="shared" si="13"/>
        <v>113650</v>
      </c>
      <c r="T276" s="5">
        <f t="shared" si="14"/>
        <v>0</v>
      </c>
    </row>
    <row r="277" spans="1:20">
      <c r="A277" s="2" t="s">
        <v>769</v>
      </c>
      <c r="B277" s="2" t="s">
        <v>772</v>
      </c>
      <c r="C277" s="2" t="s">
        <v>237</v>
      </c>
      <c r="D277" s="16">
        <v>60</v>
      </c>
      <c r="E277" s="2" t="s">
        <v>770</v>
      </c>
      <c r="F277" s="2" t="s">
        <v>303</v>
      </c>
      <c r="G277" s="2" t="s">
        <v>773</v>
      </c>
      <c r="H277" s="17">
        <v>113650</v>
      </c>
      <c r="I277" s="2"/>
      <c r="J277" s="2"/>
      <c r="K277" s="17">
        <v>113650</v>
      </c>
      <c r="L277" s="17">
        <v>12176.79</v>
      </c>
      <c r="M277" s="17">
        <v>101473.21</v>
      </c>
      <c r="N277" s="17">
        <v>113650</v>
      </c>
      <c r="O277" s="2"/>
      <c r="P277" s="2"/>
      <c r="Q277" s="2" t="s">
        <v>69</v>
      </c>
      <c r="R277" s="5">
        <f t="shared" si="12"/>
        <v>113650</v>
      </c>
      <c r="S277" s="5">
        <f t="shared" si="13"/>
        <v>113650</v>
      </c>
      <c r="T277" s="5">
        <f t="shared" si="14"/>
        <v>0</v>
      </c>
    </row>
    <row r="278" spans="1:20">
      <c r="A278" s="2" t="s">
        <v>769</v>
      </c>
      <c r="B278" s="2" t="s">
        <v>774</v>
      </c>
      <c r="C278" s="2" t="s">
        <v>237</v>
      </c>
      <c r="D278" s="16">
        <v>60</v>
      </c>
      <c r="E278" s="2" t="s">
        <v>770</v>
      </c>
      <c r="F278" s="2" t="s">
        <v>303</v>
      </c>
      <c r="G278" s="2" t="s">
        <v>775</v>
      </c>
      <c r="H278" s="17">
        <v>154053</v>
      </c>
      <c r="I278" s="2"/>
      <c r="J278" s="2"/>
      <c r="K278" s="17">
        <v>154053</v>
      </c>
      <c r="L278" s="17">
        <v>16505.68</v>
      </c>
      <c r="M278" s="17">
        <v>137547.32</v>
      </c>
      <c r="N278" s="17">
        <v>154053</v>
      </c>
      <c r="O278" s="2"/>
      <c r="P278" s="2"/>
      <c r="Q278" s="2" t="s">
        <v>69</v>
      </c>
      <c r="R278" s="5">
        <f t="shared" si="12"/>
        <v>154053</v>
      </c>
      <c r="S278" s="5">
        <f t="shared" si="13"/>
        <v>154053</v>
      </c>
      <c r="T278" s="5">
        <f t="shared" si="14"/>
        <v>0</v>
      </c>
    </row>
    <row r="279" spans="1:20">
      <c r="A279" s="2" t="s">
        <v>769</v>
      </c>
      <c r="B279" s="2" t="s">
        <v>776</v>
      </c>
      <c r="C279" s="2" t="s">
        <v>60</v>
      </c>
      <c r="D279" s="16">
        <v>0</v>
      </c>
      <c r="E279" s="2" t="s">
        <v>769</v>
      </c>
      <c r="F279" s="2" t="s">
        <v>184</v>
      </c>
      <c r="G279" s="2" t="s">
        <v>777</v>
      </c>
      <c r="H279" s="17">
        <v>205000</v>
      </c>
      <c r="I279" s="2"/>
      <c r="J279" s="2"/>
      <c r="K279" s="17">
        <v>205000</v>
      </c>
      <c r="L279" s="17">
        <v>21964.29</v>
      </c>
      <c r="M279" s="17">
        <v>183035.71</v>
      </c>
      <c r="N279" s="17">
        <v>205000</v>
      </c>
      <c r="O279" s="2"/>
      <c r="P279" s="2"/>
      <c r="Q279" s="2" t="s">
        <v>30</v>
      </c>
      <c r="R279" s="5">
        <f t="shared" si="12"/>
        <v>205000</v>
      </c>
      <c r="S279" s="5">
        <f t="shared" si="13"/>
        <v>205000</v>
      </c>
      <c r="T279" s="5">
        <f t="shared" si="14"/>
        <v>0</v>
      </c>
    </row>
    <row r="280" spans="1:20">
      <c r="A280" s="2" t="s">
        <v>769</v>
      </c>
      <c r="B280" s="2" t="s">
        <v>778</v>
      </c>
      <c r="C280" s="2" t="s">
        <v>779</v>
      </c>
      <c r="D280" s="16">
        <v>0</v>
      </c>
      <c r="E280" s="2" t="s">
        <v>769</v>
      </c>
      <c r="F280" s="2" t="s">
        <v>780</v>
      </c>
      <c r="G280" s="2" t="s">
        <v>781</v>
      </c>
      <c r="H280" s="17">
        <v>443290</v>
      </c>
      <c r="I280" s="2"/>
      <c r="J280" s="2"/>
      <c r="K280" s="17">
        <v>443290</v>
      </c>
      <c r="L280" s="17">
        <v>47495.360000000001</v>
      </c>
      <c r="M280" s="17">
        <v>395794.64</v>
      </c>
      <c r="N280" s="17">
        <v>443290</v>
      </c>
      <c r="O280" s="2"/>
      <c r="P280" s="2"/>
      <c r="Q280" s="2" t="s">
        <v>69</v>
      </c>
      <c r="R280" s="5">
        <f t="shared" si="12"/>
        <v>443290</v>
      </c>
      <c r="S280" s="5">
        <f t="shared" si="13"/>
        <v>443290</v>
      </c>
      <c r="T280" s="5">
        <f t="shared" si="14"/>
        <v>0</v>
      </c>
    </row>
    <row r="281" spans="1:20">
      <c r="A281" s="2" t="s">
        <v>769</v>
      </c>
      <c r="B281" s="2" t="s">
        <v>782</v>
      </c>
      <c r="C281" s="2" t="s">
        <v>779</v>
      </c>
      <c r="D281" s="16">
        <v>0</v>
      </c>
      <c r="E281" s="2" t="s">
        <v>769</v>
      </c>
      <c r="F281" s="2" t="s">
        <v>780</v>
      </c>
      <c r="G281" s="2" t="s">
        <v>783</v>
      </c>
      <c r="H281" s="17">
        <v>353465</v>
      </c>
      <c r="I281" s="2"/>
      <c r="J281" s="2"/>
      <c r="K281" s="17">
        <v>353465</v>
      </c>
      <c r="L281" s="17">
        <v>37871.25</v>
      </c>
      <c r="M281" s="17">
        <v>315593.75</v>
      </c>
      <c r="N281" s="17">
        <v>353465</v>
      </c>
      <c r="O281" s="2"/>
      <c r="P281" s="2"/>
      <c r="Q281" s="2" t="s">
        <v>69</v>
      </c>
      <c r="R281" s="5">
        <f t="shared" si="12"/>
        <v>353465</v>
      </c>
      <c r="S281" s="5">
        <f t="shared" si="13"/>
        <v>353465</v>
      </c>
      <c r="T281" s="5">
        <f t="shared" si="14"/>
        <v>0</v>
      </c>
    </row>
    <row r="282" spans="1:20">
      <c r="A282" s="2" t="s">
        <v>769</v>
      </c>
      <c r="B282" s="2" t="s">
        <v>784</v>
      </c>
      <c r="C282" s="2" t="s">
        <v>779</v>
      </c>
      <c r="D282" s="16">
        <v>0</v>
      </c>
      <c r="E282" s="2" t="s">
        <v>769</v>
      </c>
      <c r="F282" s="2" t="s">
        <v>780</v>
      </c>
      <c r="G282" s="2" t="s">
        <v>785</v>
      </c>
      <c r="H282" s="17">
        <v>94498</v>
      </c>
      <c r="I282" s="2"/>
      <c r="J282" s="2"/>
      <c r="K282" s="17">
        <v>94498</v>
      </c>
      <c r="L282" s="17">
        <v>10124.790000000001</v>
      </c>
      <c r="M282" s="17">
        <v>84373.21</v>
      </c>
      <c r="N282" s="17">
        <v>94498</v>
      </c>
      <c r="O282" s="2"/>
      <c r="P282" s="2"/>
      <c r="Q282" s="2" t="s">
        <v>69</v>
      </c>
      <c r="R282" s="5">
        <f t="shared" si="12"/>
        <v>94498</v>
      </c>
      <c r="S282" s="5">
        <f t="shared" si="13"/>
        <v>94498</v>
      </c>
      <c r="T282" s="5">
        <f t="shared" si="14"/>
        <v>0</v>
      </c>
    </row>
    <row r="283" spans="1:20">
      <c r="A283" s="2" t="s">
        <v>769</v>
      </c>
      <c r="B283" s="2" t="s">
        <v>786</v>
      </c>
      <c r="C283" s="2" t="s">
        <v>658</v>
      </c>
      <c r="D283" s="16">
        <v>60</v>
      </c>
      <c r="E283" s="2" t="s">
        <v>770</v>
      </c>
      <c r="F283" s="2" t="s">
        <v>787</v>
      </c>
      <c r="G283" s="2" t="s">
        <v>788</v>
      </c>
      <c r="H283" s="17">
        <v>94080</v>
      </c>
      <c r="I283" s="2"/>
      <c r="J283" s="2"/>
      <c r="K283" s="17">
        <v>94080</v>
      </c>
      <c r="L283" s="17">
        <v>10080</v>
      </c>
      <c r="M283" s="17">
        <v>84000</v>
      </c>
      <c r="N283" s="17">
        <v>94080</v>
      </c>
      <c r="O283" s="2"/>
      <c r="P283" s="2"/>
      <c r="Q283" s="2" t="s">
        <v>46</v>
      </c>
      <c r="R283" s="5">
        <f t="shared" si="12"/>
        <v>94080</v>
      </c>
      <c r="S283" s="5">
        <f t="shared" si="13"/>
        <v>94080</v>
      </c>
      <c r="T283" s="5">
        <f t="shared" si="14"/>
        <v>0</v>
      </c>
    </row>
    <row r="284" spans="1:20">
      <c r="A284" s="2" t="s">
        <v>769</v>
      </c>
      <c r="B284" s="2" t="s">
        <v>789</v>
      </c>
      <c r="C284" s="2" t="s">
        <v>60</v>
      </c>
      <c r="D284" s="16">
        <v>0</v>
      </c>
      <c r="E284" s="2" t="s">
        <v>769</v>
      </c>
      <c r="F284" s="2" t="s">
        <v>790</v>
      </c>
      <c r="G284" s="2" t="s">
        <v>791</v>
      </c>
      <c r="H284" s="17">
        <v>53782.400000000001</v>
      </c>
      <c r="I284" s="2"/>
      <c r="J284" s="2"/>
      <c r="K284" s="17">
        <v>53782.400000000001</v>
      </c>
      <c r="L284" s="17">
        <v>5762.4</v>
      </c>
      <c r="M284" s="17">
        <v>48020</v>
      </c>
      <c r="N284" s="17">
        <v>53782.400000000001</v>
      </c>
      <c r="O284" s="2"/>
      <c r="P284" s="2"/>
      <c r="Q284" s="2" t="s">
        <v>56</v>
      </c>
      <c r="R284" s="5">
        <f t="shared" si="12"/>
        <v>53782.400000000001</v>
      </c>
      <c r="S284" s="5">
        <f t="shared" si="13"/>
        <v>53782.400000000001</v>
      </c>
      <c r="T284" s="5">
        <f t="shared" si="14"/>
        <v>0</v>
      </c>
    </row>
    <row r="285" spans="1:20">
      <c r="A285" s="2" t="s">
        <v>769</v>
      </c>
      <c r="B285" s="2" t="s">
        <v>792</v>
      </c>
      <c r="C285" s="2" t="s">
        <v>34</v>
      </c>
      <c r="D285" s="16">
        <v>60</v>
      </c>
      <c r="E285" s="2" t="s">
        <v>770</v>
      </c>
      <c r="F285" s="2" t="s">
        <v>793</v>
      </c>
      <c r="G285" s="2" t="s">
        <v>794</v>
      </c>
      <c r="H285" s="17">
        <v>48003</v>
      </c>
      <c r="I285" s="2"/>
      <c r="J285" s="2"/>
      <c r="K285" s="17">
        <v>48003</v>
      </c>
      <c r="L285" s="17">
        <v>5143.18</v>
      </c>
      <c r="M285" s="17">
        <v>42859.82</v>
      </c>
      <c r="N285" s="17">
        <v>48003</v>
      </c>
      <c r="O285" s="2"/>
      <c r="P285" s="2"/>
      <c r="Q285" s="2" t="s">
        <v>625</v>
      </c>
      <c r="R285" s="5">
        <f t="shared" si="12"/>
        <v>48003</v>
      </c>
      <c r="S285" s="5">
        <f t="shared" si="13"/>
        <v>48003</v>
      </c>
      <c r="T285" s="5">
        <f t="shared" si="14"/>
        <v>0</v>
      </c>
    </row>
    <row r="286" spans="1:20">
      <c r="A286" s="2" t="s">
        <v>769</v>
      </c>
      <c r="B286" s="2" t="s">
        <v>795</v>
      </c>
      <c r="C286" s="2" t="s">
        <v>60</v>
      </c>
      <c r="D286" s="16">
        <v>0</v>
      </c>
      <c r="E286" s="2" t="s">
        <v>769</v>
      </c>
      <c r="F286" s="2" t="s">
        <v>796</v>
      </c>
      <c r="G286" s="2" t="s">
        <v>797</v>
      </c>
      <c r="H286" s="17">
        <v>4580</v>
      </c>
      <c r="I286" s="2"/>
      <c r="J286" s="2"/>
      <c r="K286" s="17">
        <v>4580</v>
      </c>
      <c r="L286" s="18">
        <v>490.71</v>
      </c>
      <c r="M286" s="17">
        <v>4089.29</v>
      </c>
      <c r="N286" s="17">
        <v>4580</v>
      </c>
      <c r="O286" s="2"/>
      <c r="P286" s="2"/>
      <c r="Q286" s="2" t="s">
        <v>46</v>
      </c>
      <c r="R286" s="5">
        <f t="shared" si="12"/>
        <v>4580</v>
      </c>
      <c r="S286" s="5">
        <f t="shared" si="13"/>
        <v>4580</v>
      </c>
      <c r="T286" s="5">
        <f t="shared" si="14"/>
        <v>0</v>
      </c>
    </row>
    <row r="287" spans="1:20">
      <c r="A287" s="2" t="s">
        <v>769</v>
      </c>
      <c r="B287" s="2" t="s">
        <v>798</v>
      </c>
      <c r="C287" s="2" t="s">
        <v>29</v>
      </c>
      <c r="D287" s="16">
        <v>0</v>
      </c>
      <c r="E287" s="2" t="s">
        <v>769</v>
      </c>
      <c r="F287" s="2" t="s">
        <v>155</v>
      </c>
      <c r="G287" s="2" t="s">
        <v>799</v>
      </c>
      <c r="H287" s="17">
        <v>103537</v>
      </c>
      <c r="I287" s="2"/>
      <c r="J287" s="2"/>
      <c r="K287" s="17">
        <v>103537</v>
      </c>
      <c r="L287" s="17">
        <v>11093.25</v>
      </c>
      <c r="M287" s="17">
        <v>92443.75</v>
      </c>
      <c r="N287" s="17">
        <v>103537</v>
      </c>
      <c r="O287" s="2"/>
      <c r="P287" s="2"/>
      <c r="Q287" s="2" t="s">
        <v>30</v>
      </c>
      <c r="R287" s="5">
        <f t="shared" si="12"/>
        <v>103537</v>
      </c>
      <c r="S287" s="5">
        <f t="shared" si="13"/>
        <v>103537</v>
      </c>
      <c r="T287" s="5">
        <f t="shared" si="14"/>
        <v>0</v>
      </c>
    </row>
    <row r="288" spans="1:20">
      <c r="A288" s="2" t="s">
        <v>769</v>
      </c>
      <c r="B288" s="2" t="s">
        <v>800</v>
      </c>
      <c r="C288" s="2" t="s">
        <v>29</v>
      </c>
      <c r="D288" s="16">
        <v>0</v>
      </c>
      <c r="E288" s="2" t="s">
        <v>769</v>
      </c>
      <c r="F288" s="2" t="s">
        <v>155</v>
      </c>
      <c r="G288" s="2" t="s">
        <v>801</v>
      </c>
      <c r="H288" s="17">
        <v>58800</v>
      </c>
      <c r="I288" s="2"/>
      <c r="J288" s="2"/>
      <c r="K288" s="17">
        <v>58800</v>
      </c>
      <c r="L288" s="17">
        <v>6300</v>
      </c>
      <c r="M288" s="17">
        <v>52500</v>
      </c>
      <c r="N288" s="17">
        <v>58800</v>
      </c>
      <c r="O288" s="2"/>
      <c r="P288" s="2"/>
      <c r="Q288" s="2" t="s">
        <v>30</v>
      </c>
      <c r="R288" s="5">
        <f t="shared" si="12"/>
        <v>58800</v>
      </c>
      <c r="S288" s="5">
        <f t="shared" si="13"/>
        <v>58800</v>
      </c>
      <c r="T288" s="5">
        <f t="shared" si="14"/>
        <v>0</v>
      </c>
    </row>
    <row r="289" spans="1:20">
      <c r="A289" s="2" t="s">
        <v>769</v>
      </c>
      <c r="B289" s="2" t="s">
        <v>802</v>
      </c>
      <c r="C289" s="2" t="s">
        <v>29</v>
      </c>
      <c r="D289" s="16">
        <v>0</v>
      </c>
      <c r="E289" s="2" t="s">
        <v>769</v>
      </c>
      <c r="F289" s="2" t="s">
        <v>155</v>
      </c>
      <c r="G289" s="2" t="s">
        <v>803</v>
      </c>
      <c r="H289" s="17">
        <v>8400</v>
      </c>
      <c r="I289" s="2"/>
      <c r="J289" s="2"/>
      <c r="K289" s="17">
        <v>8400</v>
      </c>
      <c r="L289" s="18">
        <v>900</v>
      </c>
      <c r="M289" s="17">
        <v>7500</v>
      </c>
      <c r="N289" s="17">
        <v>8400</v>
      </c>
      <c r="O289" s="2"/>
      <c r="P289" s="2"/>
      <c r="Q289" s="2" t="s">
        <v>30</v>
      </c>
      <c r="R289" s="5">
        <f t="shared" si="12"/>
        <v>8400</v>
      </c>
      <c r="S289" s="5">
        <f t="shared" si="13"/>
        <v>8400</v>
      </c>
      <c r="T289" s="5">
        <f t="shared" si="14"/>
        <v>0</v>
      </c>
    </row>
    <row r="290" spans="1:20">
      <c r="A290" s="2" t="s">
        <v>769</v>
      </c>
      <c r="B290" s="2" t="s">
        <v>804</v>
      </c>
      <c r="C290" s="2" t="s">
        <v>73</v>
      </c>
      <c r="D290" s="16">
        <v>30</v>
      </c>
      <c r="E290" s="2" t="s">
        <v>805</v>
      </c>
      <c r="F290" s="2" t="s">
        <v>806</v>
      </c>
      <c r="G290" s="2" t="s">
        <v>807</v>
      </c>
      <c r="H290" s="17">
        <v>146000</v>
      </c>
      <c r="I290" s="2"/>
      <c r="J290" s="2"/>
      <c r="K290" s="17">
        <v>146000</v>
      </c>
      <c r="L290" s="17">
        <v>15642.86</v>
      </c>
      <c r="M290" s="17">
        <v>130357.14</v>
      </c>
      <c r="N290" s="17">
        <v>146000</v>
      </c>
      <c r="O290" s="2"/>
      <c r="P290" s="2"/>
      <c r="Q290" s="2" t="s">
        <v>139</v>
      </c>
      <c r="R290" s="5">
        <f t="shared" si="12"/>
        <v>146000</v>
      </c>
      <c r="S290" s="5">
        <f t="shared" si="13"/>
        <v>146000</v>
      </c>
      <c r="T290" s="5">
        <f t="shared" si="14"/>
        <v>0</v>
      </c>
    </row>
    <row r="291" spans="1:20">
      <c r="A291" s="2" t="s">
        <v>769</v>
      </c>
      <c r="B291" s="2" t="s">
        <v>808</v>
      </c>
      <c r="C291" s="2" t="s">
        <v>18</v>
      </c>
      <c r="D291" s="16">
        <v>0</v>
      </c>
      <c r="E291" s="2" t="s">
        <v>769</v>
      </c>
      <c r="F291" s="2" t="s">
        <v>809</v>
      </c>
      <c r="G291" s="2" t="s">
        <v>810</v>
      </c>
      <c r="H291" s="17">
        <v>65238</v>
      </c>
      <c r="I291" s="19">
        <v>-1304.76</v>
      </c>
      <c r="J291" s="2"/>
      <c r="K291" s="17">
        <v>63933.24</v>
      </c>
      <c r="L291" s="17">
        <v>6849.99</v>
      </c>
      <c r="M291" s="17">
        <v>57083.25</v>
      </c>
      <c r="N291" s="17">
        <v>63933.24</v>
      </c>
      <c r="O291" s="2"/>
      <c r="P291" s="2"/>
      <c r="Q291" s="2" t="s">
        <v>329</v>
      </c>
      <c r="R291" s="5">
        <f t="shared" si="12"/>
        <v>63933.24</v>
      </c>
      <c r="S291" s="5">
        <f t="shared" si="13"/>
        <v>63933.24</v>
      </c>
      <c r="T291" s="5">
        <f t="shared" si="14"/>
        <v>0</v>
      </c>
    </row>
    <row r="292" spans="1:20">
      <c r="A292" s="2" t="s">
        <v>769</v>
      </c>
      <c r="B292" s="2" t="s">
        <v>811</v>
      </c>
      <c r="C292" s="2" t="s">
        <v>73</v>
      </c>
      <c r="D292" s="16">
        <v>30</v>
      </c>
      <c r="E292" s="2" t="s">
        <v>805</v>
      </c>
      <c r="F292" s="2" t="s">
        <v>812</v>
      </c>
      <c r="G292" s="2" t="s">
        <v>813</v>
      </c>
      <c r="H292" s="17">
        <v>966395</v>
      </c>
      <c r="I292" s="2"/>
      <c r="J292" s="2"/>
      <c r="K292" s="17">
        <v>966395</v>
      </c>
      <c r="L292" s="17">
        <v>103542.32</v>
      </c>
      <c r="M292" s="17">
        <v>862852.68</v>
      </c>
      <c r="N292" s="17">
        <v>966395</v>
      </c>
      <c r="O292" s="2"/>
      <c r="P292" s="2"/>
      <c r="Q292" s="2" t="s">
        <v>56</v>
      </c>
      <c r="R292" s="5">
        <f t="shared" si="12"/>
        <v>966395</v>
      </c>
      <c r="S292" s="5">
        <f t="shared" si="13"/>
        <v>966395</v>
      </c>
      <c r="T292" s="5">
        <f t="shared" si="14"/>
        <v>0</v>
      </c>
    </row>
    <row r="293" spans="1:20">
      <c r="A293" s="2" t="s">
        <v>769</v>
      </c>
      <c r="B293" s="2" t="s">
        <v>814</v>
      </c>
      <c r="C293" s="2" t="s">
        <v>162</v>
      </c>
      <c r="D293" s="16">
        <v>90</v>
      </c>
      <c r="E293" s="2" t="s">
        <v>815</v>
      </c>
      <c r="F293" s="2" t="s">
        <v>816</v>
      </c>
      <c r="G293" s="2" t="s">
        <v>817</v>
      </c>
      <c r="H293" s="17">
        <v>38020</v>
      </c>
      <c r="I293" s="2"/>
      <c r="J293" s="2"/>
      <c r="K293" s="17">
        <v>38020</v>
      </c>
      <c r="L293" s="17">
        <v>4073.57</v>
      </c>
      <c r="M293" s="17">
        <v>33946.43</v>
      </c>
      <c r="N293" s="17">
        <v>38020</v>
      </c>
      <c r="O293" s="2"/>
      <c r="P293" s="2"/>
      <c r="Q293" s="2" t="s">
        <v>46</v>
      </c>
      <c r="R293" s="5">
        <f t="shared" si="12"/>
        <v>38020</v>
      </c>
      <c r="S293" s="5">
        <f t="shared" si="13"/>
        <v>38020</v>
      </c>
      <c r="T293" s="5">
        <f t="shared" si="14"/>
        <v>0</v>
      </c>
    </row>
    <row r="294" spans="1:20">
      <c r="A294" s="2" t="s">
        <v>769</v>
      </c>
      <c r="B294" s="2" t="s">
        <v>818</v>
      </c>
      <c r="C294" s="2" t="s">
        <v>104</v>
      </c>
      <c r="D294" s="16">
        <v>0</v>
      </c>
      <c r="E294" s="2" t="s">
        <v>769</v>
      </c>
      <c r="F294" s="2" t="s">
        <v>277</v>
      </c>
      <c r="G294" s="2" t="s">
        <v>819</v>
      </c>
      <c r="H294" s="17">
        <v>2179150</v>
      </c>
      <c r="I294" s="2"/>
      <c r="J294" s="2"/>
      <c r="K294" s="17">
        <v>2179150</v>
      </c>
      <c r="L294" s="17">
        <v>233480.36</v>
      </c>
      <c r="M294" s="17">
        <v>1945669.64</v>
      </c>
      <c r="N294" s="17">
        <v>2179150</v>
      </c>
      <c r="O294" s="2"/>
      <c r="P294" s="2"/>
      <c r="Q294" s="2" t="s">
        <v>69</v>
      </c>
      <c r="R294" s="5">
        <f t="shared" si="12"/>
        <v>2179150</v>
      </c>
      <c r="S294" s="5">
        <f t="shared" si="13"/>
        <v>2179150</v>
      </c>
      <c r="T294" s="5">
        <f t="shared" si="14"/>
        <v>0</v>
      </c>
    </row>
    <row r="295" spans="1:20">
      <c r="A295" s="2" t="s">
        <v>769</v>
      </c>
      <c r="B295" s="2" t="s">
        <v>820</v>
      </c>
      <c r="C295" s="2" t="s">
        <v>237</v>
      </c>
      <c r="D295" s="16">
        <v>60</v>
      </c>
      <c r="E295" s="2" t="s">
        <v>770</v>
      </c>
      <c r="F295" s="2" t="s">
        <v>821</v>
      </c>
      <c r="G295" s="2" t="s">
        <v>822</v>
      </c>
      <c r="H295" s="17">
        <v>94096</v>
      </c>
      <c r="I295" s="2"/>
      <c r="J295" s="2"/>
      <c r="K295" s="17">
        <v>94096</v>
      </c>
      <c r="L295" s="17">
        <v>10081.709999999999</v>
      </c>
      <c r="M295" s="17">
        <v>84014.29</v>
      </c>
      <c r="N295" s="17">
        <v>94096</v>
      </c>
      <c r="O295" s="2"/>
      <c r="P295" s="2"/>
      <c r="Q295" s="2" t="s">
        <v>139</v>
      </c>
      <c r="R295" s="5">
        <f t="shared" si="12"/>
        <v>94096</v>
      </c>
      <c r="S295" s="5">
        <f t="shared" si="13"/>
        <v>94096</v>
      </c>
      <c r="T295" s="5">
        <f t="shared" si="14"/>
        <v>0</v>
      </c>
    </row>
    <row r="296" spans="1:20">
      <c r="A296" s="2" t="s">
        <v>769</v>
      </c>
      <c r="B296" s="2" t="s">
        <v>823</v>
      </c>
      <c r="C296" s="2" t="s">
        <v>60</v>
      </c>
      <c r="D296" s="16">
        <v>0</v>
      </c>
      <c r="E296" s="2" t="s">
        <v>769</v>
      </c>
      <c r="F296" s="2" t="s">
        <v>824</v>
      </c>
      <c r="G296" s="2" t="s">
        <v>825</v>
      </c>
      <c r="H296" s="17">
        <v>300075</v>
      </c>
      <c r="I296" s="2"/>
      <c r="J296" s="2"/>
      <c r="K296" s="17">
        <v>300075</v>
      </c>
      <c r="L296" s="17">
        <v>32150.89</v>
      </c>
      <c r="M296" s="17">
        <v>267924.11</v>
      </c>
      <c r="N296" s="17">
        <v>300075</v>
      </c>
      <c r="O296" s="2"/>
      <c r="P296" s="2"/>
      <c r="Q296" s="2" t="s">
        <v>50</v>
      </c>
      <c r="R296" s="5">
        <f t="shared" si="12"/>
        <v>300075</v>
      </c>
      <c r="S296" s="5">
        <f t="shared" si="13"/>
        <v>300075</v>
      </c>
      <c r="T296" s="5">
        <f t="shared" si="14"/>
        <v>0</v>
      </c>
    </row>
    <row r="297" spans="1:20">
      <c r="A297" s="2" t="s">
        <v>769</v>
      </c>
      <c r="B297" s="2" t="s">
        <v>826</v>
      </c>
      <c r="C297" s="2" t="s">
        <v>237</v>
      </c>
      <c r="D297" s="16">
        <v>60</v>
      </c>
      <c r="E297" s="2" t="s">
        <v>770</v>
      </c>
      <c r="F297" s="2" t="s">
        <v>821</v>
      </c>
      <c r="G297" s="2" t="s">
        <v>827</v>
      </c>
      <c r="H297" s="17">
        <v>91154</v>
      </c>
      <c r="I297" s="2"/>
      <c r="J297" s="2"/>
      <c r="K297" s="17">
        <v>91154</v>
      </c>
      <c r="L297" s="17">
        <v>9766.5</v>
      </c>
      <c r="M297" s="17">
        <v>81387.5</v>
      </c>
      <c r="N297" s="17">
        <v>91154</v>
      </c>
      <c r="O297" s="2"/>
      <c r="P297" s="2"/>
      <c r="Q297" s="2" t="s">
        <v>139</v>
      </c>
      <c r="R297" s="5">
        <f t="shared" si="12"/>
        <v>91154</v>
      </c>
      <c r="S297" s="5">
        <f t="shared" si="13"/>
        <v>91154</v>
      </c>
      <c r="T297" s="5">
        <f t="shared" si="14"/>
        <v>0</v>
      </c>
    </row>
    <row r="298" spans="1:20">
      <c r="A298" s="2" t="s">
        <v>769</v>
      </c>
      <c r="B298" s="2" t="s">
        <v>828</v>
      </c>
      <c r="C298" s="2" t="s">
        <v>60</v>
      </c>
      <c r="D298" s="16">
        <v>0</v>
      </c>
      <c r="E298" s="2" t="s">
        <v>769</v>
      </c>
      <c r="F298" s="2" t="s">
        <v>824</v>
      </c>
      <c r="G298" s="2" t="s">
        <v>829</v>
      </c>
      <c r="H298" s="17">
        <v>56749</v>
      </c>
      <c r="I298" s="2"/>
      <c r="J298" s="2"/>
      <c r="K298" s="17">
        <v>56749</v>
      </c>
      <c r="L298" s="17">
        <v>6080.25</v>
      </c>
      <c r="M298" s="17">
        <v>50668.75</v>
      </c>
      <c r="N298" s="17">
        <v>56749</v>
      </c>
      <c r="O298" s="2"/>
      <c r="P298" s="2"/>
      <c r="Q298" s="2" t="s">
        <v>50</v>
      </c>
      <c r="R298" s="5">
        <f t="shared" si="12"/>
        <v>56749</v>
      </c>
      <c r="S298" s="5">
        <f t="shared" si="13"/>
        <v>56749</v>
      </c>
      <c r="T298" s="5">
        <f t="shared" si="14"/>
        <v>0</v>
      </c>
    </row>
    <row r="299" spans="1:20">
      <c r="A299" s="2" t="s">
        <v>769</v>
      </c>
      <c r="B299" s="2" t="s">
        <v>830</v>
      </c>
      <c r="C299" s="2" t="s">
        <v>237</v>
      </c>
      <c r="D299" s="16">
        <v>60</v>
      </c>
      <c r="E299" s="2" t="s">
        <v>770</v>
      </c>
      <c r="F299" s="2" t="s">
        <v>821</v>
      </c>
      <c r="G299" s="2" t="s">
        <v>831</v>
      </c>
      <c r="H299" s="17">
        <v>16800</v>
      </c>
      <c r="I299" s="2"/>
      <c r="J299" s="2"/>
      <c r="K299" s="17">
        <v>16800</v>
      </c>
      <c r="L299" s="17">
        <v>1800</v>
      </c>
      <c r="M299" s="17">
        <v>15000</v>
      </c>
      <c r="N299" s="17">
        <v>16800</v>
      </c>
      <c r="O299" s="2"/>
      <c r="P299" s="2"/>
      <c r="Q299" s="2" t="s">
        <v>139</v>
      </c>
      <c r="R299" s="5">
        <f t="shared" si="12"/>
        <v>16800</v>
      </c>
      <c r="S299" s="5">
        <f t="shared" si="13"/>
        <v>16800</v>
      </c>
      <c r="T299" s="5">
        <f t="shared" si="14"/>
        <v>0</v>
      </c>
    </row>
    <row r="300" spans="1:20">
      <c r="A300" s="2" t="s">
        <v>769</v>
      </c>
      <c r="B300" s="2" t="s">
        <v>832</v>
      </c>
      <c r="C300" s="2" t="s">
        <v>237</v>
      </c>
      <c r="D300" s="16">
        <v>60</v>
      </c>
      <c r="E300" s="2" t="s">
        <v>770</v>
      </c>
      <c r="F300" s="2" t="s">
        <v>821</v>
      </c>
      <c r="G300" s="2" t="s">
        <v>833</v>
      </c>
      <c r="H300" s="17">
        <v>14406</v>
      </c>
      <c r="I300" s="2"/>
      <c r="J300" s="2"/>
      <c r="K300" s="17">
        <v>14406</v>
      </c>
      <c r="L300" s="17">
        <v>1543.5</v>
      </c>
      <c r="M300" s="17">
        <v>12862.5</v>
      </c>
      <c r="N300" s="17">
        <v>14406</v>
      </c>
      <c r="O300" s="2"/>
      <c r="P300" s="2"/>
      <c r="Q300" s="2" t="s">
        <v>139</v>
      </c>
      <c r="R300" s="5">
        <f t="shared" si="12"/>
        <v>14406</v>
      </c>
      <c r="S300" s="5">
        <f t="shared" si="13"/>
        <v>14406</v>
      </c>
      <c r="T300" s="5">
        <f t="shared" si="14"/>
        <v>0</v>
      </c>
    </row>
    <row r="301" spans="1:20">
      <c r="A301" s="2" t="s">
        <v>769</v>
      </c>
      <c r="B301" s="2" t="s">
        <v>834</v>
      </c>
      <c r="C301" s="2" t="s">
        <v>237</v>
      </c>
      <c r="D301" s="16">
        <v>60</v>
      </c>
      <c r="E301" s="2" t="s">
        <v>770</v>
      </c>
      <c r="F301" s="2" t="s">
        <v>821</v>
      </c>
      <c r="G301" s="2" t="s">
        <v>835</v>
      </c>
      <c r="H301" s="17">
        <v>14002</v>
      </c>
      <c r="I301" s="2"/>
      <c r="J301" s="2"/>
      <c r="K301" s="17">
        <v>14002</v>
      </c>
      <c r="L301" s="17">
        <v>1500.21</v>
      </c>
      <c r="M301" s="17">
        <v>12501.79</v>
      </c>
      <c r="N301" s="17">
        <v>14002</v>
      </c>
      <c r="O301" s="2"/>
      <c r="P301" s="2"/>
      <c r="Q301" s="2" t="s">
        <v>139</v>
      </c>
      <c r="R301" s="5">
        <f t="shared" si="12"/>
        <v>14002</v>
      </c>
      <c r="S301" s="5">
        <f t="shared" si="13"/>
        <v>14002</v>
      </c>
      <c r="T301" s="5">
        <f t="shared" si="14"/>
        <v>0</v>
      </c>
    </row>
    <row r="302" spans="1:20">
      <c r="A302" s="2" t="s">
        <v>769</v>
      </c>
      <c r="B302" s="2" t="s">
        <v>836</v>
      </c>
      <c r="C302" s="2" t="s">
        <v>237</v>
      </c>
      <c r="D302" s="16">
        <v>60</v>
      </c>
      <c r="E302" s="2" t="s">
        <v>770</v>
      </c>
      <c r="F302" s="2" t="s">
        <v>821</v>
      </c>
      <c r="G302" s="2" t="s">
        <v>837</v>
      </c>
      <c r="H302" s="17">
        <v>68892</v>
      </c>
      <c r="I302" s="2"/>
      <c r="J302" s="2"/>
      <c r="K302" s="17">
        <v>68892</v>
      </c>
      <c r="L302" s="17">
        <v>7381.29</v>
      </c>
      <c r="M302" s="17">
        <v>61510.71</v>
      </c>
      <c r="N302" s="17">
        <v>68892</v>
      </c>
      <c r="O302" s="2"/>
      <c r="P302" s="2"/>
      <c r="Q302" s="2" t="s">
        <v>139</v>
      </c>
      <c r="R302" s="5">
        <f t="shared" si="12"/>
        <v>68892</v>
      </c>
      <c r="S302" s="5">
        <f t="shared" si="13"/>
        <v>68892</v>
      </c>
      <c r="T302" s="5">
        <f t="shared" si="14"/>
        <v>0</v>
      </c>
    </row>
    <row r="303" spans="1:20">
      <c r="A303" s="2" t="s">
        <v>769</v>
      </c>
      <c r="B303" s="2" t="s">
        <v>838</v>
      </c>
      <c r="C303" s="2" t="s">
        <v>237</v>
      </c>
      <c r="D303" s="16">
        <v>60</v>
      </c>
      <c r="E303" s="2" t="s">
        <v>770</v>
      </c>
      <c r="F303" s="2" t="s">
        <v>821</v>
      </c>
      <c r="G303" s="2" t="s">
        <v>839</v>
      </c>
      <c r="H303" s="17">
        <v>7840</v>
      </c>
      <c r="I303" s="2"/>
      <c r="J303" s="2"/>
      <c r="K303" s="17">
        <v>7840</v>
      </c>
      <c r="L303" s="18">
        <v>840</v>
      </c>
      <c r="M303" s="17">
        <v>7000</v>
      </c>
      <c r="N303" s="17">
        <v>7840</v>
      </c>
      <c r="O303" s="2"/>
      <c r="P303" s="2"/>
      <c r="Q303" s="2" t="s">
        <v>139</v>
      </c>
      <c r="R303" s="5">
        <f t="shared" si="12"/>
        <v>7840</v>
      </c>
      <c r="S303" s="5">
        <f t="shared" si="13"/>
        <v>7840</v>
      </c>
      <c r="T303" s="5">
        <f t="shared" si="14"/>
        <v>0</v>
      </c>
    </row>
    <row r="304" spans="1:20">
      <c r="A304" s="2" t="s">
        <v>769</v>
      </c>
      <c r="B304" s="2" t="s">
        <v>840</v>
      </c>
      <c r="C304" s="2" t="s">
        <v>60</v>
      </c>
      <c r="D304" s="16">
        <v>0</v>
      </c>
      <c r="E304" s="2" t="s">
        <v>769</v>
      </c>
      <c r="F304" s="2" t="s">
        <v>841</v>
      </c>
      <c r="G304" s="2" t="s">
        <v>842</v>
      </c>
      <c r="H304" s="17">
        <v>1117</v>
      </c>
      <c r="I304" s="2"/>
      <c r="J304" s="2"/>
      <c r="K304" s="17">
        <v>1117</v>
      </c>
      <c r="L304" s="18">
        <v>119.68</v>
      </c>
      <c r="M304" s="18">
        <v>997.32</v>
      </c>
      <c r="N304" s="17">
        <v>1117</v>
      </c>
      <c r="O304" s="2"/>
      <c r="P304" s="2"/>
      <c r="Q304" s="2" t="s">
        <v>56</v>
      </c>
      <c r="R304" s="5">
        <f t="shared" si="12"/>
        <v>1117</v>
      </c>
      <c r="S304" s="5">
        <f t="shared" si="13"/>
        <v>1117</v>
      </c>
      <c r="T304" s="5">
        <f t="shared" si="14"/>
        <v>0</v>
      </c>
    </row>
    <row r="305" spans="1:20">
      <c r="A305" s="2" t="s">
        <v>769</v>
      </c>
      <c r="B305" s="2" t="s">
        <v>843</v>
      </c>
      <c r="C305" s="2" t="s">
        <v>104</v>
      </c>
      <c r="D305" s="16">
        <v>0</v>
      </c>
      <c r="E305" s="2" t="s">
        <v>769</v>
      </c>
      <c r="F305" s="2" t="s">
        <v>490</v>
      </c>
      <c r="G305" s="2" t="s">
        <v>844</v>
      </c>
      <c r="H305" s="17">
        <v>302472</v>
      </c>
      <c r="I305" s="2"/>
      <c r="J305" s="2"/>
      <c r="K305" s="17">
        <v>302472</v>
      </c>
      <c r="L305" s="17">
        <v>32407.71</v>
      </c>
      <c r="M305" s="17">
        <v>270064.28999999998</v>
      </c>
      <c r="N305" s="17">
        <v>302472</v>
      </c>
      <c r="O305" s="2"/>
      <c r="P305" s="2"/>
      <c r="Q305" s="2" t="s">
        <v>30</v>
      </c>
      <c r="R305" s="5">
        <f t="shared" si="12"/>
        <v>302472</v>
      </c>
      <c r="S305" s="5">
        <f t="shared" si="13"/>
        <v>302472</v>
      </c>
      <c r="T305" s="5">
        <f t="shared" si="14"/>
        <v>0</v>
      </c>
    </row>
    <row r="306" spans="1:20">
      <c r="A306" s="2" t="s">
        <v>769</v>
      </c>
      <c r="B306" s="2" t="s">
        <v>845</v>
      </c>
      <c r="C306" s="2" t="s">
        <v>73</v>
      </c>
      <c r="D306" s="16">
        <v>30</v>
      </c>
      <c r="E306" s="2" t="s">
        <v>805</v>
      </c>
      <c r="F306" s="2" t="s">
        <v>846</v>
      </c>
      <c r="G306" s="2" t="s">
        <v>847</v>
      </c>
      <c r="H306" s="17">
        <v>360296</v>
      </c>
      <c r="I306" s="2"/>
      <c r="J306" s="2"/>
      <c r="K306" s="17">
        <v>360296</v>
      </c>
      <c r="L306" s="17">
        <v>38603.14</v>
      </c>
      <c r="M306" s="17">
        <v>321692.86</v>
      </c>
      <c r="N306" s="17">
        <v>360296</v>
      </c>
      <c r="O306" s="2"/>
      <c r="P306" s="2"/>
      <c r="Q306" s="2" t="s">
        <v>56</v>
      </c>
      <c r="R306" s="5">
        <f t="shared" si="12"/>
        <v>360296</v>
      </c>
      <c r="S306" s="5">
        <f t="shared" si="13"/>
        <v>360296</v>
      </c>
      <c r="T306" s="5">
        <f t="shared" si="14"/>
        <v>0</v>
      </c>
    </row>
    <row r="307" spans="1:20">
      <c r="A307" s="2" t="s">
        <v>769</v>
      </c>
      <c r="B307" s="2" t="s">
        <v>848</v>
      </c>
      <c r="C307" s="2" t="s">
        <v>73</v>
      </c>
      <c r="D307" s="16">
        <v>30</v>
      </c>
      <c r="E307" s="2" t="s">
        <v>805</v>
      </c>
      <c r="F307" s="2" t="s">
        <v>812</v>
      </c>
      <c r="G307" s="2" t="s">
        <v>849</v>
      </c>
      <c r="H307" s="17">
        <v>127702</v>
      </c>
      <c r="I307" s="2"/>
      <c r="J307" s="2"/>
      <c r="K307" s="17">
        <v>127702</v>
      </c>
      <c r="L307" s="17">
        <v>13682.36</v>
      </c>
      <c r="M307" s="17">
        <v>114019.64</v>
      </c>
      <c r="N307" s="17">
        <v>127702</v>
      </c>
      <c r="O307" s="2"/>
      <c r="P307" s="2"/>
      <c r="Q307" s="2" t="s">
        <v>56</v>
      </c>
      <c r="R307" s="5">
        <f t="shared" si="12"/>
        <v>127702</v>
      </c>
      <c r="S307" s="5">
        <f t="shared" si="13"/>
        <v>127702</v>
      </c>
      <c r="T307" s="5">
        <f t="shared" si="14"/>
        <v>0</v>
      </c>
    </row>
    <row r="308" spans="1:20">
      <c r="A308" s="2" t="s">
        <v>769</v>
      </c>
      <c r="B308" s="2" t="s">
        <v>850</v>
      </c>
      <c r="C308" s="2" t="s">
        <v>68</v>
      </c>
      <c r="D308" s="16">
        <v>60</v>
      </c>
      <c r="E308" s="2" t="s">
        <v>770</v>
      </c>
      <c r="F308" s="2" t="s">
        <v>70</v>
      </c>
      <c r="G308" s="2" t="s">
        <v>851</v>
      </c>
      <c r="H308" s="17">
        <v>1209600</v>
      </c>
      <c r="I308" s="2"/>
      <c r="J308" s="2"/>
      <c r="K308" s="17">
        <v>1209600</v>
      </c>
      <c r="L308" s="17">
        <v>129600</v>
      </c>
      <c r="M308" s="17">
        <v>1080000</v>
      </c>
      <c r="N308" s="17">
        <v>1209600</v>
      </c>
      <c r="O308" s="2"/>
      <c r="P308" s="2"/>
      <c r="Q308" s="2" t="s">
        <v>69</v>
      </c>
      <c r="R308" s="5">
        <f t="shared" si="12"/>
        <v>1209600</v>
      </c>
      <c r="S308" s="5">
        <f t="shared" si="13"/>
        <v>1209600</v>
      </c>
      <c r="T308" s="5">
        <f t="shared" si="14"/>
        <v>0</v>
      </c>
    </row>
    <row r="309" spans="1:20">
      <c r="A309" s="2" t="s">
        <v>769</v>
      </c>
      <c r="B309" s="2" t="s">
        <v>852</v>
      </c>
      <c r="C309" s="2" t="s">
        <v>162</v>
      </c>
      <c r="D309" s="16">
        <v>90</v>
      </c>
      <c r="E309" s="2" t="s">
        <v>815</v>
      </c>
      <c r="F309" s="2" t="s">
        <v>853</v>
      </c>
      <c r="G309" s="2" t="s">
        <v>854</v>
      </c>
      <c r="H309" s="17">
        <v>586795</v>
      </c>
      <c r="I309" s="2"/>
      <c r="J309" s="2"/>
      <c r="K309" s="17">
        <v>586795</v>
      </c>
      <c r="L309" s="17">
        <v>62870.89</v>
      </c>
      <c r="M309" s="17">
        <v>523924.11</v>
      </c>
      <c r="N309" s="17">
        <v>586795</v>
      </c>
      <c r="O309" s="2"/>
      <c r="P309" s="2"/>
      <c r="Q309" s="2" t="s">
        <v>69</v>
      </c>
      <c r="R309" s="5">
        <f t="shared" si="12"/>
        <v>586795</v>
      </c>
      <c r="S309" s="5">
        <f t="shared" si="13"/>
        <v>586795</v>
      </c>
      <c r="T309" s="5">
        <f t="shared" si="14"/>
        <v>0</v>
      </c>
    </row>
    <row r="310" spans="1:20">
      <c r="A310" s="2" t="s">
        <v>769</v>
      </c>
      <c r="B310" s="2" t="s">
        <v>855</v>
      </c>
      <c r="C310" s="2" t="s">
        <v>68</v>
      </c>
      <c r="D310" s="16">
        <v>60</v>
      </c>
      <c r="E310" s="2" t="s">
        <v>770</v>
      </c>
      <c r="F310" s="2" t="s">
        <v>857</v>
      </c>
      <c r="G310" s="2" t="s">
        <v>858</v>
      </c>
      <c r="H310" s="17">
        <v>84296</v>
      </c>
      <c r="I310" s="2"/>
      <c r="J310" s="2"/>
      <c r="K310" s="17">
        <v>84296</v>
      </c>
      <c r="L310" s="17">
        <v>9031.7099999999991</v>
      </c>
      <c r="M310" s="17">
        <v>75264.289999999994</v>
      </c>
      <c r="N310" s="17">
        <v>84296</v>
      </c>
      <c r="O310" s="2"/>
      <c r="P310" s="2"/>
      <c r="Q310" s="2" t="s">
        <v>856</v>
      </c>
      <c r="R310" s="5">
        <f t="shared" si="12"/>
        <v>84296</v>
      </c>
      <c r="S310" s="5">
        <f t="shared" si="13"/>
        <v>84296</v>
      </c>
      <c r="T310" s="5">
        <f t="shared" si="14"/>
        <v>0</v>
      </c>
    </row>
    <row r="311" spans="1:20">
      <c r="A311" s="2" t="s">
        <v>769</v>
      </c>
      <c r="B311" s="2" t="s">
        <v>859</v>
      </c>
      <c r="C311" s="2" t="s">
        <v>29</v>
      </c>
      <c r="D311" s="16">
        <v>0</v>
      </c>
      <c r="E311" s="2" t="s">
        <v>769</v>
      </c>
      <c r="F311" s="2" t="s">
        <v>31</v>
      </c>
      <c r="G311" s="2" t="s">
        <v>860</v>
      </c>
      <c r="H311" s="17">
        <v>26190</v>
      </c>
      <c r="I311" s="2"/>
      <c r="J311" s="2"/>
      <c r="K311" s="17">
        <v>26190</v>
      </c>
      <c r="L311" s="17">
        <v>2806.07</v>
      </c>
      <c r="M311" s="17">
        <v>23383.93</v>
      </c>
      <c r="N311" s="17">
        <v>26190</v>
      </c>
      <c r="O311" s="2"/>
      <c r="P311" s="2"/>
      <c r="Q311" s="2" t="s">
        <v>30</v>
      </c>
      <c r="R311" s="5">
        <f t="shared" si="12"/>
        <v>26190</v>
      </c>
      <c r="S311" s="5">
        <f t="shared" si="13"/>
        <v>26190</v>
      </c>
      <c r="T311" s="5">
        <f t="shared" si="14"/>
        <v>0</v>
      </c>
    </row>
    <row r="312" spans="1:20">
      <c r="A312" s="2" t="s">
        <v>769</v>
      </c>
      <c r="B312" s="2" t="s">
        <v>861</v>
      </c>
      <c r="C312" s="2" t="s">
        <v>29</v>
      </c>
      <c r="D312" s="16">
        <v>0</v>
      </c>
      <c r="E312" s="2" t="s">
        <v>769</v>
      </c>
      <c r="F312" s="2" t="s">
        <v>31</v>
      </c>
      <c r="G312" s="2" t="s">
        <v>862</v>
      </c>
      <c r="H312" s="17">
        <v>81120</v>
      </c>
      <c r="I312" s="2"/>
      <c r="J312" s="2"/>
      <c r="K312" s="17">
        <v>81120</v>
      </c>
      <c r="L312" s="17">
        <v>8691.43</v>
      </c>
      <c r="M312" s="17">
        <v>72428.570000000007</v>
      </c>
      <c r="N312" s="17">
        <v>81120</v>
      </c>
      <c r="O312" s="2"/>
      <c r="P312" s="2"/>
      <c r="Q312" s="2" t="s">
        <v>30</v>
      </c>
      <c r="R312" s="5">
        <f t="shared" si="12"/>
        <v>81120</v>
      </c>
      <c r="S312" s="5">
        <f t="shared" si="13"/>
        <v>81120</v>
      </c>
      <c r="T312" s="5">
        <f t="shared" si="14"/>
        <v>0</v>
      </c>
    </row>
    <row r="313" spans="1:20">
      <c r="A313" s="2" t="s">
        <v>769</v>
      </c>
      <c r="B313" s="2" t="s">
        <v>863</v>
      </c>
      <c r="C313" s="2" t="s">
        <v>29</v>
      </c>
      <c r="D313" s="16">
        <v>0</v>
      </c>
      <c r="E313" s="2" t="s">
        <v>769</v>
      </c>
      <c r="F313" s="2" t="s">
        <v>31</v>
      </c>
      <c r="G313" s="2" t="s">
        <v>864</v>
      </c>
      <c r="H313" s="17">
        <v>13320</v>
      </c>
      <c r="I313" s="2"/>
      <c r="J313" s="2"/>
      <c r="K313" s="17">
        <v>13320</v>
      </c>
      <c r="L313" s="17">
        <v>1427.14</v>
      </c>
      <c r="M313" s="17">
        <v>11892.86</v>
      </c>
      <c r="N313" s="17">
        <v>13320</v>
      </c>
      <c r="O313" s="2"/>
      <c r="P313" s="2"/>
      <c r="Q313" s="2" t="s">
        <v>30</v>
      </c>
      <c r="R313" s="5">
        <f t="shared" si="12"/>
        <v>13320</v>
      </c>
      <c r="S313" s="5">
        <f t="shared" si="13"/>
        <v>13320</v>
      </c>
      <c r="T313" s="5">
        <f t="shared" si="14"/>
        <v>0</v>
      </c>
    </row>
    <row r="314" spans="1:20">
      <c r="A314" s="2" t="s">
        <v>866</v>
      </c>
      <c r="B314" s="2" t="s">
        <v>865</v>
      </c>
      <c r="C314" s="2" t="s">
        <v>94</v>
      </c>
      <c r="D314" s="16">
        <v>0</v>
      </c>
      <c r="E314" s="2" t="s">
        <v>866</v>
      </c>
      <c r="F314" s="2" t="s">
        <v>95</v>
      </c>
      <c r="G314" s="2" t="s">
        <v>867</v>
      </c>
      <c r="H314" s="17">
        <v>289520</v>
      </c>
      <c r="I314" s="2"/>
      <c r="J314" s="2"/>
      <c r="K314" s="17">
        <v>289520</v>
      </c>
      <c r="L314" s="17">
        <v>31020</v>
      </c>
      <c r="M314" s="17">
        <v>258500</v>
      </c>
      <c r="N314" s="17">
        <v>289520</v>
      </c>
      <c r="O314" s="2"/>
      <c r="P314" s="2"/>
      <c r="Q314" s="2" t="s">
        <v>46</v>
      </c>
      <c r="R314" s="5">
        <f t="shared" si="12"/>
        <v>289520</v>
      </c>
      <c r="S314" s="5">
        <f t="shared" si="13"/>
        <v>289520</v>
      </c>
      <c r="T314" s="5">
        <f t="shared" si="14"/>
        <v>0</v>
      </c>
    </row>
    <row r="315" spans="1:20">
      <c r="A315" s="2" t="s">
        <v>866</v>
      </c>
      <c r="B315" s="2" t="s">
        <v>868</v>
      </c>
      <c r="C315" s="2" t="s">
        <v>98</v>
      </c>
      <c r="D315" s="16">
        <v>0</v>
      </c>
      <c r="E315" s="2" t="s">
        <v>866</v>
      </c>
      <c r="F315" s="2" t="s">
        <v>99</v>
      </c>
      <c r="G315" s="2" t="s">
        <v>869</v>
      </c>
      <c r="H315" s="17">
        <v>256700</v>
      </c>
      <c r="I315" s="19">
        <v>-7701</v>
      </c>
      <c r="J315" s="2"/>
      <c r="K315" s="17">
        <v>248999</v>
      </c>
      <c r="L315" s="17">
        <v>26678.46</v>
      </c>
      <c r="M315" s="17">
        <v>222320.54</v>
      </c>
      <c r="N315" s="17">
        <v>248999</v>
      </c>
      <c r="O315" s="2"/>
      <c r="P315" s="2"/>
      <c r="Q315" s="2" t="s">
        <v>69</v>
      </c>
      <c r="R315" s="5">
        <f t="shared" si="12"/>
        <v>248999</v>
      </c>
      <c r="S315" s="5">
        <f t="shared" si="13"/>
        <v>248999</v>
      </c>
      <c r="T315" s="5">
        <f t="shared" si="14"/>
        <v>0</v>
      </c>
    </row>
    <row r="316" spans="1:20">
      <c r="A316" s="2" t="s">
        <v>866</v>
      </c>
      <c r="B316" s="2" t="s">
        <v>870</v>
      </c>
      <c r="C316" s="2" t="s">
        <v>104</v>
      </c>
      <c r="D316" s="16">
        <v>0</v>
      </c>
      <c r="E316" s="2" t="s">
        <v>866</v>
      </c>
      <c r="F316" s="2" t="s">
        <v>392</v>
      </c>
      <c r="G316" s="2" t="s">
        <v>871</v>
      </c>
      <c r="H316" s="17">
        <v>340975</v>
      </c>
      <c r="I316" s="2"/>
      <c r="J316" s="2"/>
      <c r="K316" s="17">
        <v>340975</v>
      </c>
      <c r="L316" s="17">
        <v>36533.040000000001</v>
      </c>
      <c r="M316" s="17">
        <v>304441.96000000002</v>
      </c>
      <c r="N316" s="17">
        <v>340975</v>
      </c>
      <c r="O316" s="2"/>
      <c r="P316" s="2"/>
      <c r="Q316" s="2" t="s">
        <v>46</v>
      </c>
      <c r="R316" s="5">
        <f t="shared" si="12"/>
        <v>340975</v>
      </c>
      <c r="S316" s="5">
        <f t="shared" si="13"/>
        <v>340975</v>
      </c>
      <c r="T316" s="5">
        <f t="shared" si="14"/>
        <v>0</v>
      </c>
    </row>
    <row r="317" spans="1:20">
      <c r="A317" s="2" t="s">
        <v>866</v>
      </c>
      <c r="B317" s="2" t="s">
        <v>872</v>
      </c>
      <c r="C317" s="2" t="s">
        <v>176</v>
      </c>
      <c r="D317" s="16">
        <v>60</v>
      </c>
      <c r="E317" s="2" t="s">
        <v>873</v>
      </c>
      <c r="F317" s="2" t="s">
        <v>177</v>
      </c>
      <c r="G317" s="2" t="s">
        <v>874</v>
      </c>
      <c r="H317" s="17">
        <v>480000</v>
      </c>
      <c r="I317" s="2"/>
      <c r="J317" s="2"/>
      <c r="K317" s="17">
        <v>480000</v>
      </c>
      <c r="L317" s="17">
        <v>51428.57</v>
      </c>
      <c r="M317" s="17">
        <v>428571.43</v>
      </c>
      <c r="N317" s="17">
        <v>480000</v>
      </c>
      <c r="O317" s="2"/>
      <c r="P317" s="2"/>
      <c r="Q317" s="2" t="s">
        <v>69</v>
      </c>
      <c r="R317" s="5">
        <f t="shared" si="12"/>
        <v>480000</v>
      </c>
      <c r="S317" s="5">
        <f t="shared" si="13"/>
        <v>480000</v>
      </c>
      <c r="T317" s="5">
        <f t="shared" si="14"/>
        <v>0</v>
      </c>
    </row>
    <row r="318" spans="1:20">
      <c r="A318" s="2" t="s">
        <v>866</v>
      </c>
      <c r="B318" s="2" t="s">
        <v>875</v>
      </c>
      <c r="C318" s="2" t="s">
        <v>176</v>
      </c>
      <c r="D318" s="16">
        <v>60</v>
      </c>
      <c r="E318" s="2" t="s">
        <v>873</v>
      </c>
      <c r="F318" s="2" t="s">
        <v>177</v>
      </c>
      <c r="G318" s="2" t="s">
        <v>876</v>
      </c>
      <c r="H318" s="17">
        <v>72000</v>
      </c>
      <c r="I318" s="2"/>
      <c r="J318" s="2"/>
      <c r="K318" s="17">
        <v>72000</v>
      </c>
      <c r="L318" s="17">
        <v>7714.29</v>
      </c>
      <c r="M318" s="17">
        <v>64285.71</v>
      </c>
      <c r="N318" s="17">
        <v>72000</v>
      </c>
      <c r="O318" s="2"/>
      <c r="P318" s="2"/>
      <c r="Q318" s="2" t="s">
        <v>69</v>
      </c>
      <c r="R318" s="5">
        <f t="shared" si="12"/>
        <v>72000</v>
      </c>
      <c r="S318" s="5">
        <f t="shared" si="13"/>
        <v>72000</v>
      </c>
      <c r="T318" s="5">
        <f t="shared" si="14"/>
        <v>0</v>
      </c>
    </row>
    <row r="319" spans="1:20">
      <c r="A319" s="2" t="s">
        <v>866</v>
      </c>
      <c r="B319" s="2" t="s">
        <v>877</v>
      </c>
      <c r="C319" s="2" t="s">
        <v>176</v>
      </c>
      <c r="D319" s="16">
        <v>60</v>
      </c>
      <c r="E319" s="2" t="s">
        <v>873</v>
      </c>
      <c r="F319" s="2" t="s">
        <v>177</v>
      </c>
      <c r="G319" s="2" t="s">
        <v>878</v>
      </c>
      <c r="H319" s="17">
        <v>96000</v>
      </c>
      <c r="I319" s="2"/>
      <c r="J319" s="2"/>
      <c r="K319" s="17">
        <v>96000</v>
      </c>
      <c r="L319" s="17">
        <v>10285.709999999999</v>
      </c>
      <c r="M319" s="17">
        <v>85714.29</v>
      </c>
      <c r="N319" s="17">
        <v>96000</v>
      </c>
      <c r="O319" s="2"/>
      <c r="P319" s="2"/>
      <c r="Q319" s="2" t="s">
        <v>69</v>
      </c>
      <c r="R319" s="5">
        <f t="shared" si="12"/>
        <v>96000</v>
      </c>
      <c r="S319" s="5">
        <f t="shared" si="13"/>
        <v>96000</v>
      </c>
      <c r="T319" s="5">
        <f t="shared" si="14"/>
        <v>0</v>
      </c>
    </row>
    <row r="320" spans="1:20">
      <c r="A320" s="2" t="s">
        <v>866</v>
      </c>
      <c r="B320" s="2" t="s">
        <v>879</v>
      </c>
      <c r="C320" s="2" t="s">
        <v>369</v>
      </c>
      <c r="D320" s="16">
        <v>30</v>
      </c>
      <c r="E320" s="2" t="s">
        <v>880</v>
      </c>
      <c r="F320" s="2" t="s">
        <v>371</v>
      </c>
      <c r="G320" s="2" t="s">
        <v>881</v>
      </c>
      <c r="H320" s="17">
        <v>128240</v>
      </c>
      <c r="I320" s="2"/>
      <c r="J320" s="2"/>
      <c r="K320" s="17">
        <v>128240</v>
      </c>
      <c r="L320" s="17">
        <v>13740</v>
      </c>
      <c r="M320" s="17">
        <v>114500</v>
      </c>
      <c r="N320" s="17">
        <v>128240</v>
      </c>
      <c r="O320" s="2"/>
      <c r="P320" s="2"/>
      <c r="Q320" s="2" t="s">
        <v>139</v>
      </c>
      <c r="R320" s="5">
        <f t="shared" si="12"/>
        <v>128240</v>
      </c>
      <c r="S320" s="5">
        <f t="shared" si="13"/>
        <v>128240</v>
      </c>
      <c r="T320" s="5">
        <f t="shared" si="14"/>
        <v>0</v>
      </c>
    </row>
    <row r="321" spans="1:20">
      <c r="A321" s="2" t="s">
        <v>866</v>
      </c>
      <c r="B321" s="2" t="s">
        <v>882</v>
      </c>
      <c r="C321" s="2" t="s">
        <v>60</v>
      </c>
      <c r="D321" s="16">
        <v>0</v>
      </c>
      <c r="E321" s="2" t="s">
        <v>866</v>
      </c>
      <c r="F321" s="2" t="s">
        <v>196</v>
      </c>
      <c r="G321" s="2" t="s">
        <v>883</v>
      </c>
      <c r="H321" s="17">
        <v>4000</v>
      </c>
      <c r="I321" s="2"/>
      <c r="J321" s="2"/>
      <c r="K321" s="17">
        <v>4000</v>
      </c>
      <c r="L321" s="18">
        <v>428.57</v>
      </c>
      <c r="M321" s="17">
        <v>3571.43</v>
      </c>
      <c r="N321" s="17">
        <v>4000</v>
      </c>
      <c r="O321" s="2"/>
      <c r="P321" s="2"/>
      <c r="Q321" s="2" t="s">
        <v>56</v>
      </c>
      <c r="R321" s="5">
        <f t="shared" si="12"/>
        <v>4000</v>
      </c>
      <c r="S321" s="5">
        <f t="shared" si="13"/>
        <v>4000</v>
      </c>
      <c r="T321" s="5">
        <f t="shared" si="14"/>
        <v>0</v>
      </c>
    </row>
    <row r="322" spans="1:20">
      <c r="A322" s="2" t="s">
        <v>866</v>
      </c>
      <c r="B322" s="2" t="s">
        <v>884</v>
      </c>
      <c r="C322" s="2" t="s">
        <v>146</v>
      </c>
      <c r="D322" s="16">
        <v>90</v>
      </c>
      <c r="E322" s="2" t="s">
        <v>885</v>
      </c>
      <c r="F322" s="2" t="s">
        <v>886</v>
      </c>
      <c r="G322" s="2" t="s">
        <v>887</v>
      </c>
      <c r="H322" s="17">
        <v>169280</v>
      </c>
      <c r="I322" s="2"/>
      <c r="J322" s="2"/>
      <c r="K322" s="17">
        <v>169280</v>
      </c>
      <c r="L322" s="17">
        <v>18137.14</v>
      </c>
      <c r="M322" s="17">
        <v>151142.85999999999</v>
      </c>
      <c r="N322" s="17">
        <v>169280</v>
      </c>
      <c r="O322" s="2"/>
      <c r="P322" s="2"/>
      <c r="Q322" s="2" t="s">
        <v>69</v>
      </c>
      <c r="R322" s="5">
        <f t="shared" si="12"/>
        <v>169280</v>
      </c>
      <c r="S322" s="5">
        <f t="shared" si="13"/>
        <v>169280</v>
      </c>
      <c r="T322" s="5">
        <f t="shared" si="14"/>
        <v>0</v>
      </c>
    </row>
    <row r="323" spans="1:20">
      <c r="A323" s="2" t="s">
        <v>866</v>
      </c>
      <c r="B323" s="2" t="s">
        <v>888</v>
      </c>
      <c r="C323" s="2" t="s">
        <v>68</v>
      </c>
      <c r="D323" s="16">
        <v>60</v>
      </c>
      <c r="E323" s="2" t="s">
        <v>873</v>
      </c>
      <c r="F323" s="2" t="s">
        <v>574</v>
      </c>
      <c r="G323" s="2" t="s">
        <v>889</v>
      </c>
      <c r="H323" s="17">
        <v>2539560</v>
      </c>
      <c r="I323" s="2"/>
      <c r="J323" s="2"/>
      <c r="K323" s="17">
        <v>2539560</v>
      </c>
      <c r="L323" s="17">
        <v>272095.71000000002</v>
      </c>
      <c r="M323" s="17">
        <v>2267464.29</v>
      </c>
      <c r="N323" s="17">
        <v>2539560</v>
      </c>
      <c r="O323" s="2"/>
      <c r="P323" s="2"/>
      <c r="Q323" s="2" t="s">
        <v>69</v>
      </c>
      <c r="R323" s="5">
        <f t="shared" si="12"/>
        <v>2539560</v>
      </c>
      <c r="S323" s="5">
        <f t="shared" si="13"/>
        <v>2539560</v>
      </c>
      <c r="T323" s="5">
        <f t="shared" si="14"/>
        <v>0</v>
      </c>
    </row>
    <row r="324" spans="1:20">
      <c r="A324" s="2" t="s">
        <v>866</v>
      </c>
      <c r="B324" s="2" t="s">
        <v>890</v>
      </c>
      <c r="C324" s="2" t="s">
        <v>73</v>
      </c>
      <c r="D324" s="16">
        <v>30</v>
      </c>
      <c r="E324" s="2" t="s">
        <v>880</v>
      </c>
      <c r="F324" s="2" t="s">
        <v>891</v>
      </c>
      <c r="G324" s="2" t="s">
        <v>892</v>
      </c>
      <c r="H324" s="17">
        <v>528502</v>
      </c>
      <c r="I324" s="2"/>
      <c r="J324" s="2"/>
      <c r="K324" s="17">
        <v>528502</v>
      </c>
      <c r="L324" s="17">
        <v>56625.21</v>
      </c>
      <c r="M324" s="17">
        <v>471876.79</v>
      </c>
      <c r="N324" s="17">
        <v>528502</v>
      </c>
      <c r="O324" s="2"/>
      <c r="P324" s="2"/>
      <c r="Q324" s="2" t="s">
        <v>270</v>
      </c>
      <c r="R324" s="5">
        <f t="shared" si="12"/>
        <v>528502</v>
      </c>
      <c r="S324" s="5">
        <f t="shared" si="13"/>
        <v>528502</v>
      </c>
      <c r="T324" s="5">
        <f t="shared" si="14"/>
        <v>0</v>
      </c>
    </row>
    <row r="325" spans="1:20">
      <c r="A325" s="2" t="s">
        <v>866</v>
      </c>
      <c r="B325" s="2" t="s">
        <v>893</v>
      </c>
      <c r="C325" s="2" t="s">
        <v>146</v>
      </c>
      <c r="D325" s="16">
        <v>90</v>
      </c>
      <c r="E325" s="2" t="s">
        <v>885</v>
      </c>
      <c r="F325" s="2" t="s">
        <v>384</v>
      </c>
      <c r="G325" s="2" t="s">
        <v>894</v>
      </c>
      <c r="H325" s="17">
        <v>1315800</v>
      </c>
      <c r="I325" s="2"/>
      <c r="J325" s="2"/>
      <c r="K325" s="17">
        <v>1315800</v>
      </c>
      <c r="L325" s="17">
        <v>140978.57</v>
      </c>
      <c r="M325" s="17">
        <v>1174821.43</v>
      </c>
      <c r="N325" s="17">
        <v>1315800</v>
      </c>
      <c r="O325" s="2"/>
      <c r="P325" s="2"/>
      <c r="Q325" s="2" t="s">
        <v>30</v>
      </c>
      <c r="R325" s="5">
        <f t="shared" si="12"/>
        <v>1315800</v>
      </c>
      <c r="S325" s="5">
        <f t="shared" si="13"/>
        <v>1315800</v>
      </c>
      <c r="T325" s="5">
        <f t="shared" si="14"/>
        <v>0</v>
      </c>
    </row>
    <row r="326" spans="1:20">
      <c r="A326" s="2" t="s">
        <v>866</v>
      </c>
      <c r="B326" s="2" t="s">
        <v>895</v>
      </c>
      <c r="C326" s="2" t="s">
        <v>60</v>
      </c>
      <c r="D326" s="16">
        <v>0</v>
      </c>
      <c r="E326" s="2" t="s">
        <v>866</v>
      </c>
      <c r="F326" s="2" t="s">
        <v>196</v>
      </c>
      <c r="G326" s="2" t="s">
        <v>896</v>
      </c>
      <c r="H326" s="17">
        <v>313966</v>
      </c>
      <c r="I326" s="2"/>
      <c r="J326" s="2"/>
      <c r="K326" s="17">
        <v>313966</v>
      </c>
      <c r="L326" s="17">
        <v>33639.21</v>
      </c>
      <c r="M326" s="17">
        <v>280326.78999999998</v>
      </c>
      <c r="N326" s="17">
        <v>313966</v>
      </c>
      <c r="O326" s="2"/>
      <c r="P326" s="2"/>
      <c r="Q326" s="2" t="s">
        <v>56</v>
      </c>
      <c r="R326" s="5">
        <f t="shared" ref="R326:R389" si="15">+J326+K326</f>
        <v>313966</v>
      </c>
      <c r="S326" s="5">
        <f t="shared" ref="S326:S389" si="16">+N326</f>
        <v>313966</v>
      </c>
      <c r="T326" s="5">
        <f t="shared" ref="T326:T389" si="17">+R326-S326</f>
        <v>0</v>
      </c>
    </row>
    <row r="327" spans="1:20">
      <c r="A327" s="2" t="s">
        <v>866</v>
      </c>
      <c r="B327" s="2" t="s">
        <v>897</v>
      </c>
      <c r="C327" s="2" t="s">
        <v>60</v>
      </c>
      <c r="D327" s="16">
        <v>0</v>
      </c>
      <c r="E327" s="2" t="s">
        <v>866</v>
      </c>
      <c r="F327" s="2" t="s">
        <v>196</v>
      </c>
      <c r="G327" s="2" t="s">
        <v>898</v>
      </c>
      <c r="H327" s="17">
        <v>81908</v>
      </c>
      <c r="I327" s="2"/>
      <c r="J327" s="2"/>
      <c r="K327" s="17">
        <v>81908</v>
      </c>
      <c r="L327" s="17">
        <v>8775.86</v>
      </c>
      <c r="M327" s="17">
        <v>73132.14</v>
      </c>
      <c r="N327" s="17">
        <v>81908</v>
      </c>
      <c r="O327" s="2"/>
      <c r="P327" s="2"/>
      <c r="Q327" s="2" t="s">
        <v>56</v>
      </c>
      <c r="R327" s="5">
        <f t="shared" si="15"/>
        <v>81908</v>
      </c>
      <c r="S327" s="5">
        <f t="shared" si="16"/>
        <v>81908</v>
      </c>
      <c r="T327" s="5">
        <f t="shared" si="17"/>
        <v>0</v>
      </c>
    </row>
    <row r="328" spans="1:20">
      <c r="A328" s="2" t="s">
        <v>866</v>
      </c>
      <c r="B328" s="2" t="s">
        <v>899</v>
      </c>
      <c r="C328" s="2" t="s">
        <v>162</v>
      </c>
      <c r="D328" s="16">
        <v>90</v>
      </c>
      <c r="E328" s="2" t="s">
        <v>885</v>
      </c>
      <c r="F328" s="2" t="s">
        <v>193</v>
      </c>
      <c r="G328" s="2" t="s">
        <v>900</v>
      </c>
      <c r="H328" s="17">
        <v>37150</v>
      </c>
      <c r="I328" s="2"/>
      <c r="J328" s="2"/>
      <c r="K328" s="17">
        <v>37150</v>
      </c>
      <c r="L328" s="17">
        <v>3980.36</v>
      </c>
      <c r="M328" s="17">
        <v>33169.64</v>
      </c>
      <c r="N328" s="17">
        <v>37150</v>
      </c>
      <c r="O328" s="2"/>
      <c r="P328" s="2"/>
      <c r="Q328" s="2" t="s">
        <v>36</v>
      </c>
      <c r="R328" s="5">
        <f t="shared" si="15"/>
        <v>37150</v>
      </c>
      <c r="S328" s="5">
        <f t="shared" si="16"/>
        <v>37150</v>
      </c>
      <c r="T328" s="5">
        <f t="shared" si="17"/>
        <v>0</v>
      </c>
    </row>
    <row r="329" spans="1:20">
      <c r="A329" s="2" t="s">
        <v>866</v>
      </c>
      <c r="B329" s="2" t="s">
        <v>901</v>
      </c>
      <c r="C329" s="2" t="s">
        <v>162</v>
      </c>
      <c r="D329" s="16">
        <v>90</v>
      </c>
      <c r="E329" s="2" t="s">
        <v>885</v>
      </c>
      <c r="F329" s="2" t="s">
        <v>193</v>
      </c>
      <c r="G329" s="2" t="s">
        <v>902</v>
      </c>
      <c r="H329" s="17">
        <v>51430</v>
      </c>
      <c r="I329" s="2"/>
      <c r="J329" s="2"/>
      <c r="K329" s="17">
        <v>51430</v>
      </c>
      <c r="L329" s="17">
        <v>5510.36</v>
      </c>
      <c r="M329" s="17">
        <v>45919.64</v>
      </c>
      <c r="N329" s="17">
        <v>51430</v>
      </c>
      <c r="O329" s="2"/>
      <c r="P329" s="2"/>
      <c r="Q329" s="2" t="s">
        <v>36</v>
      </c>
      <c r="R329" s="5">
        <f t="shared" si="15"/>
        <v>51430</v>
      </c>
      <c r="S329" s="5">
        <f t="shared" si="16"/>
        <v>51430</v>
      </c>
      <c r="T329" s="5">
        <f t="shared" si="17"/>
        <v>0</v>
      </c>
    </row>
    <row r="330" spans="1:20">
      <c r="A330" s="2" t="s">
        <v>866</v>
      </c>
      <c r="B330" s="2" t="s">
        <v>903</v>
      </c>
      <c r="C330" s="2" t="s">
        <v>162</v>
      </c>
      <c r="D330" s="16">
        <v>90</v>
      </c>
      <c r="E330" s="2" t="s">
        <v>885</v>
      </c>
      <c r="F330" s="2" t="s">
        <v>904</v>
      </c>
      <c r="G330" s="2" t="s">
        <v>905</v>
      </c>
      <c r="H330" s="17">
        <v>80432</v>
      </c>
      <c r="I330" s="2"/>
      <c r="J330" s="2"/>
      <c r="K330" s="17">
        <v>80432</v>
      </c>
      <c r="L330" s="17">
        <v>8617.7099999999991</v>
      </c>
      <c r="M330" s="17">
        <v>71814.289999999994</v>
      </c>
      <c r="N330" s="17">
        <v>80432</v>
      </c>
      <c r="O330" s="2"/>
      <c r="P330" s="2"/>
      <c r="Q330" s="2" t="s">
        <v>204</v>
      </c>
      <c r="R330" s="5">
        <f t="shared" si="15"/>
        <v>80432</v>
      </c>
      <c r="S330" s="5">
        <f t="shared" si="16"/>
        <v>80432</v>
      </c>
      <c r="T330" s="5">
        <f t="shared" si="17"/>
        <v>0</v>
      </c>
    </row>
    <row r="331" spans="1:20">
      <c r="A331" s="2" t="s">
        <v>866</v>
      </c>
      <c r="B331" s="2" t="s">
        <v>906</v>
      </c>
      <c r="C331" s="2" t="s">
        <v>146</v>
      </c>
      <c r="D331" s="16">
        <v>90</v>
      </c>
      <c r="E331" s="2" t="s">
        <v>885</v>
      </c>
      <c r="F331" s="2" t="s">
        <v>907</v>
      </c>
      <c r="G331" s="2" t="s">
        <v>908</v>
      </c>
      <c r="H331" s="17">
        <v>133902</v>
      </c>
      <c r="I331" s="2"/>
      <c r="J331" s="2"/>
      <c r="K331" s="17">
        <v>133902</v>
      </c>
      <c r="L331" s="17">
        <v>14346.64</v>
      </c>
      <c r="M331" s="17">
        <v>119555.36</v>
      </c>
      <c r="N331" s="17">
        <v>133902</v>
      </c>
      <c r="O331" s="2"/>
      <c r="P331" s="2"/>
      <c r="Q331" s="2" t="s">
        <v>25</v>
      </c>
      <c r="R331" s="5">
        <f t="shared" si="15"/>
        <v>133902</v>
      </c>
      <c r="S331" s="5">
        <f t="shared" si="16"/>
        <v>133902</v>
      </c>
      <c r="T331" s="5">
        <f t="shared" si="17"/>
        <v>0</v>
      </c>
    </row>
    <row r="332" spans="1:20">
      <c r="A332" s="2" t="s">
        <v>866</v>
      </c>
      <c r="B332" s="2" t="s">
        <v>909</v>
      </c>
      <c r="C332" s="2" t="s">
        <v>60</v>
      </c>
      <c r="D332" s="16">
        <v>0</v>
      </c>
      <c r="E332" s="2" t="s">
        <v>866</v>
      </c>
      <c r="F332" s="2" t="s">
        <v>910</v>
      </c>
      <c r="G332" s="2" t="s">
        <v>911</v>
      </c>
      <c r="H332" s="17">
        <v>8800</v>
      </c>
      <c r="I332" s="2"/>
      <c r="J332" s="2"/>
      <c r="K332" s="17">
        <v>8800</v>
      </c>
      <c r="L332" s="18">
        <v>942.86</v>
      </c>
      <c r="M332" s="17">
        <v>7857.14</v>
      </c>
      <c r="N332" s="17">
        <v>8800</v>
      </c>
      <c r="O332" s="2"/>
      <c r="P332" s="2"/>
      <c r="Q332" s="2" t="s">
        <v>105</v>
      </c>
      <c r="R332" s="5">
        <f t="shared" si="15"/>
        <v>8800</v>
      </c>
      <c r="S332" s="5">
        <f t="shared" si="16"/>
        <v>8800</v>
      </c>
      <c r="T332" s="5">
        <f t="shared" si="17"/>
        <v>0</v>
      </c>
    </row>
    <row r="333" spans="1:20">
      <c r="A333" s="2" t="s">
        <v>866</v>
      </c>
      <c r="B333" s="2" t="s">
        <v>912</v>
      </c>
      <c r="C333" s="2" t="s">
        <v>29</v>
      </c>
      <c r="D333" s="16">
        <v>0</v>
      </c>
      <c r="E333" s="2" t="s">
        <v>866</v>
      </c>
      <c r="F333" s="2" t="s">
        <v>218</v>
      </c>
      <c r="G333" s="2" t="s">
        <v>913</v>
      </c>
      <c r="H333" s="17">
        <v>32004</v>
      </c>
      <c r="I333" s="19">
        <v>-960.12</v>
      </c>
      <c r="J333" s="2"/>
      <c r="K333" s="17">
        <v>31043.88</v>
      </c>
      <c r="L333" s="17">
        <v>3326.13</v>
      </c>
      <c r="M333" s="17">
        <v>27717.75</v>
      </c>
      <c r="N333" s="17">
        <v>31043.88</v>
      </c>
      <c r="O333" s="2"/>
      <c r="P333" s="2"/>
      <c r="Q333" s="2" t="s">
        <v>30</v>
      </c>
      <c r="R333" s="5">
        <f t="shared" si="15"/>
        <v>31043.88</v>
      </c>
      <c r="S333" s="5">
        <f t="shared" si="16"/>
        <v>31043.88</v>
      </c>
      <c r="T333" s="5">
        <f t="shared" si="17"/>
        <v>0</v>
      </c>
    </row>
    <row r="334" spans="1:20">
      <c r="A334" s="2" t="s">
        <v>915</v>
      </c>
      <c r="B334" s="2" t="s">
        <v>914</v>
      </c>
      <c r="C334" s="2" t="s">
        <v>73</v>
      </c>
      <c r="D334" s="16">
        <v>30</v>
      </c>
      <c r="E334" s="2" t="s">
        <v>916</v>
      </c>
      <c r="F334" s="2" t="s">
        <v>812</v>
      </c>
      <c r="G334" s="2" t="s">
        <v>849</v>
      </c>
      <c r="H334" s="17">
        <v>127702</v>
      </c>
      <c r="I334" s="2"/>
      <c r="J334" s="2"/>
      <c r="K334" s="17">
        <v>127702</v>
      </c>
      <c r="L334" s="17">
        <v>13682.36</v>
      </c>
      <c r="M334" s="17">
        <v>114019.64</v>
      </c>
      <c r="N334" s="17">
        <v>127702</v>
      </c>
      <c r="O334" s="2"/>
      <c r="P334" s="2"/>
      <c r="Q334" s="2" t="s">
        <v>56</v>
      </c>
      <c r="R334" s="5">
        <f t="shared" si="15"/>
        <v>127702</v>
      </c>
      <c r="S334" s="5">
        <f t="shared" si="16"/>
        <v>127702</v>
      </c>
      <c r="T334" s="5">
        <f t="shared" si="17"/>
        <v>0</v>
      </c>
    </row>
    <row r="335" spans="1:20">
      <c r="A335" s="2" t="s">
        <v>915</v>
      </c>
      <c r="B335" s="2" t="s">
        <v>917</v>
      </c>
      <c r="C335" s="2" t="s">
        <v>151</v>
      </c>
      <c r="D335" s="16">
        <v>60</v>
      </c>
      <c r="E335" s="2" t="s">
        <v>918</v>
      </c>
      <c r="F335" s="2" t="s">
        <v>614</v>
      </c>
      <c r="G335" s="2" t="s">
        <v>919</v>
      </c>
      <c r="H335" s="17">
        <v>48720</v>
      </c>
      <c r="I335" s="2"/>
      <c r="J335" s="2"/>
      <c r="K335" s="17">
        <v>48720</v>
      </c>
      <c r="L335" s="17">
        <v>5220</v>
      </c>
      <c r="M335" s="17">
        <v>43500</v>
      </c>
      <c r="N335" s="17">
        <v>48720</v>
      </c>
      <c r="O335" s="2"/>
      <c r="P335" s="2"/>
      <c r="Q335" s="2" t="s">
        <v>30</v>
      </c>
      <c r="R335" s="5">
        <f t="shared" si="15"/>
        <v>48720</v>
      </c>
      <c r="S335" s="5">
        <f t="shared" si="16"/>
        <v>48720</v>
      </c>
      <c r="T335" s="5">
        <f t="shared" si="17"/>
        <v>0</v>
      </c>
    </row>
    <row r="336" spans="1:20">
      <c r="A336" s="2" t="s">
        <v>915</v>
      </c>
      <c r="B336" s="2" t="s">
        <v>920</v>
      </c>
      <c r="C336" s="2" t="s">
        <v>73</v>
      </c>
      <c r="D336" s="16">
        <v>30</v>
      </c>
      <c r="E336" s="2" t="s">
        <v>916</v>
      </c>
      <c r="F336" s="2" t="s">
        <v>921</v>
      </c>
      <c r="G336" s="2" t="s">
        <v>922</v>
      </c>
      <c r="H336" s="17">
        <v>348834</v>
      </c>
      <c r="I336" s="2"/>
      <c r="J336" s="2"/>
      <c r="K336" s="17">
        <v>348834</v>
      </c>
      <c r="L336" s="17">
        <v>37375.07</v>
      </c>
      <c r="M336" s="17">
        <v>311458.93</v>
      </c>
      <c r="N336" s="17">
        <v>348834</v>
      </c>
      <c r="O336" s="2"/>
      <c r="P336" s="2"/>
      <c r="Q336" s="2" t="s">
        <v>139</v>
      </c>
      <c r="R336" s="5">
        <f t="shared" si="15"/>
        <v>348834</v>
      </c>
      <c r="S336" s="5">
        <f t="shared" si="16"/>
        <v>348834</v>
      </c>
      <c r="T336" s="5">
        <f t="shared" si="17"/>
        <v>0</v>
      </c>
    </row>
    <row r="337" spans="1:20">
      <c r="A337" s="2" t="s">
        <v>915</v>
      </c>
      <c r="B337" s="2" t="s">
        <v>923</v>
      </c>
      <c r="C337" s="2" t="s">
        <v>146</v>
      </c>
      <c r="D337" s="16">
        <v>90</v>
      </c>
      <c r="E337" s="2" t="s">
        <v>924</v>
      </c>
      <c r="F337" s="2" t="s">
        <v>766</v>
      </c>
      <c r="G337" s="2" t="s">
        <v>925</v>
      </c>
      <c r="H337" s="17">
        <v>242361</v>
      </c>
      <c r="I337" s="2"/>
      <c r="J337" s="2"/>
      <c r="K337" s="17">
        <v>242361</v>
      </c>
      <c r="L337" s="17">
        <v>25967.25</v>
      </c>
      <c r="M337" s="17">
        <v>216393.75</v>
      </c>
      <c r="N337" s="17">
        <v>242361</v>
      </c>
      <c r="O337" s="2"/>
      <c r="P337" s="2"/>
      <c r="Q337" s="2" t="s">
        <v>759</v>
      </c>
      <c r="R337" s="5">
        <f t="shared" si="15"/>
        <v>242361</v>
      </c>
      <c r="S337" s="5">
        <f t="shared" si="16"/>
        <v>242361</v>
      </c>
      <c r="T337" s="5">
        <f t="shared" si="17"/>
        <v>0</v>
      </c>
    </row>
    <row r="338" spans="1:20">
      <c r="A338" s="2" t="s">
        <v>915</v>
      </c>
      <c r="B338" s="2" t="s">
        <v>926</v>
      </c>
      <c r="C338" s="2" t="s">
        <v>73</v>
      </c>
      <c r="D338" s="16">
        <v>30</v>
      </c>
      <c r="E338" s="2" t="s">
        <v>916</v>
      </c>
      <c r="F338" s="2" t="s">
        <v>267</v>
      </c>
      <c r="G338" s="2" t="s">
        <v>927</v>
      </c>
      <c r="H338" s="17">
        <v>7952</v>
      </c>
      <c r="I338" s="2"/>
      <c r="J338" s="2"/>
      <c r="K338" s="17">
        <v>7952</v>
      </c>
      <c r="L338" s="18">
        <v>852</v>
      </c>
      <c r="M338" s="17">
        <v>7100</v>
      </c>
      <c r="N338" s="17">
        <v>7952</v>
      </c>
      <c r="O338" s="2"/>
      <c r="P338" s="2"/>
      <c r="Q338" s="2" t="s">
        <v>19</v>
      </c>
      <c r="R338" s="5">
        <f t="shared" si="15"/>
        <v>7952</v>
      </c>
      <c r="S338" s="5">
        <f t="shared" si="16"/>
        <v>7952</v>
      </c>
      <c r="T338" s="5">
        <f t="shared" si="17"/>
        <v>0</v>
      </c>
    </row>
    <row r="339" spans="1:20">
      <c r="A339" s="2" t="s">
        <v>915</v>
      </c>
      <c r="B339" s="2" t="s">
        <v>928</v>
      </c>
      <c r="C339" s="2" t="s">
        <v>73</v>
      </c>
      <c r="D339" s="16">
        <v>30</v>
      </c>
      <c r="E339" s="2" t="s">
        <v>916</v>
      </c>
      <c r="F339" s="2" t="s">
        <v>267</v>
      </c>
      <c r="G339" s="2" t="s">
        <v>929</v>
      </c>
      <c r="H339" s="17">
        <v>19890</v>
      </c>
      <c r="I339" s="2"/>
      <c r="J339" s="2"/>
      <c r="K339" s="17">
        <v>19890</v>
      </c>
      <c r="L339" s="17">
        <v>2131.0700000000002</v>
      </c>
      <c r="M339" s="17">
        <v>17758.93</v>
      </c>
      <c r="N339" s="17">
        <v>19890</v>
      </c>
      <c r="O339" s="2"/>
      <c r="P339" s="2"/>
      <c r="Q339" s="2" t="s">
        <v>19</v>
      </c>
      <c r="R339" s="5">
        <f t="shared" si="15"/>
        <v>19890</v>
      </c>
      <c r="S339" s="5">
        <f t="shared" si="16"/>
        <v>19890</v>
      </c>
      <c r="T339" s="5">
        <f t="shared" si="17"/>
        <v>0</v>
      </c>
    </row>
    <row r="340" spans="1:20">
      <c r="A340" s="2" t="s">
        <v>915</v>
      </c>
      <c r="B340" s="2" t="s">
        <v>930</v>
      </c>
      <c r="C340" s="2" t="s">
        <v>73</v>
      </c>
      <c r="D340" s="16">
        <v>30</v>
      </c>
      <c r="E340" s="2" t="s">
        <v>916</v>
      </c>
      <c r="F340" s="2" t="s">
        <v>267</v>
      </c>
      <c r="G340" s="2" t="s">
        <v>931</v>
      </c>
      <c r="H340" s="17">
        <v>9180</v>
      </c>
      <c r="I340" s="2"/>
      <c r="J340" s="2"/>
      <c r="K340" s="17">
        <v>9180</v>
      </c>
      <c r="L340" s="18">
        <v>983.57</v>
      </c>
      <c r="M340" s="17">
        <v>8196.43</v>
      </c>
      <c r="N340" s="17">
        <v>9180</v>
      </c>
      <c r="O340" s="2"/>
      <c r="P340" s="2"/>
      <c r="Q340" s="2" t="s">
        <v>19</v>
      </c>
      <c r="R340" s="5">
        <f t="shared" si="15"/>
        <v>9180</v>
      </c>
      <c r="S340" s="5">
        <f t="shared" si="16"/>
        <v>9180</v>
      </c>
      <c r="T340" s="5">
        <f t="shared" si="17"/>
        <v>0</v>
      </c>
    </row>
    <row r="341" spans="1:20">
      <c r="A341" s="2" t="s">
        <v>915</v>
      </c>
      <c r="B341" s="2" t="s">
        <v>932</v>
      </c>
      <c r="C341" s="2" t="s">
        <v>73</v>
      </c>
      <c r="D341" s="16">
        <v>30</v>
      </c>
      <c r="E341" s="2" t="s">
        <v>916</v>
      </c>
      <c r="F341" s="2" t="s">
        <v>267</v>
      </c>
      <c r="G341" s="2" t="s">
        <v>933</v>
      </c>
      <c r="H341" s="17">
        <v>8274</v>
      </c>
      <c r="I341" s="2"/>
      <c r="J341" s="2"/>
      <c r="K341" s="17">
        <v>8274</v>
      </c>
      <c r="L341" s="18">
        <v>886.5</v>
      </c>
      <c r="M341" s="17">
        <v>7387.5</v>
      </c>
      <c r="N341" s="17">
        <v>8274</v>
      </c>
      <c r="O341" s="2"/>
      <c r="P341" s="2"/>
      <c r="Q341" s="2" t="s">
        <v>19</v>
      </c>
      <c r="R341" s="5">
        <f t="shared" si="15"/>
        <v>8274</v>
      </c>
      <c r="S341" s="5">
        <f t="shared" si="16"/>
        <v>8274</v>
      </c>
      <c r="T341" s="5">
        <f t="shared" si="17"/>
        <v>0</v>
      </c>
    </row>
    <row r="342" spans="1:20">
      <c r="A342" s="2" t="s">
        <v>915</v>
      </c>
      <c r="B342" s="2" t="s">
        <v>934</v>
      </c>
      <c r="C342" s="2" t="s">
        <v>237</v>
      </c>
      <c r="D342" s="16">
        <v>60</v>
      </c>
      <c r="E342" s="2" t="s">
        <v>918</v>
      </c>
      <c r="F342" s="2" t="s">
        <v>238</v>
      </c>
      <c r="G342" s="2" t="s">
        <v>935</v>
      </c>
      <c r="H342" s="17">
        <v>151350</v>
      </c>
      <c r="I342" s="2"/>
      <c r="J342" s="2"/>
      <c r="K342" s="17">
        <v>151350</v>
      </c>
      <c r="L342" s="17">
        <v>16216.07</v>
      </c>
      <c r="M342" s="17">
        <v>135133.93</v>
      </c>
      <c r="N342" s="17">
        <v>151350</v>
      </c>
      <c r="O342" s="2"/>
      <c r="P342" s="2"/>
      <c r="Q342" s="2" t="s">
        <v>180</v>
      </c>
      <c r="R342" s="5">
        <f t="shared" si="15"/>
        <v>151350</v>
      </c>
      <c r="S342" s="5">
        <f t="shared" si="16"/>
        <v>151350</v>
      </c>
      <c r="T342" s="5">
        <f t="shared" si="17"/>
        <v>0</v>
      </c>
    </row>
    <row r="343" spans="1:20">
      <c r="A343" s="2" t="s">
        <v>915</v>
      </c>
      <c r="B343" s="2" t="s">
        <v>936</v>
      </c>
      <c r="C343" s="2" t="s">
        <v>54</v>
      </c>
      <c r="D343" s="16">
        <v>90</v>
      </c>
      <c r="E343" s="2" t="s">
        <v>924</v>
      </c>
      <c r="F343" s="2" t="s">
        <v>937</v>
      </c>
      <c r="G343" s="2" t="s">
        <v>938</v>
      </c>
      <c r="H343" s="17">
        <v>430000</v>
      </c>
      <c r="I343" s="2"/>
      <c r="J343" s="2"/>
      <c r="K343" s="17">
        <v>430000</v>
      </c>
      <c r="L343" s="17">
        <v>46071.43</v>
      </c>
      <c r="M343" s="17">
        <v>383928.57</v>
      </c>
      <c r="N343" s="17">
        <v>430000</v>
      </c>
      <c r="O343" s="2"/>
      <c r="P343" s="2"/>
      <c r="Q343" s="2" t="s">
        <v>19</v>
      </c>
      <c r="R343" s="5">
        <f t="shared" si="15"/>
        <v>430000</v>
      </c>
      <c r="S343" s="5">
        <f t="shared" si="16"/>
        <v>430000</v>
      </c>
      <c r="T343" s="5">
        <f t="shared" si="17"/>
        <v>0</v>
      </c>
    </row>
    <row r="344" spans="1:20">
      <c r="A344" s="2" t="s">
        <v>915</v>
      </c>
      <c r="B344" s="2" t="s">
        <v>939</v>
      </c>
      <c r="C344" s="2" t="s">
        <v>34</v>
      </c>
      <c r="D344" s="16">
        <v>60</v>
      </c>
      <c r="E344" s="2" t="s">
        <v>918</v>
      </c>
      <c r="F344" s="2" t="s">
        <v>940</v>
      </c>
      <c r="G344" s="2" t="s">
        <v>941</v>
      </c>
      <c r="H344" s="17">
        <v>19604</v>
      </c>
      <c r="I344" s="2"/>
      <c r="J344" s="2"/>
      <c r="K344" s="17">
        <v>19604</v>
      </c>
      <c r="L344" s="17">
        <v>2100.4299999999998</v>
      </c>
      <c r="M344" s="17">
        <v>17503.57</v>
      </c>
      <c r="N344" s="17">
        <v>19604</v>
      </c>
      <c r="O344" s="2"/>
      <c r="P344" s="2"/>
      <c r="Q344" s="2" t="s">
        <v>19</v>
      </c>
      <c r="R344" s="5">
        <f t="shared" si="15"/>
        <v>19604</v>
      </c>
      <c r="S344" s="5">
        <f t="shared" si="16"/>
        <v>19604</v>
      </c>
      <c r="T344" s="5">
        <f t="shared" si="17"/>
        <v>0</v>
      </c>
    </row>
    <row r="345" spans="1:20">
      <c r="A345" s="2" t="s">
        <v>915</v>
      </c>
      <c r="B345" s="2" t="s">
        <v>942</v>
      </c>
      <c r="C345" s="2" t="s">
        <v>104</v>
      </c>
      <c r="D345" s="16">
        <v>0</v>
      </c>
      <c r="E345" s="2" t="s">
        <v>915</v>
      </c>
      <c r="F345" s="2" t="s">
        <v>943</v>
      </c>
      <c r="G345" s="2" t="s">
        <v>944</v>
      </c>
      <c r="H345" s="17">
        <v>7500</v>
      </c>
      <c r="I345" s="2"/>
      <c r="J345" s="17">
        <v>7500</v>
      </c>
      <c r="K345" s="2">
        <v>0</v>
      </c>
      <c r="L345" s="2"/>
      <c r="M345" s="17">
        <v>7500</v>
      </c>
      <c r="N345" s="17">
        <v>7500</v>
      </c>
      <c r="O345" s="2" t="s">
        <v>1768</v>
      </c>
      <c r="P345" s="2"/>
      <c r="Q345" s="2" t="s">
        <v>25</v>
      </c>
      <c r="R345" s="5">
        <f t="shared" si="15"/>
        <v>7500</v>
      </c>
      <c r="S345" s="5">
        <f t="shared" si="16"/>
        <v>7500</v>
      </c>
      <c r="T345" s="5">
        <f t="shared" si="17"/>
        <v>0</v>
      </c>
    </row>
    <row r="346" spans="1:20">
      <c r="A346" s="2" t="s">
        <v>915</v>
      </c>
      <c r="B346" s="2" t="s">
        <v>945</v>
      </c>
      <c r="C346" s="2" t="s">
        <v>162</v>
      </c>
      <c r="D346" s="16">
        <v>90</v>
      </c>
      <c r="E346" s="2" t="s">
        <v>924</v>
      </c>
      <c r="F346" s="2" t="s">
        <v>904</v>
      </c>
      <c r="G346" s="2" t="s">
        <v>946</v>
      </c>
      <c r="H346" s="17">
        <v>41100</v>
      </c>
      <c r="I346" s="2"/>
      <c r="J346" s="2"/>
      <c r="K346" s="17">
        <v>41100</v>
      </c>
      <c r="L346" s="17">
        <v>4403.57</v>
      </c>
      <c r="M346" s="17">
        <v>36696.43</v>
      </c>
      <c r="N346" s="17">
        <v>41100</v>
      </c>
      <c r="O346" s="2"/>
      <c r="P346" s="2"/>
      <c r="Q346" s="2" t="s">
        <v>204</v>
      </c>
      <c r="R346" s="5">
        <f t="shared" si="15"/>
        <v>41100</v>
      </c>
      <c r="S346" s="5">
        <f t="shared" si="16"/>
        <v>41100</v>
      </c>
      <c r="T346" s="5">
        <f t="shared" si="17"/>
        <v>0</v>
      </c>
    </row>
    <row r="347" spans="1:20">
      <c r="A347" s="2" t="s">
        <v>915</v>
      </c>
      <c r="B347" s="2" t="s">
        <v>947</v>
      </c>
      <c r="C347" s="2" t="s">
        <v>34</v>
      </c>
      <c r="D347" s="16">
        <v>60</v>
      </c>
      <c r="E347" s="2" t="s">
        <v>918</v>
      </c>
      <c r="F347" s="2" t="s">
        <v>201</v>
      </c>
      <c r="G347" s="2" t="s">
        <v>948</v>
      </c>
      <c r="H347" s="17">
        <v>14400</v>
      </c>
      <c r="I347" s="2"/>
      <c r="J347" s="2"/>
      <c r="K347" s="17">
        <v>14400</v>
      </c>
      <c r="L347" s="17">
        <v>1542.86</v>
      </c>
      <c r="M347" s="17">
        <v>12857.14</v>
      </c>
      <c r="N347" s="17">
        <v>14400</v>
      </c>
      <c r="O347" s="2"/>
      <c r="P347" s="2"/>
      <c r="Q347" s="2" t="s">
        <v>30</v>
      </c>
      <c r="R347" s="5">
        <f t="shared" si="15"/>
        <v>14400</v>
      </c>
      <c r="S347" s="5">
        <f t="shared" si="16"/>
        <v>14400</v>
      </c>
      <c r="T347" s="5">
        <f t="shared" si="17"/>
        <v>0</v>
      </c>
    </row>
    <row r="348" spans="1:20">
      <c r="A348" s="2" t="s">
        <v>915</v>
      </c>
      <c r="B348" s="2" t="s">
        <v>949</v>
      </c>
      <c r="C348" s="2" t="s">
        <v>60</v>
      </c>
      <c r="D348" s="16">
        <v>0</v>
      </c>
      <c r="E348" s="2" t="s">
        <v>915</v>
      </c>
      <c r="F348" s="2" t="s">
        <v>190</v>
      </c>
      <c r="G348" s="2" t="s">
        <v>950</v>
      </c>
      <c r="H348" s="17">
        <v>27760</v>
      </c>
      <c r="I348" s="2"/>
      <c r="J348" s="2"/>
      <c r="K348" s="17">
        <v>27760</v>
      </c>
      <c r="L348" s="17">
        <v>2974.29</v>
      </c>
      <c r="M348" s="17">
        <v>24785.71</v>
      </c>
      <c r="N348" s="17">
        <v>27760</v>
      </c>
      <c r="O348" s="2"/>
      <c r="P348" s="2"/>
      <c r="Q348" s="2" t="s">
        <v>56</v>
      </c>
      <c r="R348" s="5">
        <f t="shared" si="15"/>
        <v>27760</v>
      </c>
      <c r="S348" s="5">
        <f t="shared" si="16"/>
        <v>27760</v>
      </c>
      <c r="T348" s="5">
        <f t="shared" si="17"/>
        <v>0</v>
      </c>
    </row>
    <row r="349" spans="1:20">
      <c r="A349" s="2" t="s">
        <v>915</v>
      </c>
      <c r="B349" s="2" t="s">
        <v>951</v>
      </c>
      <c r="C349" s="2" t="s">
        <v>151</v>
      </c>
      <c r="D349" s="16">
        <v>60</v>
      </c>
      <c r="E349" s="2" t="s">
        <v>918</v>
      </c>
      <c r="F349" s="2" t="s">
        <v>264</v>
      </c>
      <c r="G349" s="2" t="s">
        <v>952</v>
      </c>
      <c r="H349" s="17">
        <v>13520</v>
      </c>
      <c r="I349" s="2"/>
      <c r="J349" s="2"/>
      <c r="K349" s="17">
        <v>13520</v>
      </c>
      <c r="L349" s="17">
        <v>1448.57</v>
      </c>
      <c r="M349" s="17">
        <v>12071.43</v>
      </c>
      <c r="N349" s="17">
        <v>13520</v>
      </c>
      <c r="O349" s="2"/>
      <c r="P349" s="2"/>
      <c r="Q349" s="2" t="s">
        <v>139</v>
      </c>
      <c r="R349" s="5">
        <f t="shared" si="15"/>
        <v>13520</v>
      </c>
      <c r="S349" s="5">
        <f t="shared" si="16"/>
        <v>13520</v>
      </c>
      <c r="T349" s="5">
        <f t="shared" si="17"/>
        <v>0</v>
      </c>
    </row>
    <row r="350" spans="1:20">
      <c r="A350" s="2" t="s">
        <v>915</v>
      </c>
      <c r="B350" s="2" t="s">
        <v>953</v>
      </c>
      <c r="C350" s="2" t="s">
        <v>29</v>
      </c>
      <c r="D350" s="16">
        <v>0</v>
      </c>
      <c r="E350" s="2" t="s">
        <v>915</v>
      </c>
      <c r="F350" s="2" t="s">
        <v>31</v>
      </c>
      <c r="G350" s="2" t="s">
        <v>954</v>
      </c>
      <c r="H350" s="17">
        <v>5460</v>
      </c>
      <c r="I350" s="2"/>
      <c r="J350" s="2"/>
      <c r="K350" s="17">
        <v>5460</v>
      </c>
      <c r="L350" s="18">
        <v>585</v>
      </c>
      <c r="M350" s="17">
        <v>4875</v>
      </c>
      <c r="N350" s="17">
        <v>5460</v>
      </c>
      <c r="O350" s="2"/>
      <c r="P350" s="2"/>
      <c r="Q350" s="2" t="s">
        <v>30</v>
      </c>
      <c r="R350" s="5">
        <f t="shared" si="15"/>
        <v>5460</v>
      </c>
      <c r="S350" s="5">
        <f t="shared" si="16"/>
        <v>5460</v>
      </c>
      <c r="T350" s="5">
        <f t="shared" si="17"/>
        <v>0</v>
      </c>
    </row>
    <row r="351" spans="1:20">
      <c r="A351" s="2" t="s">
        <v>915</v>
      </c>
      <c r="B351" s="2" t="s">
        <v>955</v>
      </c>
      <c r="C351" s="2" t="s">
        <v>29</v>
      </c>
      <c r="D351" s="16">
        <v>0</v>
      </c>
      <c r="E351" s="2" t="s">
        <v>915</v>
      </c>
      <c r="F351" s="2" t="s">
        <v>31</v>
      </c>
      <c r="G351" s="2" t="s">
        <v>956</v>
      </c>
      <c r="H351" s="17">
        <v>13144</v>
      </c>
      <c r="I351" s="2"/>
      <c r="J351" s="2"/>
      <c r="K351" s="17">
        <v>13144</v>
      </c>
      <c r="L351" s="17">
        <v>1408.29</v>
      </c>
      <c r="M351" s="17">
        <v>11735.71</v>
      </c>
      <c r="N351" s="17">
        <v>13144</v>
      </c>
      <c r="O351" s="2"/>
      <c r="P351" s="2"/>
      <c r="Q351" s="2" t="s">
        <v>30</v>
      </c>
      <c r="R351" s="5">
        <f t="shared" si="15"/>
        <v>13144</v>
      </c>
      <c r="S351" s="5">
        <f t="shared" si="16"/>
        <v>13144</v>
      </c>
      <c r="T351" s="5">
        <f t="shared" si="17"/>
        <v>0</v>
      </c>
    </row>
    <row r="352" spans="1:20">
      <c r="A352" s="2" t="s">
        <v>915</v>
      </c>
      <c r="B352" s="2" t="s">
        <v>957</v>
      </c>
      <c r="C352" s="2" t="s">
        <v>60</v>
      </c>
      <c r="D352" s="16">
        <v>0</v>
      </c>
      <c r="E352" s="2" t="s">
        <v>915</v>
      </c>
      <c r="F352" s="2" t="s">
        <v>958</v>
      </c>
      <c r="G352" s="2" t="s">
        <v>959</v>
      </c>
      <c r="H352" s="17">
        <v>588000</v>
      </c>
      <c r="I352" s="19">
        <v>-17640</v>
      </c>
      <c r="J352" s="2"/>
      <c r="K352" s="17">
        <v>570360</v>
      </c>
      <c r="L352" s="17">
        <v>61110</v>
      </c>
      <c r="M352" s="17">
        <v>509250</v>
      </c>
      <c r="N352" s="17">
        <v>570360</v>
      </c>
      <c r="O352" s="2"/>
      <c r="P352" s="2"/>
      <c r="Q352" s="2" t="s">
        <v>139</v>
      </c>
      <c r="R352" s="5">
        <f t="shared" si="15"/>
        <v>570360</v>
      </c>
      <c r="S352" s="5">
        <f t="shared" si="16"/>
        <v>570360</v>
      </c>
      <c r="T352" s="5">
        <f t="shared" si="17"/>
        <v>0</v>
      </c>
    </row>
    <row r="353" spans="1:20">
      <c r="A353" s="2" t="s">
        <v>915</v>
      </c>
      <c r="B353" s="2" t="s">
        <v>960</v>
      </c>
      <c r="C353" s="2" t="s">
        <v>60</v>
      </c>
      <c r="D353" s="16">
        <v>0</v>
      </c>
      <c r="E353" s="2" t="s">
        <v>915</v>
      </c>
      <c r="F353" s="2" t="s">
        <v>958</v>
      </c>
      <c r="G353" s="2" t="s">
        <v>961</v>
      </c>
      <c r="H353" s="17">
        <v>395135</v>
      </c>
      <c r="I353" s="19">
        <v>-11854.05</v>
      </c>
      <c r="J353" s="2"/>
      <c r="K353" s="17">
        <v>383280.95</v>
      </c>
      <c r="L353" s="17">
        <v>41065.82</v>
      </c>
      <c r="M353" s="17">
        <v>342215.13</v>
      </c>
      <c r="N353" s="17">
        <v>383280.95</v>
      </c>
      <c r="O353" s="2"/>
      <c r="P353" s="2"/>
      <c r="Q353" s="2" t="s">
        <v>139</v>
      </c>
      <c r="R353" s="5">
        <f t="shared" si="15"/>
        <v>383280.95</v>
      </c>
      <c r="S353" s="5">
        <f t="shared" si="16"/>
        <v>383280.95</v>
      </c>
      <c r="T353" s="5">
        <f t="shared" si="17"/>
        <v>0</v>
      </c>
    </row>
    <row r="354" spans="1:20">
      <c r="A354" s="2" t="s">
        <v>915</v>
      </c>
      <c r="B354" s="2" t="s">
        <v>962</v>
      </c>
      <c r="C354" s="2" t="s">
        <v>162</v>
      </c>
      <c r="D354" s="16">
        <v>90</v>
      </c>
      <c r="E354" s="2" t="s">
        <v>924</v>
      </c>
      <c r="F354" s="2" t="s">
        <v>754</v>
      </c>
      <c r="G354" s="2" t="s">
        <v>963</v>
      </c>
      <c r="H354" s="17">
        <v>150500</v>
      </c>
      <c r="I354" s="2"/>
      <c r="J354" s="2"/>
      <c r="K354" s="17">
        <v>150500</v>
      </c>
      <c r="L354" s="17">
        <v>16125</v>
      </c>
      <c r="M354" s="17">
        <v>134375</v>
      </c>
      <c r="N354" s="17">
        <v>150500</v>
      </c>
      <c r="O354" s="2"/>
      <c r="P354" s="2"/>
      <c r="Q354" s="2" t="s">
        <v>36</v>
      </c>
      <c r="R354" s="5">
        <f t="shared" si="15"/>
        <v>150500</v>
      </c>
      <c r="S354" s="5">
        <f t="shared" si="16"/>
        <v>150500</v>
      </c>
      <c r="T354" s="5">
        <f t="shared" si="17"/>
        <v>0</v>
      </c>
    </row>
    <row r="355" spans="1:20">
      <c r="A355" s="2" t="s">
        <v>915</v>
      </c>
      <c r="B355" s="2" t="s">
        <v>964</v>
      </c>
      <c r="C355" s="2" t="s">
        <v>18</v>
      </c>
      <c r="D355" s="16">
        <v>0</v>
      </c>
      <c r="E355" s="2" t="s">
        <v>915</v>
      </c>
      <c r="F355" s="2" t="s">
        <v>319</v>
      </c>
      <c r="G355" s="2" t="s">
        <v>965</v>
      </c>
      <c r="H355" s="17">
        <v>88000</v>
      </c>
      <c r="I355" s="2"/>
      <c r="J355" s="2"/>
      <c r="K355" s="17">
        <v>88000</v>
      </c>
      <c r="L355" s="17">
        <v>9428.57</v>
      </c>
      <c r="M355" s="17">
        <v>78571.429999999993</v>
      </c>
      <c r="N355" s="17">
        <v>88000</v>
      </c>
      <c r="O355" s="2"/>
      <c r="P355" s="2"/>
      <c r="Q355" s="2" t="s">
        <v>180</v>
      </c>
      <c r="R355" s="5">
        <f t="shared" si="15"/>
        <v>88000</v>
      </c>
      <c r="S355" s="5">
        <f t="shared" si="16"/>
        <v>88000</v>
      </c>
      <c r="T355" s="5">
        <f t="shared" si="17"/>
        <v>0</v>
      </c>
    </row>
    <row r="356" spans="1:20">
      <c r="A356" s="2" t="s">
        <v>915</v>
      </c>
      <c r="B356" s="2" t="s">
        <v>966</v>
      </c>
      <c r="C356" s="2" t="s">
        <v>18</v>
      </c>
      <c r="D356" s="16">
        <v>0</v>
      </c>
      <c r="E356" s="2" t="s">
        <v>915</v>
      </c>
      <c r="F356" s="2" t="s">
        <v>319</v>
      </c>
      <c r="G356" s="2" t="s">
        <v>967</v>
      </c>
      <c r="H356" s="17">
        <v>241500</v>
      </c>
      <c r="I356" s="2"/>
      <c r="J356" s="2"/>
      <c r="K356" s="17">
        <v>241500</v>
      </c>
      <c r="L356" s="17">
        <v>25875</v>
      </c>
      <c r="M356" s="17">
        <v>215625</v>
      </c>
      <c r="N356" s="17">
        <v>241500</v>
      </c>
      <c r="O356" s="2"/>
      <c r="P356" s="2"/>
      <c r="Q356" s="2" t="s">
        <v>180</v>
      </c>
      <c r="R356" s="5">
        <f t="shared" si="15"/>
        <v>241500</v>
      </c>
      <c r="S356" s="5">
        <f t="shared" si="16"/>
        <v>241500</v>
      </c>
      <c r="T356" s="5">
        <f t="shared" si="17"/>
        <v>0</v>
      </c>
    </row>
    <row r="357" spans="1:20">
      <c r="A357" s="2" t="s">
        <v>915</v>
      </c>
      <c r="B357" s="2" t="s">
        <v>968</v>
      </c>
      <c r="C357" s="2" t="s">
        <v>779</v>
      </c>
      <c r="D357" s="16">
        <v>0</v>
      </c>
      <c r="E357" s="2" t="s">
        <v>915</v>
      </c>
      <c r="F357" s="2" t="s">
        <v>780</v>
      </c>
      <c r="G357" s="2" t="s">
        <v>969</v>
      </c>
      <c r="H357" s="17">
        <v>600900</v>
      </c>
      <c r="I357" s="2"/>
      <c r="J357" s="2"/>
      <c r="K357" s="17">
        <v>600900</v>
      </c>
      <c r="L357" s="17">
        <v>64382.14</v>
      </c>
      <c r="M357" s="17">
        <v>536517.86</v>
      </c>
      <c r="N357" s="17">
        <v>600900</v>
      </c>
      <c r="O357" s="2"/>
      <c r="P357" s="2"/>
      <c r="Q357" s="2" t="s">
        <v>69</v>
      </c>
      <c r="R357" s="5">
        <f t="shared" si="15"/>
        <v>600900</v>
      </c>
      <c r="S357" s="5">
        <f t="shared" si="16"/>
        <v>600900</v>
      </c>
      <c r="T357" s="5">
        <f t="shared" si="17"/>
        <v>0</v>
      </c>
    </row>
    <row r="358" spans="1:20">
      <c r="A358" s="2" t="s">
        <v>971</v>
      </c>
      <c r="B358" s="2" t="s">
        <v>970</v>
      </c>
      <c r="C358" s="2" t="s">
        <v>972</v>
      </c>
      <c r="D358" s="16">
        <v>15</v>
      </c>
      <c r="E358" s="2" t="s">
        <v>296</v>
      </c>
      <c r="F358" s="2" t="s">
        <v>973</v>
      </c>
      <c r="G358" s="2" t="s">
        <v>974</v>
      </c>
      <c r="H358" s="17">
        <v>45600</v>
      </c>
      <c r="I358" s="2"/>
      <c r="J358" s="2"/>
      <c r="K358" s="17">
        <v>45600</v>
      </c>
      <c r="L358" s="17">
        <v>4885.71</v>
      </c>
      <c r="M358" s="17">
        <v>40714.29</v>
      </c>
      <c r="N358" s="17">
        <v>45600</v>
      </c>
      <c r="O358" s="2"/>
      <c r="P358" s="2"/>
      <c r="Q358" s="2" t="s">
        <v>30</v>
      </c>
      <c r="R358" s="5">
        <f t="shared" si="15"/>
        <v>45600</v>
      </c>
      <c r="S358" s="5">
        <f t="shared" si="16"/>
        <v>45600</v>
      </c>
      <c r="T358" s="5">
        <f t="shared" si="17"/>
        <v>0</v>
      </c>
    </row>
    <row r="359" spans="1:20">
      <c r="A359" s="2" t="s">
        <v>971</v>
      </c>
      <c r="B359" s="2" t="s">
        <v>975</v>
      </c>
      <c r="C359" s="2" t="s">
        <v>98</v>
      </c>
      <c r="D359" s="16">
        <v>0</v>
      </c>
      <c r="E359" s="2" t="s">
        <v>971</v>
      </c>
      <c r="F359" s="2" t="s">
        <v>976</v>
      </c>
      <c r="G359" s="2" t="s">
        <v>977</v>
      </c>
      <c r="H359" s="17">
        <v>221591</v>
      </c>
      <c r="I359" s="2"/>
      <c r="J359" s="2"/>
      <c r="K359" s="17">
        <v>221591</v>
      </c>
      <c r="L359" s="17">
        <v>23741.89</v>
      </c>
      <c r="M359" s="17">
        <v>197849.11</v>
      </c>
      <c r="N359" s="17">
        <v>221591</v>
      </c>
      <c r="O359" s="2"/>
      <c r="P359" s="2"/>
      <c r="Q359" s="2" t="s">
        <v>139</v>
      </c>
      <c r="R359" s="5">
        <f t="shared" si="15"/>
        <v>221591</v>
      </c>
      <c r="S359" s="5">
        <f t="shared" si="16"/>
        <v>221591</v>
      </c>
      <c r="T359" s="5">
        <f t="shared" si="17"/>
        <v>0</v>
      </c>
    </row>
    <row r="360" spans="1:20">
      <c r="A360" s="2" t="s">
        <v>971</v>
      </c>
      <c r="B360" s="2" t="s">
        <v>978</v>
      </c>
      <c r="C360" s="2" t="s">
        <v>18</v>
      </c>
      <c r="D360" s="16">
        <v>0</v>
      </c>
      <c r="E360" s="2" t="s">
        <v>971</v>
      </c>
      <c r="F360" s="2" t="s">
        <v>979</v>
      </c>
      <c r="G360" s="2" t="s">
        <v>980</v>
      </c>
      <c r="H360" s="17">
        <v>515828.54</v>
      </c>
      <c r="I360" s="2"/>
      <c r="J360" s="2"/>
      <c r="K360" s="17">
        <v>515828.54</v>
      </c>
      <c r="L360" s="17">
        <v>55267.34</v>
      </c>
      <c r="M360" s="17">
        <v>460561.2</v>
      </c>
      <c r="N360" s="17">
        <v>515828.54</v>
      </c>
      <c r="O360" s="2"/>
      <c r="P360" s="2"/>
      <c r="Q360" s="2" t="s">
        <v>270</v>
      </c>
      <c r="R360" s="5">
        <f t="shared" si="15"/>
        <v>515828.54</v>
      </c>
      <c r="S360" s="5">
        <f t="shared" si="16"/>
        <v>515828.54</v>
      </c>
      <c r="T360" s="5">
        <f t="shared" si="17"/>
        <v>0</v>
      </c>
    </row>
    <row r="361" spans="1:20">
      <c r="A361" s="2" t="s">
        <v>971</v>
      </c>
      <c r="B361" s="2" t="s">
        <v>981</v>
      </c>
      <c r="C361" s="2" t="s">
        <v>18</v>
      </c>
      <c r="D361" s="16">
        <v>0</v>
      </c>
      <c r="E361" s="2" t="s">
        <v>971</v>
      </c>
      <c r="F361" s="2" t="s">
        <v>979</v>
      </c>
      <c r="G361" s="2" t="s">
        <v>982</v>
      </c>
      <c r="H361" s="17">
        <v>951330</v>
      </c>
      <c r="I361" s="2"/>
      <c r="J361" s="2"/>
      <c r="K361" s="17">
        <v>951330</v>
      </c>
      <c r="L361" s="17">
        <v>101928.21</v>
      </c>
      <c r="M361" s="17">
        <v>849401.79</v>
      </c>
      <c r="N361" s="17">
        <v>951330</v>
      </c>
      <c r="O361" s="2"/>
      <c r="P361" s="2"/>
      <c r="Q361" s="2" t="s">
        <v>270</v>
      </c>
      <c r="R361" s="5">
        <f t="shared" si="15"/>
        <v>951330</v>
      </c>
      <c r="S361" s="5">
        <f t="shared" si="16"/>
        <v>951330</v>
      </c>
      <c r="T361" s="5">
        <f t="shared" si="17"/>
        <v>0</v>
      </c>
    </row>
    <row r="362" spans="1:20">
      <c r="A362" s="2" t="s">
        <v>971</v>
      </c>
      <c r="B362" s="2" t="s">
        <v>983</v>
      </c>
      <c r="C362" s="2" t="s">
        <v>60</v>
      </c>
      <c r="D362" s="16">
        <v>0</v>
      </c>
      <c r="E362" s="2" t="s">
        <v>971</v>
      </c>
      <c r="F362" s="2" t="s">
        <v>190</v>
      </c>
      <c r="G362" s="2" t="s">
        <v>984</v>
      </c>
      <c r="H362" s="17">
        <v>2489.9</v>
      </c>
      <c r="I362" s="2"/>
      <c r="J362" s="2"/>
      <c r="K362" s="17">
        <v>2489.9</v>
      </c>
      <c r="L362" s="18">
        <v>266.77</v>
      </c>
      <c r="M362" s="17">
        <v>2223.13</v>
      </c>
      <c r="N362" s="17">
        <v>2489.9</v>
      </c>
      <c r="O362" s="2"/>
      <c r="P362" s="2"/>
      <c r="Q362" s="2" t="s">
        <v>56</v>
      </c>
      <c r="R362" s="5">
        <f t="shared" si="15"/>
        <v>2489.9</v>
      </c>
      <c r="S362" s="5">
        <f t="shared" si="16"/>
        <v>2489.9</v>
      </c>
      <c r="T362" s="5">
        <f t="shared" si="17"/>
        <v>0</v>
      </c>
    </row>
    <row r="363" spans="1:20">
      <c r="A363" s="2" t="s">
        <v>971</v>
      </c>
      <c r="B363" s="2" t="s">
        <v>985</v>
      </c>
      <c r="C363" s="2" t="s">
        <v>162</v>
      </c>
      <c r="D363" s="16">
        <v>90</v>
      </c>
      <c r="E363" s="2" t="s">
        <v>986</v>
      </c>
      <c r="F363" s="2" t="s">
        <v>763</v>
      </c>
      <c r="G363" s="2" t="s">
        <v>987</v>
      </c>
      <c r="H363" s="17">
        <v>20070</v>
      </c>
      <c r="I363" s="2"/>
      <c r="J363" s="2"/>
      <c r="K363" s="17">
        <v>20070</v>
      </c>
      <c r="L363" s="17">
        <v>2150.36</v>
      </c>
      <c r="M363" s="17">
        <v>17919.64</v>
      </c>
      <c r="N363" s="17">
        <v>20070</v>
      </c>
      <c r="O363" s="2"/>
      <c r="P363" s="2"/>
      <c r="Q363" s="2" t="s">
        <v>759</v>
      </c>
      <c r="R363" s="5">
        <f t="shared" si="15"/>
        <v>20070</v>
      </c>
      <c r="S363" s="5">
        <f t="shared" si="16"/>
        <v>20070</v>
      </c>
      <c r="T363" s="5">
        <f t="shared" si="17"/>
        <v>0</v>
      </c>
    </row>
    <row r="364" spans="1:20">
      <c r="A364" s="2" t="s">
        <v>971</v>
      </c>
      <c r="B364" s="2" t="s">
        <v>988</v>
      </c>
      <c r="C364" s="2" t="s">
        <v>162</v>
      </c>
      <c r="D364" s="16">
        <v>90</v>
      </c>
      <c r="E364" s="2" t="s">
        <v>986</v>
      </c>
      <c r="F364" s="2" t="s">
        <v>763</v>
      </c>
      <c r="G364" s="2" t="s">
        <v>989</v>
      </c>
      <c r="H364" s="17">
        <v>781060</v>
      </c>
      <c r="I364" s="2"/>
      <c r="J364" s="2"/>
      <c r="K364" s="17">
        <v>781060</v>
      </c>
      <c r="L364" s="17">
        <v>83685</v>
      </c>
      <c r="M364" s="17">
        <v>697375</v>
      </c>
      <c r="N364" s="17">
        <v>781060</v>
      </c>
      <c r="O364" s="2"/>
      <c r="P364" s="2"/>
      <c r="Q364" s="2" t="s">
        <v>759</v>
      </c>
      <c r="R364" s="5">
        <f t="shared" si="15"/>
        <v>781060</v>
      </c>
      <c r="S364" s="5">
        <f t="shared" si="16"/>
        <v>781060</v>
      </c>
      <c r="T364" s="5">
        <f t="shared" si="17"/>
        <v>0</v>
      </c>
    </row>
    <row r="365" spans="1:20">
      <c r="A365" s="2" t="s">
        <v>971</v>
      </c>
      <c r="B365" s="2" t="s">
        <v>990</v>
      </c>
      <c r="C365" s="2" t="s">
        <v>151</v>
      </c>
      <c r="D365" s="16">
        <v>60</v>
      </c>
      <c r="E365" s="2" t="s">
        <v>991</v>
      </c>
      <c r="F365" s="2" t="s">
        <v>70</v>
      </c>
      <c r="G365" s="2" t="s">
        <v>992</v>
      </c>
      <c r="H365" s="17">
        <v>58800</v>
      </c>
      <c r="I365" s="2"/>
      <c r="J365" s="2"/>
      <c r="K365" s="17">
        <v>58800</v>
      </c>
      <c r="L365" s="17">
        <v>6300</v>
      </c>
      <c r="M365" s="17">
        <v>52500</v>
      </c>
      <c r="N365" s="17">
        <v>58800</v>
      </c>
      <c r="O365" s="2"/>
      <c r="P365" s="2"/>
      <c r="Q365" s="2" t="s">
        <v>69</v>
      </c>
      <c r="R365" s="5">
        <f t="shared" si="15"/>
        <v>58800</v>
      </c>
      <c r="S365" s="5">
        <f t="shared" si="16"/>
        <v>58800</v>
      </c>
      <c r="T365" s="5">
        <f t="shared" si="17"/>
        <v>0</v>
      </c>
    </row>
    <row r="366" spans="1:20">
      <c r="A366" s="2" t="s">
        <v>971</v>
      </c>
      <c r="B366" s="2" t="s">
        <v>993</v>
      </c>
      <c r="C366" s="2" t="s">
        <v>29</v>
      </c>
      <c r="D366" s="16">
        <v>0</v>
      </c>
      <c r="E366" s="2" t="s">
        <v>971</v>
      </c>
      <c r="F366" s="2" t="s">
        <v>140</v>
      </c>
      <c r="G366" s="2" t="s">
        <v>994</v>
      </c>
      <c r="H366" s="17">
        <v>109780</v>
      </c>
      <c r="I366" s="2"/>
      <c r="J366" s="2"/>
      <c r="K366" s="17">
        <v>109780</v>
      </c>
      <c r="L366" s="17">
        <v>11762.14</v>
      </c>
      <c r="M366" s="17">
        <v>98017.86</v>
      </c>
      <c r="N366" s="17">
        <v>109780</v>
      </c>
      <c r="O366" s="2"/>
      <c r="P366" s="2"/>
      <c r="Q366" s="2" t="s">
        <v>139</v>
      </c>
      <c r="R366" s="5">
        <f t="shared" si="15"/>
        <v>109780</v>
      </c>
      <c r="S366" s="5">
        <f t="shared" si="16"/>
        <v>109780</v>
      </c>
      <c r="T366" s="5">
        <f t="shared" si="17"/>
        <v>0</v>
      </c>
    </row>
    <row r="367" spans="1:20">
      <c r="A367" s="2" t="s">
        <v>971</v>
      </c>
      <c r="B367" s="2" t="s">
        <v>995</v>
      </c>
      <c r="C367" s="2" t="s">
        <v>60</v>
      </c>
      <c r="D367" s="16">
        <v>0</v>
      </c>
      <c r="E367" s="2" t="s">
        <v>971</v>
      </c>
      <c r="F367" s="2" t="s">
        <v>996</v>
      </c>
      <c r="G367" s="2" t="s">
        <v>997</v>
      </c>
      <c r="H367" s="17">
        <v>233990</v>
      </c>
      <c r="I367" s="2"/>
      <c r="J367" s="2"/>
      <c r="K367" s="17">
        <v>233990</v>
      </c>
      <c r="L367" s="17">
        <v>25070.36</v>
      </c>
      <c r="M367" s="17">
        <v>208919.64</v>
      </c>
      <c r="N367" s="17">
        <v>233990</v>
      </c>
      <c r="O367" s="2"/>
      <c r="P367" s="2"/>
      <c r="Q367" s="2" t="s">
        <v>56</v>
      </c>
      <c r="R367" s="5">
        <f t="shared" si="15"/>
        <v>233990</v>
      </c>
      <c r="S367" s="5">
        <f t="shared" si="16"/>
        <v>233990</v>
      </c>
      <c r="T367" s="5">
        <f t="shared" si="17"/>
        <v>0</v>
      </c>
    </row>
    <row r="368" spans="1:20">
      <c r="A368" s="2" t="s">
        <v>971</v>
      </c>
      <c r="B368" s="2" t="s">
        <v>998</v>
      </c>
      <c r="C368" s="2" t="s">
        <v>146</v>
      </c>
      <c r="D368" s="16">
        <v>90</v>
      </c>
      <c r="E368" s="2" t="s">
        <v>986</v>
      </c>
      <c r="F368" s="2" t="s">
        <v>754</v>
      </c>
      <c r="G368" s="2" t="s">
        <v>999</v>
      </c>
      <c r="H368" s="17">
        <v>752500</v>
      </c>
      <c r="I368" s="2"/>
      <c r="J368" s="2"/>
      <c r="K368" s="17">
        <v>752500</v>
      </c>
      <c r="L368" s="17">
        <v>80625</v>
      </c>
      <c r="M368" s="17">
        <v>671875</v>
      </c>
      <c r="N368" s="17">
        <v>752500</v>
      </c>
      <c r="O368" s="2"/>
      <c r="P368" s="2"/>
      <c r="Q368" s="2" t="s">
        <v>36</v>
      </c>
      <c r="R368" s="5">
        <f t="shared" si="15"/>
        <v>752500</v>
      </c>
      <c r="S368" s="5">
        <f t="shared" si="16"/>
        <v>752500</v>
      </c>
      <c r="T368" s="5">
        <f t="shared" si="17"/>
        <v>0</v>
      </c>
    </row>
    <row r="369" spans="1:20">
      <c r="A369" s="2" t="s">
        <v>971</v>
      </c>
      <c r="B369" s="2" t="s">
        <v>1000</v>
      </c>
      <c r="C369" s="2" t="s">
        <v>34</v>
      </c>
      <c r="D369" s="16">
        <v>60</v>
      </c>
      <c r="E369" s="2" t="s">
        <v>991</v>
      </c>
      <c r="F369" s="2" t="s">
        <v>287</v>
      </c>
      <c r="G369" s="2" t="s">
        <v>1001</v>
      </c>
      <c r="H369" s="17">
        <v>25200</v>
      </c>
      <c r="I369" s="2"/>
      <c r="J369" s="2"/>
      <c r="K369" s="17">
        <v>25200</v>
      </c>
      <c r="L369" s="17">
        <v>2700</v>
      </c>
      <c r="M369" s="17">
        <v>22500</v>
      </c>
      <c r="N369" s="17">
        <v>25200</v>
      </c>
      <c r="O369" s="2"/>
      <c r="P369" s="2"/>
      <c r="Q369" s="2" t="s">
        <v>19</v>
      </c>
      <c r="R369" s="5">
        <f t="shared" si="15"/>
        <v>25200</v>
      </c>
      <c r="S369" s="5">
        <f t="shared" si="16"/>
        <v>25200</v>
      </c>
      <c r="T369" s="5">
        <f t="shared" si="17"/>
        <v>0</v>
      </c>
    </row>
    <row r="370" spans="1:20">
      <c r="A370" s="2" t="s">
        <v>971</v>
      </c>
      <c r="B370" s="2" t="s">
        <v>1002</v>
      </c>
      <c r="C370" s="2" t="s">
        <v>60</v>
      </c>
      <c r="D370" s="16">
        <v>0</v>
      </c>
      <c r="E370" s="2" t="s">
        <v>971</v>
      </c>
      <c r="F370" s="2" t="s">
        <v>1003</v>
      </c>
      <c r="G370" s="2" t="s">
        <v>1004</v>
      </c>
      <c r="H370" s="17">
        <v>1328544</v>
      </c>
      <c r="I370" s="2"/>
      <c r="J370" s="2"/>
      <c r="K370" s="17">
        <v>1328544</v>
      </c>
      <c r="L370" s="17">
        <v>142344</v>
      </c>
      <c r="M370" s="17">
        <v>1186200</v>
      </c>
      <c r="N370" s="17">
        <v>1328544</v>
      </c>
      <c r="O370" s="2"/>
      <c r="P370" s="2"/>
      <c r="Q370" s="2" t="s">
        <v>56</v>
      </c>
      <c r="R370" s="5">
        <f t="shared" si="15"/>
        <v>1328544</v>
      </c>
      <c r="S370" s="5">
        <f t="shared" si="16"/>
        <v>1328544</v>
      </c>
      <c r="T370" s="5">
        <f t="shared" si="17"/>
        <v>0</v>
      </c>
    </row>
    <row r="371" spans="1:20">
      <c r="A371" s="2" t="s">
        <v>971</v>
      </c>
      <c r="B371" s="2" t="s">
        <v>1005</v>
      </c>
      <c r="C371" s="2" t="s">
        <v>60</v>
      </c>
      <c r="D371" s="16">
        <v>0</v>
      </c>
      <c r="E371" s="2" t="s">
        <v>971</v>
      </c>
      <c r="F371" s="2" t="s">
        <v>1006</v>
      </c>
      <c r="G371" s="2" t="s">
        <v>1007</v>
      </c>
      <c r="H371" s="17">
        <v>78544</v>
      </c>
      <c r="I371" s="2"/>
      <c r="J371" s="2"/>
      <c r="K371" s="17">
        <v>78544</v>
      </c>
      <c r="L371" s="17">
        <v>8415.43</v>
      </c>
      <c r="M371" s="17">
        <v>70128.570000000007</v>
      </c>
      <c r="N371" s="17">
        <v>78544</v>
      </c>
      <c r="O371" s="2"/>
      <c r="P371" s="2"/>
      <c r="Q371" s="2" t="s">
        <v>56</v>
      </c>
      <c r="R371" s="5">
        <f t="shared" si="15"/>
        <v>78544</v>
      </c>
      <c r="S371" s="5">
        <f t="shared" si="16"/>
        <v>78544</v>
      </c>
      <c r="T371" s="5">
        <f t="shared" si="17"/>
        <v>0</v>
      </c>
    </row>
    <row r="372" spans="1:20">
      <c r="A372" s="2" t="s">
        <v>971</v>
      </c>
      <c r="B372" s="2" t="s">
        <v>1008</v>
      </c>
      <c r="C372" s="2" t="s">
        <v>104</v>
      </c>
      <c r="D372" s="16">
        <v>0</v>
      </c>
      <c r="E372" s="2" t="s">
        <v>971</v>
      </c>
      <c r="F372" s="2" t="s">
        <v>274</v>
      </c>
      <c r="G372" s="2" t="s">
        <v>1009</v>
      </c>
      <c r="H372" s="17">
        <v>148747</v>
      </c>
      <c r="I372" s="19">
        <v>-2974.94</v>
      </c>
      <c r="J372" s="2"/>
      <c r="K372" s="17">
        <v>145772.06</v>
      </c>
      <c r="L372" s="17">
        <v>15618.44</v>
      </c>
      <c r="M372" s="17">
        <v>130153.62</v>
      </c>
      <c r="N372" s="17">
        <v>145772.06</v>
      </c>
      <c r="O372" s="2"/>
      <c r="P372" s="2"/>
      <c r="Q372" s="2" t="s">
        <v>105</v>
      </c>
      <c r="R372" s="5">
        <f t="shared" si="15"/>
        <v>145772.06</v>
      </c>
      <c r="S372" s="5">
        <f t="shared" si="16"/>
        <v>145772.06</v>
      </c>
      <c r="T372" s="5">
        <f t="shared" si="17"/>
        <v>0</v>
      </c>
    </row>
    <row r="373" spans="1:20">
      <c r="A373" s="2" t="s">
        <v>971</v>
      </c>
      <c r="B373" s="2" t="s">
        <v>1010</v>
      </c>
      <c r="C373" s="2" t="s">
        <v>1011</v>
      </c>
      <c r="D373" s="16">
        <v>60</v>
      </c>
      <c r="E373" s="2" t="s">
        <v>991</v>
      </c>
      <c r="F373" s="2" t="s">
        <v>1012</v>
      </c>
      <c r="G373" s="2" t="s">
        <v>1013</v>
      </c>
      <c r="H373" s="17">
        <v>168032</v>
      </c>
      <c r="I373" s="2"/>
      <c r="J373" s="2"/>
      <c r="K373" s="17">
        <v>168032</v>
      </c>
      <c r="L373" s="17">
        <v>18003.43</v>
      </c>
      <c r="M373" s="17">
        <v>150028.57</v>
      </c>
      <c r="N373" s="17">
        <v>168032</v>
      </c>
      <c r="O373" s="2"/>
      <c r="P373" s="2"/>
      <c r="Q373" s="2" t="s">
        <v>56</v>
      </c>
      <c r="R373" s="5">
        <f t="shared" si="15"/>
        <v>168032</v>
      </c>
      <c r="S373" s="5">
        <f t="shared" si="16"/>
        <v>168032</v>
      </c>
      <c r="T373" s="5">
        <f t="shared" si="17"/>
        <v>0</v>
      </c>
    </row>
    <row r="374" spans="1:20">
      <c r="A374" s="2" t="s">
        <v>971</v>
      </c>
      <c r="B374" s="2" t="s">
        <v>1014</v>
      </c>
      <c r="C374" s="2" t="s">
        <v>146</v>
      </c>
      <c r="D374" s="16">
        <v>90</v>
      </c>
      <c r="E374" s="2" t="s">
        <v>986</v>
      </c>
      <c r="F374" s="2" t="s">
        <v>663</v>
      </c>
      <c r="G374" s="2" t="s">
        <v>1015</v>
      </c>
      <c r="H374" s="17">
        <v>367567.2</v>
      </c>
      <c r="I374" s="2"/>
      <c r="J374" s="2"/>
      <c r="K374" s="17">
        <v>367567.2</v>
      </c>
      <c r="L374" s="17">
        <v>39382.199999999997</v>
      </c>
      <c r="M374" s="17">
        <v>328185</v>
      </c>
      <c r="N374" s="17">
        <v>367567.2</v>
      </c>
      <c r="O374" s="2"/>
      <c r="P374" s="2"/>
      <c r="Q374" s="2" t="s">
        <v>69</v>
      </c>
      <c r="R374" s="5">
        <f t="shared" si="15"/>
        <v>367567.2</v>
      </c>
      <c r="S374" s="5">
        <f t="shared" si="16"/>
        <v>367567.2</v>
      </c>
      <c r="T374" s="5">
        <f t="shared" si="17"/>
        <v>0</v>
      </c>
    </row>
    <row r="375" spans="1:20">
      <c r="A375" s="2" t="s">
        <v>971</v>
      </c>
      <c r="B375" s="2" t="s">
        <v>1016</v>
      </c>
      <c r="C375" s="2" t="s">
        <v>1011</v>
      </c>
      <c r="D375" s="16">
        <v>60</v>
      </c>
      <c r="E375" s="2" t="s">
        <v>991</v>
      </c>
      <c r="F375" s="2" t="s">
        <v>1012</v>
      </c>
      <c r="G375" s="2" t="s">
        <v>1017</v>
      </c>
      <c r="H375" s="17">
        <v>135474</v>
      </c>
      <c r="I375" s="2"/>
      <c r="J375" s="2"/>
      <c r="K375" s="17">
        <v>135474</v>
      </c>
      <c r="L375" s="17">
        <v>14515.07</v>
      </c>
      <c r="M375" s="17">
        <v>120958.93</v>
      </c>
      <c r="N375" s="17">
        <v>135474</v>
      </c>
      <c r="O375" s="2"/>
      <c r="P375" s="2"/>
      <c r="Q375" s="2" t="s">
        <v>56</v>
      </c>
      <c r="R375" s="5">
        <f t="shared" si="15"/>
        <v>135474</v>
      </c>
      <c r="S375" s="5">
        <f t="shared" si="16"/>
        <v>135474</v>
      </c>
      <c r="T375" s="5">
        <f t="shared" si="17"/>
        <v>0</v>
      </c>
    </row>
    <row r="376" spans="1:20">
      <c r="A376" s="2" t="s">
        <v>971</v>
      </c>
      <c r="B376" s="2" t="s">
        <v>1018</v>
      </c>
      <c r="C376" s="2" t="s">
        <v>1011</v>
      </c>
      <c r="D376" s="16">
        <v>60</v>
      </c>
      <c r="E376" s="2" t="s">
        <v>991</v>
      </c>
      <c r="F376" s="2" t="s">
        <v>1012</v>
      </c>
      <c r="G376" s="2" t="s">
        <v>1019</v>
      </c>
      <c r="H376" s="17">
        <v>75614</v>
      </c>
      <c r="I376" s="2"/>
      <c r="J376" s="2"/>
      <c r="K376" s="17">
        <v>75614</v>
      </c>
      <c r="L376" s="17">
        <v>8101.5</v>
      </c>
      <c r="M376" s="17">
        <v>67512.5</v>
      </c>
      <c r="N376" s="17">
        <v>75614</v>
      </c>
      <c r="O376" s="2"/>
      <c r="P376" s="2"/>
      <c r="Q376" s="2" t="s">
        <v>56</v>
      </c>
      <c r="R376" s="5">
        <f t="shared" si="15"/>
        <v>75614</v>
      </c>
      <c r="S376" s="5">
        <f t="shared" si="16"/>
        <v>75614</v>
      </c>
      <c r="T376" s="5">
        <f t="shared" si="17"/>
        <v>0</v>
      </c>
    </row>
    <row r="377" spans="1:20">
      <c r="A377" s="2" t="s">
        <v>971</v>
      </c>
      <c r="B377" s="2" t="s">
        <v>1020</v>
      </c>
      <c r="C377" s="2" t="s">
        <v>1011</v>
      </c>
      <c r="D377" s="16">
        <v>60</v>
      </c>
      <c r="E377" s="2" t="s">
        <v>991</v>
      </c>
      <c r="F377" s="2" t="s">
        <v>1012</v>
      </c>
      <c r="G377" s="2" t="s">
        <v>1021</v>
      </c>
      <c r="H377" s="17">
        <v>168032</v>
      </c>
      <c r="I377" s="2"/>
      <c r="J377" s="2"/>
      <c r="K377" s="17">
        <v>168032</v>
      </c>
      <c r="L377" s="17">
        <v>18003.43</v>
      </c>
      <c r="M377" s="17">
        <v>150028.57</v>
      </c>
      <c r="N377" s="17">
        <v>168032</v>
      </c>
      <c r="O377" s="2"/>
      <c r="P377" s="2"/>
      <c r="Q377" s="2" t="s">
        <v>56</v>
      </c>
      <c r="R377" s="5">
        <f t="shared" si="15"/>
        <v>168032</v>
      </c>
      <c r="S377" s="5">
        <f t="shared" si="16"/>
        <v>168032</v>
      </c>
      <c r="T377" s="5">
        <f t="shared" si="17"/>
        <v>0</v>
      </c>
    </row>
    <row r="378" spans="1:20">
      <c r="A378" s="2" t="s">
        <v>971</v>
      </c>
      <c r="B378" s="2" t="s">
        <v>1022</v>
      </c>
      <c r="C378" s="2" t="s">
        <v>162</v>
      </c>
      <c r="D378" s="16">
        <v>90</v>
      </c>
      <c r="E378" s="2" t="s">
        <v>986</v>
      </c>
      <c r="F378" s="2" t="s">
        <v>543</v>
      </c>
      <c r="G378" s="2" t="s">
        <v>1023</v>
      </c>
      <c r="H378" s="17">
        <v>386992</v>
      </c>
      <c r="I378" s="2"/>
      <c r="J378" s="2"/>
      <c r="K378" s="17">
        <v>386992</v>
      </c>
      <c r="L378" s="17">
        <v>41463.43</v>
      </c>
      <c r="M378" s="17">
        <v>345528.57</v>
      </c>
      <c r="N378" s="17">
        <v>386992</v>
      </c>
      <c r="O378" s="2"/>
      <c r="P378" s="2"/>
      <c r="Q378" s="2" t="s">
        <v>19</v>
      </c>
      <c r="R378" s="5">
        <f t="shared" si="15"/>
        <v>386992</v>
      </c>
      <c r="S378" s="5">
        <f t="shared" si="16"/>
        <v>386992</v>
      </c>
      <c r="T378" s="5">
        <f t="shared" si="17"/>
        <v>0</v>
      </c>
    </row>
    <row r="379" spans="1:20">
      <c r="A379" s="2" t="s">
        <v>971</v>
      </c>
      <c r="B379" s="2" t="s">
        <v>1024</v>
      </c>
      <c r="C379" s="2" t="s">
        <v>151</v>
      </c>
      <c r="D379" s="16">
        <v>60</v>
      </c>
      <c r="E379" s="2" t="s">
        <v>991</v>
      </c>
      <c r="F379" s="2" t="s">
        <v>1025</v>
      </c>
      <c r="G379" s="2" t="s">
        <v>1026</v>
      </c>
      <c r="H379" s="17">
        <v>28145</v>
      </c>
      <c r="I379" s="2"/>
      <c r="J379" s="2"/>
      <c r="K379" s="17">
        <v>28145</v>
      </c>
      <c r="L379" s="17">
        <v>3015.54</v>
      </c>
      <c r="M379" s="17">
        <v>25129.46</v>
      </c>
      <c r="N379" s="17">
        <v>28145</v>
      </c>
      <c r="O379" s="2"/>
      <c r="P379" s="2"/>
      <c r="Q379" s="2" t="s">
        <v>69</v>
      </c>
      <c r="R379" s="5">
        <f t="shared" si="15"/>
        <v>28145</v>
      </c>
      <c r="S379" s="5">
        <f t="shared" si="16"/>
        <v>28145</v>
      </c>
      <c r="T379" s="5">
        <f t="shared" si="17"/>
        <v>0</v>
      </c>
    </row>
    <row r="380" spans="1:20">
      <c r="A380" s="2" t="s">
        <v>971</v>
      </c>
      <c r="B380" s="2" t="s">
        <v>1027</v>
      </c>
      <c r="C380" s="2" t="s">
        <v>151</v>
      </c>
      <c r="D380" s="16">
        <v>60</v>
      </c>
      <c r="E380" s="2" t="s">
        <v>991</v>
      </c>
      <c r="F380" s="2" t="s">
        <v>1025</v>
      </c>
      <c r="G380" s="2" t="s">
        <v>1028</v>
      </c>
      <c r="H380" s="17">
        <v>54780</v>
      </c>
      <c r="I380" s="2"/>
      <c r="J380" s="2"/>
      <c r="K380" s="17">
        <v>54780</v>
      </c>
      <c r="L380" s="17">
        <v>5869.29</v>
      </c>
      <c r="M380" s="17">
        <v>48910.71</v>
      </c>
      <c r="N380" s="17">
        <v>54780</v>
      </c>
      <c r="O380" s="2"/>
      <c r="P380" s="2"/>
      <c r="Q380" s="2" t="s">
        <v>69</v>
      </c>
      <c r="R380" s="5">
        <f t="shared" si="15"/>
        <v>54780</v>
      </c>
      <c r="S380" s="5">
        <f t="shared" si="16"/>
        <v>54780</v>
      </c>
      <c r="T380" s="5">
        <f t="shared" si="17"/>
        <v>0</v>
      </c>
    </row>
    <row r="381" spans="1:20">
      <c r="A381" s="2" t="s">
        <v>971</v>
      </c>
      <c r="B381" s="2" t="s">
        <v>1029</v>
      </c>
      <c r="C381" s="2" t="s">
        <v>151</v>
      </c>
      <c r="D381" s="16">
        <v>60</v>
      </c>
      <c r="E381" s="2" t="s">
        <v>991</v>
      </c>
      <c r="F381" s="2" t="s">
        <v>1025</v>
      </c>
      <c r="G381" s="2" t="s">
        <v>1030</v>
      </c>
      <c r="H381" s="17">
        <v>21925</v>
      </c>
      <c r="I381" s="2"/>
      <c r="J381" s="2"/>
      <c r="K381" s="17">
        <v>21925</v>
      </c>
      <c r="L381" s="17">
        <v>2349.11</v>
      </c>
      <c r="M381" s="17">
        <v>19575.89</v>
      </c>
      <c r="N381" s="17">
        <v>21925</v>
      </c>
      <c r="O381" s="2"/>
      <c r="P381" s="2"/>
      <c r="Q381" s="2" t="s">
        <v>69</v>
      </c>
      <c r="R381" s="5">
        <f t="shared" si="15"/>
        <v>21925</v>
      </c>
      <c r="S381" s="5">
        <f t="shared" si="16"/>
        <v>21925</v>
      </c>
      <c r="T381" s="5">
        <f t="shared" si="17"/>
        <v>0</v>
      </c>
    </row>
    <row r="382" spans="1:20">
      <c r="A382" s="2" t="s">
        <v>971</v>
      </c>
      <c r="B382" s="2" t="s">
        <v>1031</v>
      </c>
      <c r="C382" s="2" t="s">
        <v>237</v>
      </c>
      <c r="D382" s="16">
        <v>60</v>
      </c>
      <c r="E382" s="2" t="s">
        <v>991</v>
      </c>
      <c r="F382" s="2" t="s">
        <v>1025</v>
      </c>
      <c r="G382" s="2" t="s">
        <v>1032</v>
      </c>
      <c r="H382" s="17">
        <v>98130</v>
      </c>
      <c r="I382" s="2"/>
      <c r="J382" s="2"/>
      <c r="K382" s="17">
        <v>98130</v>
      </c>
      <c r="L382" s="17">
        <v>10513.93</v>
      </c>
      <c r="M382" s="17">
        <v>87616.07</v>
      </c>
      <c r="N382" s="17">
        <v>98130</v>
      </c>
      <c r="O382" s="2"/>
      <c r="P382" s="2"/>
      <c r="Q382" s="2" t="s">
        <v>69</v>
      </c>
      <c r="R382" s="5">
        <f t="shared" si="15"/>
        <v>98130</v>
      </c>
      <c r="S382" s="5">
        <f t="shared" si="16"/>
        <v>98130</v>
      </c>
      <c r="T382" s="5">
        <f t="shared" si="17"/>
        <v>0</v>
      </c>
    </row>
    <row r="383" spans="1:20">
      <c r="A383" s="2" t="s">
        <v>971</v>
      </c>
      <c r="B383" s="2" t="s">
        <v>1033</v>
      </c>
      <c r="C383" s="2" t="s">
        <v>60</v>
      </c>
      <c r="D383" s="16">
        <v>0</v>
      </c>
      <c r="E383" s="2" t="s">
        <v>971</v>
      </c>
      <c r="F383" s="2" t="s">
        <v>190</v>
      </c>
      <c r="G383" s="2" t="s">
        <v>1034</v>
      </c>
      <c r="H383" s="17">
        <v>165070.72</v>
      </c>
      <c r="I383" s="2"/>
      <c r="J383" s="2"/>
      <c r="K383" s="17">
        <v>165070.72</v>
      </c>
      <c r="L383" s="17">
        <v>17686.150000000001</v>
      </c>
      <c r="M383" s="17">
        <v>147384.57</v>
      </c>
      <c r="N383" s="17">
        <v>165070.72</v>
      </c>
      <c r="O383" s="2"/>
      <c r="P383" s="2"/>
      <c r="Q383" s="2" t="s">
        <v>56</v>
      </c>
      <c r="R383" s="5">
        <f t="shared" si="15"/>
        <v>165070.72</v>
      </c>
      <c r="S383" s="5">
        <f t="shared" si="16"/>
        <v>165070.72</v>
      </c>
      <c r="T383" s="5">
        <f t="shared" si="17"/>
        <v>0</v>
      </c>
    </row>
    <row r="384" spans="1:20">
      <c r="A384" s="2" t="s">
        <v>971</v>
      </c>
      <c r="B384" s="2" t="s">
        <v>1035</v>
      </c>
      <c r="C384" s="2" t="s">
        <v>162</v>
      </c>
      <c r="D384" s="16">
        <v>90</v>
      </c>
      <c r="E384" s="2" t="s">
        <v>986</v>
      </c>
      <c r="F384" s="2" t="s">
        <v>193</v>
      </c>
      <c r="G384" s="2" t="s">
        <v>1036</v>
      </c>
      <c r="H384" s="17">
        <v>69000</v>
      </c>
      <c r="I384" s="2"/>
      <c r="J384" s="2"/>
      <c r="K384" s="17">
        <v>69000</v>
      </c>
      <c r="L384" s="17">
        <v>7392.86</v>
      </c>
      <c r="M384" s="17">
        <v>61607.14</v>
      </c>
      <c r="N384" s="17">
        <v>69000</v>
      </c>
      <c r="O384" s="2"/>
      <c r="P384" s="2"/>
      <c r="Q384" s="2" t="s">
        <v>36</v>
      </c>
      <c r="R384" s="5">
        <f t="shared" si="15"/>
        <v>69000</v>
      </c>
      <c r="S384" s="5">
        <f t="shared" si="16"/>
        <v>69000</v>
      </c>
      <c r="T384" s="5">
        <f t="shared" si="17"/>
        <v>0</v>
      </c>
    </row>
    <row r="385" spans="1:20">
      <c r="A385" s="2" t="s">
        <v>971</v>
      </c>
      <c r="B385" s="2" t="s">
        <v>1037</v>
      </c>
      <c r="C385" s="2" t="s">
        <v>146</v>
      </c>
      <c r="D385" s="16">
        <v>90</v>
      </c>
      <c r="E385" s="2" t="s">
        <v>986</v>
      </c>
      <c r="F385" s="2" t="s">
        <v>1038</v>
      </c>
      <c r="G385" s="2" t="s">
        <v>1039</v>
      </c>
      <c r="H385" s="17">
        <v>297555</v>
      </c>
      <c r="I385" s="2"/>
      <c r="J385" s="2"/>
      <c r="K385" s="17">
        <v>297555</v>
      </c>
      <c r="L385" s="17">
        <v>31880.89</v>
      </c>
      <c r="M385" s="17">
        <v>265674.11</v>
      </c>
      <c r="N385" s="17">
        <v>297555</v>
      </c>
      <c r="O385" s="2"/>
      <c r="P385" s="2"/>
      <c r="Q385" s="2" t="s">
        <v>139</v>
      </c>
      <c r="R385" s="5">
        <f t="shared" si="15"/>
        <v>297555</v>
      </c>
      <c r="S385" s="5">
        <f t="shared" si="16"/>
        <v>297555</v>
      </c>
      <c r="T385" s="5">
        <f t="shared" si="17"/>
        <v>0</v>
      </c>
    </row>
    <row r="386" spans="1:20">
      <c r="A386" s="2" t="s">
        <v>971</v>
      </c>
      <c r="B386" s="2" t="s">
        <v>1040</v>
      </c>
      <c r="C386" s="2" t="s">
        <v>146</v>
      </c>
      <c r="D386" s="16">
        <v>90</v>
      </c>
      <c r="E386" s="2" t="s">
        <v>986</v>
      </c>
      <c r="F386" s="2" t="s">
        <v>1038</v>
      </c>
      <c r="G386" s="2" t="s">
        <v>1041</v>
      </c>
      <c r="H386" s="17">
        <v>768251</v>
      </c>
      <c r="I386" s="2"/>
      <c r="J386" s="2"/>
      <c r="K386" s="17">
        <v>768251</v>
      </c>
      <c r="L386" s="17">
        <v>82312.61</v>
      </c>
      <c r="M386" s="17">
        <v>685938.39</v>
      </c>
      <c r="N386" s="17">
        <v>768251</v>
      </c>
      <c r="O386" s="2"/>
      <c r="P386" s="2"/>
      <c r="Q386" s="2" t="s">
        <v>139</v>
      </c>
      <c r="R386" s="5">
        <f t="shared" si="15"/>
        <v>768251</v>
      </c>
      <c r="S386" s="5">
        <f t="shared" si="16"/>
        <v>768251</v>
      </c>
      <c r="T386" s="5">
        <f t="shared" si="17"/>
        <v>0</v>
      </c>
    </row>
    <row r="387" spans="1:20">
      <c r="A387" s="2" t="s">
        <v>971</v>
      </c>
      <c r="B387" s="2" t="s">
        <v>1042</v>
      </c>
      <c r="C387" s="2" t="s">
        <v>94</v>
      </c>
      <c r="D387" s="16">
        <v>0</v>
      </c>
      <c r="E387" s="2" t="s">
        <v>971</v>
      </c>
      <c r="F387" s="2" t="s">
        <v>1043</v>
      </c>
      <c r="G387" s="2" t="s">
        <v>1044</v>
      </c>
      <c r="H387" s="17">
        <v>166626.75</v>
      </c>
      <c r="I387" s="2"/>
      <c r="J387" s="2"/>
      <c r="K387" s="17">
        <v>166626.75</v>
      </c>
      <c r="L387" s="17">
        <v>17852.87</v>
      </c>
      <c r="M387" s="17">
        <v>148773.88</v>
      </c>
      <c r="N387" s="17">
        <v>166626.75</v>
      </c>
      <c r="O387" s="2"/>
      <c r="P387" s="2"/>
      <c r="Q387" s="2" t="s">
        <v>139</v>
      </c>
      <c r="R387" s="5">
        <f t="shared" si="15"/>
        <v>166626.75</v>
      </c>
      <c r="S387" s="5">
        <f t="shared" si="16"/>
        <v>166626.75</v>
      </c>
      <c r="T387" s="5">
        <f t="shared" si="17"/>
        <v>0</v>
      </c>
    </row>
    <row r="388" spans="1:20">
      <c r="A388" s="2" t="s">
        <v>971</v>
      </c>
      <c r="B388" s="2" t="s">
        <v>1045</v>
      </c>
      <c r="C388" s="2" t="s">
        <v>18</v>
      </c>
      <c r="D388" s="16">
        <v>0</v>
      </c>
      <c r="E388" s="2" t="s">
        <v>971</v>
      </c>
      <c r="F388" s="2" t="s">
        <v>412</v>
      </c>
      <c r="G388" s="2" t="s">
        <v>1046</v>
      </c>
      <c r="H388" s="17">
        <v>965019</v>
      </c>
      <c r="I388" s="19">
        <v>-28950.57</v>
      </c>
      <c r="J388" s="2"/>
      <c r="K388" s="17">
        <v>936068.43</v>
      </c>
      <c r="L388" s="17">
        <v>100293.05</v>
      </c>
      <c r="M388" s="17">
        <v>835775.38</v>
      </c>
      <c r="N388" s="17">
        <v>936068.43</v>
      </c>
      <c r="O388" s="2"/>
      <c r="P388" s="2"/>
      <c r="Q388" s="2" t="s">
        <v>56</v>
      </c>
      <c r="R388" s="5">
        <f t="shared" si="15"/>
        <v>936068.43</v>
      </c>
      <c r="S388" s="5">
        <f t="shared" si="16"/>
        <v>936068.43</v>
      </c>
      <c r="T388" s="5">
        <f t="shared" si="17"/>
        <v>0</v>
      </c>
    </row>
    <row r="389" spans="1:20">
      <c r="A389" s="2" t="s">
        <v>1048</v>
      </c>
      <c r="B389" s="2" t="s">
        <v>1047</v>
      </c>
      <c r="C389" s="2" t="s">
        <v>60</v>
      </c>
      <c r="D389" s="16">
        <v>0</v>
      </c>
      <c r="E389" s="2" t="s">
        <v>1048</v>
      </c>
      <c r="F389" s="2" t="s">
        <v>449</v>
      </c>
      <c r="G389" s="2" t="s">
        <v>1049</v>
      </c>
      <c r="H389" s="17">
        <v>17072</v>
      </c>
      <c r="I389" s="2"/>
      <c r="J389" s="17">
        <v>17072</v>
      </c>
      <c r="K389" s="2">
        <v>0</v>
      </c>
      <c r="L389" s="17">
        <v>1829.14</v>
      </c>
      <c r="M389" s="17">
        <v>15242.86</v>
      </c>
      <c r="N389" s="17">
        <v>17072</v>
      </c>
      <c r="O389" s="2" t="s">
        <v>1767</v>
      </c>
      <c r="P389" s="2"/>
      <c r="Q389" s="2" t="s">
        <v>139</v>
      </c>
      <c r="R389" s="5">
        <f t="shared" si="15"/>
        <v>17072</v>
      </c>
      <c r="S389" s="5">
        <f t="shared" si="16"/>
        <v>17072</v>
      </c>
      <c r="T389" s="5">
        <f t="shared" si="17"/>
        <v>0</v>
      </c>
    </row>
    <row r="390" spans="1:20">
      <c r="A390" s="2" t="s">
        <v>1048</v>
      </c>
      <c r="B390" s="2" t="s">
        <v>1050</v>
      </c>
      <c r="C390" s="2" t="s">
        <v>60</v>
      </c>
      <c r="D390" s="16">
        <v>0</v>
      </c>
      <c r="E390" s="2" t="s">
        <v>1048</v>
      </c>
      <c r="F390" s="2" t="s">
        <v>449</v>
      </c>
      <c r="G390" s="2" t="s">
        <v>1051</v>
      </c>
      <c r="H390" s="17">
        <v>17020</v>
      </c>
      <c r="I390" s="2"/>
      <c r="J390" s="17">
        <v>17020</v>
      </c>
      <c r="K390" s="2">
        <v>0</v>
      </c>
      <c r="L390" s="17">
        <v>1823.57</v>
      </c>
      <c r="M390" s="17">
        <v>15196.43</v>
      </c>
      <c r="N390" s="17">
        <v>17020</v>
      </c>
      <c r="O390" s="2" t="s">
        <v>1767</v>
      </c>
      <c r="P390" s="2"/>
      <c r="Q390" s="2" t="s">
        <v>139</v>
      </c>
      <c r="R390" s="5">
        <f t="shared" ref="R390:R453" si="18">+J390+K390</f>
        <v>17020</v>
      </c>
      <c r="S390" s="5">
        <f t="shared" ref="S390:S453" si="19">+N390</f>
        <v>17020</v>
      </c>
      <c r="T390" s="5">
        <f t="shared" ref="T390:T453" si="20">+R390-S390</f>
        <v>0</v>
      </c>
    </row>
    <row r="391" spans="1:20">
      <c r="A391" s="2" t="s">
        <v>1048</v>
      </c>
      <c r="B391" s="2" t="s">
        <v>1052</v>
      </c>
      <c r="C391" s="2" t="s">
        <v>29</v>
      </c>
      <c r="D391" s="16">
        <v>0</v>
      </c>
      <c r="E391" s="2" t="s">
        <v>1048</v>
      </c>
      <c r="F391" s="2" t="s">
        <v>31</v>
      </c>
      <c r="G391" s="2" t="s">
        <v>1053</v>
      </c>
      <c r="H391" s="17">
        <v>142620</v>
      </c>
      <c r="I391" s="2"/>
      <c r="J391" s="2"/>
      <c r="K391" s="17">
        <v>142620</v>
      </c>
      <c r="L391" s="17">
        <v>15280.71</v>
      </c>
      <c r="M391" s="17">
        <v>127339.29</v>
      </c>
      <c r="N391" s="17">
        <v>142620</v>
      </c>
      <c r="O391" s="2"/>
      <c r="P391" s="2"/>
      <c r="Q391" s="2" t="s">
        <v>30</v>
      </c>
      <c r="R391" s="5">
        <f t="shared" si="18"/>
        <v>142620</v>
      </c>
      <c r="S391" s="5">
        <f t="shared" si="19"/>
        <v>142620</v>
      </c>
      <c r="T391" s="5">
        <f t="shared" si="20"/>
        <v>0</v>
      </c>
    </row>
    <row r="392" spans="1:20">
      <c r="A392" s="2" t="s">
        <v>1048</v>
      </c>
      <c r="B392" s="2" t="s">
        <v>1054</v>
      </c>
      <c r="C392" s="2" t="s">
        <v>1055</v>
      </c>
      <c r="D392" s="16">
        <v>30</v>
      </c>
      <c r="E392" s="2" t="s">
        <v>1056</v>
      </c>
      <c r="F392" s="2" t="s">
        <v>1057</v>
      </c>
      <c r="G392" s="2" t="s">
        <v>1058</v>
      </c>
      <c r="H392" s="17">
        <v>19740</v>
      </c>
      <c r="I392" s="2"/>
      <c r="J392" s="2"/>
      <c r="K392" s="17">
        <v>19740</v>
      </c>
      <c r="L392" s="17">
        <v>2115</v>
      </c>
      <c r="M392" s="17">
        <v>17625</v>
      </c>
      <c r="N392" s="17">
        <v>19740</v>
      </c>
      <c r="O392" s="2"/>
      <c r="P392" s="2"/>
      <c r="Q392" s="2" t="s">
        <v>56</v>
      </c>
      <c r="R392" s="5">
        <f t="shared" si="18"/>
        <v>19740</v>
      </c>
      <c r="S392" s="5">
        <f t="shared" si="19"/>
        <v>19740</v>
      </c>
      <c r="T392" s="5">
        <f t="shared" si="20"/>
        <v>0</v>
      </c>
    </row>
    <row r="393" spans="1:20">
      <c r="A393" s="2" t="s">
        <v>1048</v>
      </c>
      <c r="B393" s="2" t="s">
        <v>1059</v>
      </c>
      <c r="C393" s="2" t="s">
        <v>23</v>
      </c>
      <c r="D393" s="16">
        <v>30</v>
      </c>
      <c r="E393" s="2" t="s">
        <v>1056</v>
      </c>
      <c r="F393" s="2" t="s">
        <v>224</v>
      </c>
      <c r="G393" s="2" t="s">
        <v>1060</v>
      </c>
      <c r="H393" s="17">
        <v>50400</v>
      </c>
      <c r="I393" s="2"/>
      <c r="J393" s="2"/>
      <c r="K393" s="17">
        <v>50400</v>
      </c>
      <c r="L393" s="17">
        <v>5400</v>
      </c>
      <c r="M393" s="17">
        <v>45000</v>
      </c>
      <c r="N393" s="17">
        <v>50400</v>
      </c>
      <c r="O393" s="2"/>
      <c r="P393" s="2"/>
      <c r="Q393" s="2" t="s">
        <v>180</v>
      </c>
      <c r="R393" s="5">
        <f t="shared" si="18"/>
        <v>50400</v>
      </c>
      <c r="S393" s="5">
        <f t="shared" si="19"/>
        <v>50400</v>
      </c>
      <c r="T393" s="5">
        <f t="shared" si="20"/>
        <v>0</v>
      </c>
    </row>
    <row r="394" spans="1:20">
      <c r="A394" s="2" t="s">
        <v>1048</v>
      </c>
      <c r="B394" s="2" t="s">
        <v>1061</v>
      </c>
      <c r="C394" s="2" t="s">
        <v>23</v>
      </c>
      <c r="D394" s="16">
        <v>30</v>
      </c>
      <c r="E394" s="2" t="s">
        <v>1056</v>
      </c>
      <c r="F394" s="2" t="s">
        <v>224</v>
      </c>
      <c r="G394" s="2" t="s">
        <v>1062</v>
      </c>
      <c r="H394" s="17">
        <v>22900</v>
      </c>
      <c r="I394" s="2"/>
      <c r="J394" s="2"/>
      <c r="K394" s="17">
        <v>22900</v>
      </c>
      <c r="L394" s="17">
        <v>2453.5700000000002</v>
      </c>
      <c r="M394" s="17">
        <v>20446.43</v>
      </c>
      <c r="N394" s="17">
        <v>22900</v>
      </c>
      <c r="O394" s="2"/>
      <c r="P394" s="2"/>
      <c r="Q394" s="2" t="s">
        <v>180</v>
      </c>
      <c r="R394" s="5">
        <f t="shared" si="18"/>
        <v>22900</v>
      </c>
      <c r="S394" s="5">
        <f t="shared" si="19"/>
        <v>22900</v>
      </c>
      <c r="T394" s="5">
        <f t="shared" si="20"/>
        <v>0</v>
      </c>
    </row>
    <row r="395" spans="1:20">
      <c r="A395" s="2" t="s">
        <v>1048</v>
      </c>
      <c r="B395" s="2" t="s">
        <v>1063</v>
      </c>
      <c r="C395" s="2" t="s">
        <v>167</v>
      </c>
      <c r="D395" s="16">
        <v>90</v>
      </c>
      <c r="E395" s="2" t="s">
        <v>1064</v>
      </c>
      <c r="F395" s="2" t="s">
        <v>190</v>
      </c>
      <c r="G395" s="2" t="s">
        <v>1065</v>
      </c>
      <c r="H395" s="17">
        <v>191136</v>
      </c>
      <c r="I395" s="2"/>
      <c r="J395" s="2"/>
      <c r="K395" s="17">
        <v>191136</v>
      </c>
      <c r="L395" s="17">
        <v>20478.86</v>
      </c>
      <c r="M395" s="17">
        <v>170657.14</v>
      </c>
      <c r="N395" s="17">
        <v>191136</v>
      </c>
      <c r="O395" s="2"/>
      <c r="P395" s="2"/>
      <c r="Q395" s="2" t="s">
        <v>56</v>
      </c>
      <c r="R395" s="5">
        <f t="shared" si="18"/>
        <v>191136</v>
      </c>
      <c r="S395" s="5">
        <f t="shared" si="19"/>
        <v>191136</v>
      </c>
      <c r="T395" s="5">
        <f t="shared" si="20"/>
        <v>0</v>
      </c>
    </row>
    <row r="396" spans="1:20">
      <c r="A396" s="2" t="s">
        <v>1048</v>
      </c>
      <c r="B396" s="2" t="s">
        <v>1066</v>
      </c>
      <c r="C396" s="2" t="s">
        <v>151</v>
      </c>
      <c r="D396" s="16">
        <v>60</v>
      </c>
      <c r="E396" s="2" t="s">
        <v>1067</v>
      </c>
      <c r="F396" s="2" t="s">
        <v>152</v>
      </c>
      <c r="G396" s="2" t="s">
        <v>1068</v>
      </c>
      <c r="H396" s="17">
        <v>68700</v>
      </c>
      <c r="I396" s="2"/>
      <c r="J396" s="2"/>
      <c r="K396" s="17">
        <v>68700</v>
      </c>
      <c r="L396" s="17">
        <v>7360.71</v>
      </c>
      <c r="M396" s="17">
        <v>61339.29</v>
      </c>
      <c r="N396" s="17">
        <v>68700</v>
      </c>
      <c r="O396" s="2"/>
      <c r="P396" s="2"/>
      <c r="Q396" s="2" t="s">
        <v>56</v>
      </c>
      <c r="R396" s="5">
        <f t="shared" si="18"/>
        <v>68700</v>
      </c>
      <c r="S396" s="5">
        <f t="shared" si="19"/>
        <v>68700</v>
      </c>
      <c r="T396" s="5">
        <f t="shared" si="20"/>
        <v>0</v>
      </c>
    </row>
    <row r="397" spans="1:20">
      <c r="A397" s="2" t="s">
        <v>1048</v>
      </c>
      <c r="B397" s="2" t="s">
        <v>1069</v>
      </c>
      <c r="C397" s="2" t="s">
        <v>151</v>
      </c>
      <c r="D397" s="16">
        <v>60</v>
      </c>
      <c r="E397" s="2" t="s">
        <v>1067</v>
      </c>
      <c r="F397" s="2" t="s">
        <v>152</v>
      </c>
      <c r="G397" s="2" t="s">
        <v>1070</v>
      </c>
      <c r="H397" s="17">
        <v>7841</v>
      </c>
      <c r="I397" s="2"/>
      <c r="J397" s="2"/>
      <c r="K397" s="17">
        <v>7841</v>
      </c>
      <c r="L397" s="18">
        <v>840.11</v>
      </c>
      <c r="M397" s="17">
        <v>7000.89</v>
      </c>
      <c r="N397" s="17">
        <v>7841</v>
      </c>
      <c r="O397" s="2"/>
      <c r="P397" s="2"/>
      <c r="Q397" s="2" t="s">
        <v>56</v>
      </c>
      <c r="R397" s="5">
        <f t="shared" si="18"/>
        <v>7841</v>
      </c>
      <c r="S397" s="5">
        <f t="shared" si="19"/>
        <v>7841</v>
      </c>
      <c r="T397" s="5">
        <f t="shared" si="20"/>
        <v>0</v>
      </c>
    </row>
    <row r="398" spans="1:20">
      <c r="A398" s="2" t="s">
        <v>1048</v>
      </c>
      <c r="B398" s="2" t="s">
        <v>1071</v>
      </c>
      <c r="C398" s="2" t="s">
        <v>60</v>
      </c>
      <c r="D398" s="16">
        <v>0</v>
      </c>
      <c r="E398" s="2" t="s">
        <v>1048</v>
      </c>
      <c r="F398" s="2" t="s">
        <v>129</v>
      </c>
      <c r="G398" s="2" t="s">
        <v>1072</v>
      </c>
      <c r="H398" s="17">
        <v>67468</v>
      </c>
      <c r="I398" s="19">
        <v>-1349.36</v>
      </c>
      <c r="J398" s="2"/>
      <c r="K398" s="17">
        <v>66118.64</v>
      </c>
      <c r="L398" s="17">
        <v>7084.14</v>
      </c>
      <c r="M398" s="17">
        <v>59034.5</v>
      </c>
      <c r="N398" s="17">
        <v>66118.64</v>
      </c>
      <c r="O398" s="2"/>
      <c r="P398" s="2"/>
      <c r="Q398" s="2" t="s">
        <v>46</v>
      </c>
      <c r="R398" s="5">
        <f t="shared" si="18"/>
        <v>66118.64</v>
      </c>
      <c r="S398" s="5">
        <f t="shared" si="19"/>
        <v>66118.64</v>
      </c>
      <c r="T398" s="5">
        <f t="shared" si="20"/>
        <v>0</v>
      </c>
    </row>
    <row r="399" spans="1:20">
      <c r="A399" s="2" t="s">
        <v>1048</v>
      </c>
      <c r="B399" s="2" t="s">
        <v>1073</v>
      </c>
      <c r="C399" s="2" t="s">
        <v>1074</v>
      </c>
      <c r="D399" s="16">
        <v>0</v>
      </c>
      <c r="E399" s="2" t="s">
        <v>1048</v>
      </c>
      <c r="F399" s="2" t="s">
        <v>1075</v>
      </c>
      <c r="G399" s="2" t="s">
        <v>1076</v>
      </c>
      <c r="H399" s="17">
        <v>919820</v>
      </c>
      <c r="I399" s="19">
        <v>-18396.400000000001</v>
      </c>
      <c r="J399" s="2"/>
      <c r="K399" s="17">
        <v>901423.6</v>
      </c>
      <c r="L399" s="17">
        <v>96581.1</v>
      </c>
      <c r="M399" s="17">
        <v>804842.5</v>
      </c>
      <c r="N399" s="17">
        <v>901423.6</v>
      </c>
      <c r="O399" s="2"/>
      <c r="P399" s="2"/>
      <c r="Q399" s="2" t="s">
        <v>56</v>
      </c>
      <c r="R399" s="5">
        <f t="shared" si="18"/>
        <v>901423.6</v>
      </c>
      <c r="S399" s="5">
        <f t="shared" si="19"/>
        <v>901423.6</v>
      </c>
      <c r="T399" s="5">
        <f t="shared" si="20"/>
        <v>0</v>
      </c>
    </row>
    <row r="400" spans="1:20">
      <c r="A400" s="2" t="s">
        <v>1048</v>
      </c>
      <c r="B400" s="2" t="s">
        <v>1077</v>
      </c>
      <c r="C400" s="2" t="s">
        <v>73</v>
      </c>
      <c r="D400" s="16">
        <v>30</v>
      </c>
      <c r="E400" s="2" t="s">
        <v>1056</v>
      </c>
      <c r="F400" s="2" t="s">
        <v>1078</v>
      </c>
      <c r="G400" s="2" t="s">
        <v>1079</v>
      </c>
      <c r="H400" s="17">
        <v>138000</v>
      </c>
      <c r="I400" s="2"/>
      <c r="J400" s="2"/>
      <c r="K400" s="17">
        <v>138000</v>
      </c>
      <c r="L400" s="17">
        <v>14785.71</v>
      </c>
      <c r="M400" s="17">
        <v>123214.29</v>
      </c>
      <c r="N400" s="17">
        <v>138000</v>
      </c>
      <c r="O400" s="2"/>
      <c r="P400" s="2"/>
      <c r="Q400" s="2" t="s">
        <v>46</v>
      </c>
      <c r="R400" s="5">
        <f t="shared" si="18"/>
        <v>138000</v>
      </c>
      <c r="S400" s="5">
        <f t="shared" si="19"/>
        <v>138000</v>
      </c>
      <c r="T400" s="5">
        <f t="shared" si="20"/>
        <v>0</v>
      </c>
    </row>
    <row r="401" spans="1:20">
      <c r="A401" s="2" t="s">
        <v>1048</v>
      </c>
      <c r="B401" s="2" t="s">
        <v>1080</v>
      </c>
      <c r="C401" s="2" t="s">
        <v>73</v>
      </c>
      <c r="D401" s="16">
        <v>30</v>
      </c>
      <c r="E401" s="2" t="s">
        <v>1056</v>
      </c>
      <c r="F401" s="2" t="s">
        <v>1078</v>
      </c>
      <c r="G401" s="2" t="s">
        <v>1081</v>
      </c>
      <c r="H401" s="17">
        <v>136000</v>
      </c>
      <c r="I401" s="2"/>
      <c r="J401" s="2"/>
      <c r="K401" s="17">
        <v>136000</v>
      </c>
      <c r="L401" s="17">
        <v>14571.43</v>
      </c>
      <c r="M401" s="17">
        <v>121428.57</v>
      </c>
      <c r="N401" s="17">
        <v>136000</v>
      </c>
      <c r="O401" s="2"/>
      <c r="P401" s="2"/>
      <c r="Q401" s="2" t="s">
        <v>46</v>
      </c>
      <c r="R401" s="5">
        <f t="shared" si="18"/>
        <v>136000</v>
      </c>
      <c r="S401" s="5">
        <f t="shared" si="19"/>
        <v>136000</v>
      </c>
      <c r="T401" s="5">
        <f t="shared" si="20"/>
        <v>0</v>
      </c>
    </row>
    <row r="402" spans="1:20">
      <c r="A402" s="2" t="s">
        <v>1048</v>
      </c>
      <c r="B402" s="2" t="s">
        <v>1082</v>
      </c>
      <c r="C402" s="2" t="s">
        <v>60</v>
      </c>
      <c r="D402" s="16">
        <v>0</v>
      </c>
      <c r="E402" s="2" t="s">
        <v>1048</v>
      </c>
      <c r="F402" s="2" t="s">
        <v>1083</v>
      </c>
      <c r="G402" s="2" t="s">
        <v>1084</v>
      </c>
      <c r="H402" s="17">
        <v>94908</v>
      </c>
      <c r="I402" s="19">
        <v>-1898.16</v>
      </c>
      <c r="J402" s="2"/>
      <c r="K402" s="17">
        <v>93009.84</v>
      </c>
      <c r="L402" s="17">
        <v>9965.34</v>
      </c>
      <c r="M402" s="17">
        <v>83044.5</v>
      </c>
      <c r="N402" s="17">
        <v>93009.84</v>
      </c>
      <c r="O402" s="2"/>
      <c r="P402" s="2"/>
      <c r="Q402" s="2" t="s">
        <v>625</v>
      </c>
      <c r="R402" s="5">
        <f t="shared" si="18"/>
        <v>93009.84</v>
      </c>
      <c r="S402" s="5">
        <f t="shared" si="19"/>
        <v>93009.84</v>
      </c>
      <c r="T402" s="5">
        <f t="shared" si="20"/>
        <v>0</v>
      </c>
    </row>
    <row r="403" spans="1:20">
      <c r="A403" s="2" t="s">
        <v>1048</v>
      </c>
      <c r="B403" s="2" t="s">
        <v>1085</v>
      </c>
      <c r="C403" s="2" t="s">
        <v>1074</v>
      </c>
      <c r="D403" s="16">
        <v>0</v>
      </c>
      <c r="E403" s="2" t="s">
        <v>1048</v>
      </c>
      <c r="F403" s="2" t="s">
        <v>1075</v>
      </c>
      <c r="G403" s="2" t="s">
        <v>1076</v>
      </c>
      <c r="H403" s="17">
        <v>919820</v>
      </c>
      <c r="I403" s="19">
        <v>-18396.400000000001</v>
      </c>
      <c r="J403" s="2"/>
      <c r="K403" s="17">
        <v>901423.6</v>
      </c>
      <c r="L403" s="17">
        <v>96581.1</v>
      </c>
      <c r="M403" s="17">
        <v>804842.5</v>
      </c>
      <c r="N403" s="17">
        <v>901423.6</v>
      </c>
      <c r="O403" s="2"/>
      <c r="P403" s="2"/>
      <c r="Q403" s="2" t="s">
        <v>56</v>
      </c>
      <c r="R403" s="5">
        <f t="shared" si="18"/>
        <v>901423.6</v>
      </c>
      <c r="S403" s="5">
        <f t="shared" si="19"/>
        <v>901423.6</v>
      </c>
      <c r="T403" s="5">
        <f t="shared" si="20"/>
        <v>0</v>
      </c>
    </row>
    <row r="404" spans="1:20">
      <c r="A404" s="2" t="s">
        <v>1048</v>
      </c>
      <c r="B404" s="2" t="s">
        <v>1086</v>
      </c>
      <c r="C404" s="2" t="s">
        <v>29</v>
      </c>
      <c r="D404" s="16">
        <v>0</v>
      </c>
      <c r="E404" s="2" t="s">
        <v>1048</v>
      </c>
      <c r="F404" s="2" t="s">
        <v>31</v>
      </c>
      <c r="G404" s="2" t="s">
        <v>1087</v>
      </c>
      <c r="H404" s="17">
        <v>1840</v>
      </c>
      <c r="I404" s="2"/>
      <c r="J404" s="2"/>
      <c r="K404" s="17">
        <v>1840</v>
      </c>
      <c r="L404" s="18">
        <v>197.14</v>
      </c>
      <c r="M404" s="17">
        <v>1642.86</v>
      </c>
      <c r="N404" s="17">
        <v>1840</v>
      </c>
      <c r="O404" s="2"/>
      <c r="P404" s="2"/>
      <c r="Q404" s="2" t="s">
        <v>30</v>
      </c>
      <c r="R404" s="5">
        <f t="shared" si="18"/>
        <v>1840</v>
      </c>
      <c r="S404" s="5">
        <f t="shared" si="19"/>
        <v>1840</v>
      </c>
      <c r="T404" s="5">
        <f t="shared" si="20"/>
        <v>0</v>
      </c>
    </row>
    <row r="405" spans="1:20">
      <c r="A405" s="2" t="s">
        <v>1048</v>
      </c>
      <c r="B405" s="2" t="s">
        <v>1088</v>
      </c>
      <c r="C405" s="2" t="s">
        <v>29</v>
      </c>
      <c r="D405" s="16">
        <v>0</v>
      </c>
      <c r="E405" s="2" t="s">
        <v>1048</v>
      </c>
      <c r="F405" s="2" t="s">
        <v>155</v>
      </c>
      <c r="G405" s="2" t="s">
        <v>1089</v>
      </c>
      <c r="H405" s="17">
        <v>39208</v>
      </c>
      <c r="I405" s="2"/>
      <c r="J405" s="2"/>
      <c r="K405" s="17">
        <v>39208</v>
      </c>
      <c r="L405" s="17">
        <v>4200.8599999999997</v>
      </c>
      <c r="M405" s="17">
        <v>35007.14</v>
      </c>
      <c r="N405" s="17">
        <v>39208</v>
      </c>
      <c r="O405" s="2"/>
      <c r="P405" s="2"/>
      <c r="Q405" s="2" t="s">
        <v>30</v>
      </c>
      <c r="R405" s="5">
        <f t="shared" si="18"/>
        <v>39208</v>
      </c>
      <c r="S405" s="5">
        <f t="shared" si="19"/>
        <v>39208</v>
      </c>
      <c r="T405" s="5">
        <f t="shared" si="20"/>
        <v>0</v>
      </c>
    </row>
    <row r="406" spans="1:20">
      <c r="A406" s="2" t="s">
        <v>1048</v>
      </c>
      <c r="B406" s="2" t="s">
        <v>1090</v>
      </c>
      <c r="C406" s="2" t="s">
        <v>29</v>
      </c>
      <c r="D406" s="16">
        <v>0</v>
      </c>
      <c r="E406" s="2" t="s">
        <v>1048</v>
      </c>
      <c r="F406" s="2" t="s">
        <v>31</v>
      </c>
      <c r="G406" s="2" t="s">
        <v>1091</v>
      </c>
      <c r="H406" s="17">
        <v>244000</v>
      </c>
      <c r="I406" s="2"/>
      <c r="J406" s="2"/>
      <c r="K406" s="17">
        <v>244000</v>
      </c>
      <c r="L406" s="17">
        <v>26142.86</v>
      </c>
      <c r="M406" s="17">
        <v>217857.14</v>
      </c>
      <c r="N406" s="17">
        <v>244000</v>
      </c>
      <c r="O406" s="2"/>
      <c r="P406" s="2"/>
      <c r="Q406" s="2" t="s">
        <v>30</v>
      </c>
      <c r="R406" s="5">
        <f t="shared" si="18"/>
        <v>244000</v>
      </c>
      <c r="S406" s="5">
        <f t="shared" si="19"/>
        <v>244000</v>
      </c>
      <c r="T406" s="5">
        <f t="shared" si="20"/>
        <v>0</v>
      </c>
    </row>
    <row r="407" spans="1:20">
      <c r="A407" s="2" t="s">
        <v>1048</v>
      </c>
      <c r="B407" s="2" t="s">
        <v>1092</v>
      </c>
      <c r="C407" s="2" t="s">
        <v>60</v>
      </c>
      <c r="D407" s="16">
        <v>0</v>
      </c>
      <c r="E407" s="2" t="s">
        <v>1048</v>
      </c>
      <c r="F407" s="2" t="s">
        <v>1094</v>
      </c>
      <c r="G407" s="2" t="s">
        <v>1095</v>
      </c>
      <c r="H407" s="17">
        <v>220540</v>
      </c>
      <c r="I407" s="2"/>
      <c r="J407" s="2"/>
      <c r="K407" s="17">
        <v>220540</v>
      </c>
      <c r="L407" s="17">
        <v>23629.29</v>
      </c>
      <c r="M407" s="17">
        <v>196910.71</v>
      </c>
      <c r="N407" s="17">
        <v>220540</v>
      </c>
      <c r="O407" s="2"/>
      <c r="P407" s="2"/>
      <c r="Q407" s="2" t="s">
        <v>1093</v>
      </c>
      <c r="R407" s="5">
        <f t="shared" si="18"/>
        <v>220540</v>
      </c>
      <c r="S407" s="5">
        <f t="shared" si="19"/>
        <v>220540</v>
      </c>
      <c r="T407" s="5">
        <f t="shared" si="20"/>
        <v>0</v>
      </c>
    </row>
    <row r="408" spans="1:20">
      <c r="A408" s="2" t="s">
        <v>1048</v>
      </c>
      <c r="B408" s="2" t="s">
        <v>1096</v>
      </c>
      <c r="C408" s="2" t="s">
        <v>60</v>
      </c>
      <c r="D408" s="16">
        <v>0</v>
      </c>
      <c r="E408" s="2" t="s">
        <v>1048</v>
      </c>
      <c r="F408" s="2" t="s">
        <v>1097</v>
      </c>
      <c r="G408" s="2" t="s">
        <v>1098</v>
      </c>
      <c r="H408" s="17">
        <v>106000</v>
      </c>
      <c r="I408" s="2"/>
      <c r="J408" s="2"/>
      <c r="K408" s="17">
        <v>106000</v>
      </c>
      <c r="L408" s="17">
        <v>11357.14</v>
      </c>
      <c r="M408" s="17">
        <v>94642.86</v>
      </c>
      <c r="N408" s="17">
        <v>106000</v>
      </c>
      <c r="O408" s="2"/>
      <c r="P408" s="2"/>
      <c r="Q408" s="2" t="s">
        <v>139</v>
      </c>
      <c r="R408" s="5">
        <f t="shared" si="18"/>
        <v>106000</v>
      </c>
      <c r="S408" s="5">
        <f t="shared" si="19"/>
        <v>106000</v>
      </c>
      <c r="T408" s="5">
        <f t="shared" si="20"/>
        <v>0</v>
      </c>
    </row>
    <row r="409" spans="1:20">
      <c r="A409" s="2" t="s">
        <v>1048</v>
      </c>
      <c r="B409" s="2" t="s">
        <v>1099</v>
      </c>
      <c r="C409" s="2" t="s">
        <v>60</v>
      </c>
      <c r="D409" s="16">
        <v>0</v>
      </c>
      <c r="E409" s="2" t="s">
        <v>1048</v>
      </c>
      <c r="F409" s="2" t="s">
        <v>1097</v>
      </c>
      <c r="G409" s="2" t="s">
        <v>1100</v>
      </c>
      <c r="H409" s="17">
        <v>265000</v>
      </c>
      <c r="I409" s="2"/>
      <c r="J409" s="2"/>
      <c r="K409" s="17">
        <v>265000</v>
      </c>
      <c r="L409" s="17">
        <v>28392.86</v>
      </c>
      <c r="M409" s="17">
        <v>236607.14</v>
      </c>
      <c r="N409" s="17">
        <v>265000</v>
      </c>
      <c r="O409" s="2"/>
      <c r="P409" s="2"/>
      <c r="Q409" s="2" t="s">
        <v>139</v>
      </c>
      <c r="R409" s="5">
        <f t="shared" si="18"/>
        <v>265000</v>
      </c>
      <c r="S409" s="5">
        <f t="shared" si="19"/>
        <v>265000</v>
      </c>
      <c r="T409" s="5">
        <f t="shared" si="20"/>
        <v>0</v>
      </c>
    </row>
    <row r="410" spans="1:20">
      <c r="A410" s="2" t="s">
        <v>1048</v>
      </c>
      <c r="B410" s="2" t="s">
        <v>1101</v>
      </c>
      <c r="C410" s="2" t="s">
        <v>1102</v>
      </c>
      <c r="D410" s="16">
        <v>60</v>
      </c>
      <c r="E410" s="2" t="s">
        <v>1067</v>
      </c>
      <c r="F410" s="2" t="s">
        <v>787</v>
      </c>
      <c r="G410" s="2" t="s">
        <v>1103</v>
      </c>
      <c r="H410" s="17">
        <v>970898</v>
      </c>
      <c r="I410" s="2"/>
      <c r="J410" s="2"/>
      <c r="K410" s="17">
        <v>970898</v>
      </c>
      <c r="L410" s="17">
        <v>104024.79</v>
      </c>
      <c r="M410" s="17">
        <v>866873.21</v>
      </c>
      <c r="N410" s="17">
        <v>970898</v>
      </c>
      <c r="O410" s="2"/>
      <c r="P410" s="2"/>
      <c r="Q410" s="2" t="s">
        <v>46</v>
      </c>
      <c r="R410" s="5">
        <f t="shared" si="18"/>
        <v>970898</v>
      </c>
      <c r="S410" s="5">
        <f t="shared" si="19"/>
        <v>970898</v>
      </c>
      <c r="T410" s="5">
        <f t="shared" si="20"/>
        <v>0</v>
      </c>
    </row>
    <row r="411" spans="1:20">
      <c r="A411" s="2" t="s">
        <v>1048</v>
      </c>
      <c r="B411" s="2" t="s">
        <v>1104</v>
      </c>
      <c r="C411" s="2" t="s">
        <v>73</v>
      </c>
      <c r="D411" s="16">
        <v>30</v>
      </c>
      <c r="E411" s="2" t="s">
        <v>1056</v>
      </c>
      <c r="F411" s="2" t="s">
        <v>267</v>
      </c>
      <c r="G411" s="2" t="s">
        <v>1105</v>
      </c>
      <c r="H411" s="17">
        <v>204680</v>
      </c>
      <c r="I411" s="2"/>
      <c r="J411" s="17">
        <v>17000</v>
      </c>
      <c r="K411" s="17">
        <f>221680-J411</f>
        <v>204680</v>
      </c>
      <c r="L411" s="17">
        <v>23751.43</v>
      </c>
      <c r="M411" s="17">
        <v>197928.57</v>
      </c>
      <c r="N411" s="17">
        <v>221680</v>
      </c>
      <c r="O411" s="2"/>
      <c r="P411" s="2"/>
      <c r="Q411" s="2" t="s">
        <v>19</v>
      </c>
      <c r="R411" s="5">
        <f t="shared" si="18"/>
        <v>221680</v>
      </c>
      <c r="S411" s="5">
        <f t="shared" si="19"/>
        <v>221680</v>
      </c>
      <c r="T411" s="5">
        <f t="shared" si="20"/>
        <v>0</v>
      </c>
    </row>
    <row r="412" spans="1:20">
      <c r="A412" s="2" t="s">
        <v>1048</v>
      </c>
      <c r="B412" s="2" t="s">
        <v>1106</v>
      </c>
      <c r="C412" s="2" t="s">
        <v>73</v>
      </c>
      <c r="D412" s="16">
        <v>30</v>
      </c>
      <c r="E412" s="2" t="s">
        <v>1056</v>
      </c>
      <c r="F412" s="2" t="s">
        <v>267</v>
      </c>
      <c r="G412" s="2" t="s">
        <v>1107</v>
      </c>
      <c r="H412" s="17">
        <v>12040</v>
      </c>
      <c r="I412" s="2"/>
      <c r="J412" s="2"/>
      <c r="K412" s="17">
        <v>12040</v>
      </c>
      <c r="L412" s="17">
        <v>1290</v>
      </c>
      <c r="M412" s="17">
        <v>10750</v>
      </c>
      <c r="N412" s="17">
        <v>12040</v>
      </c>
      <c r="O412" s="2"/>
      <c r="P412" s="2"/>
      <c r="Q412" s="2" t="s">
        <v>19</v>
      </c>
      <c r="R412" s="5">
        <f t="shared" si="18"/>
        <v>12040</v>
      </c>
      <c r="S412" s="5">
        <f t="shared" si="19"/>
        <v>12040</v>
      </c>
      <c r="T412" s="5">
        <f t="shared" si="20"/>
        <v>0</v>
      </c>
    </row>
    <row r="413" spans="1:20">
      <c r="A413" s="2" t="s">
        <v>1048</v>
      </c>
      <c r="B413" s="2" t="s">
        <v>1108</v>
      </c>
      <c r="C413" s="2" t="s">
        <v>73</v>
      </c>
      <c r="D413" s="16">
        <v>30</v>
      </c>
      <c r="E413" s="2" t="s">
        <v>1056</v>
      </c>
      <c r="F413" s="2" t="s">
        <v>1109</v>
      </c>
      <c r="G413" s="2" t="s">
        <v>1110</v>
      </c>
      <c r="H413" s="17">
        <v>812880</v>
      </c>
      <c r="I413" s="2"/>
      <c r="J413" s="2"/>
      <c r="K413" s="17">
        <v>812880</v>
      </c>
      <c r="L413" s="17">
        <v>87094.29</v>
      </c>
      <c r="M413" s="17">
        <v>725785.71</v>
      </c>
      <c r="N413" s="17">
        <v>812880</v>
      </c>
      <c r="O413" s="2"/>
      <c r="P413" s="2"/>
      <c r="Q413" s="2" t="s">
        <v>56</v>
      </c>
      <c r="R413" s="5">
        <f t="shared" si="18"/>
        <v>812880</v>
      </c>
      <c r="S413" s="5">
        <f t="shared" si="19"/>
        <v>812880</v>
      </c>
      <c r="T413" s="5">
        <f t="shared" si="20"/>
        <v>0</v>
      </c>
    </row>
    <row r="414" spans="1:20">
      <c r="A414" s="2" t="s">
        <v>1048</v>
      </c>
      <c r="B414" s="2" t="s">
        <v>1111</v>
      </c>
      <c r="C414" s="2" t="s">
        <v>73</v>
      </c>
      <c r="D414" s="16">
        <v>30</v>
      </c>
      <c r="E414" s="2" t="s">
        <v>1056</v>
      </c>
      <c r="F414" s="2" t="s">
        <v>1109</v>
      </c>
      <c r="G414" s="2" t="s">
        <v>1112</v>
      </c>
      <c r="H414" s="17">
        <v>1129000</v>
      </c>
      <c r="I414" s="2"/>
      <c r="J414" s="2"/>
      <c r="K414" s="17">
        <v>1129000</v>
      </c>
      <c r="L414" s="17">
        <v>120964.29</v>
      </c>
      <c r="M414" s="17">
        <v>1008035.71</v>
      </c>
      <c r="N414" s="17">
        <v>1129000</v>
      </c>
      <c r="O414" s="2"/>
      <c r="P414" s="2"/>
      <c r="Q414" s="2" t="s">
        <v>56</v>
      </c>
      <c r="R414" s="5">
        <f t="shared" si="18"/>
        <v>1129000</v>
      </c>
      <c r="S414" s="5">
        <f t="shared" si="19"/>
        <v>1129000</v>
      </c>
      <c r="T414" s="5">
        <f t="shared" si="20"/>
        <v>0</v>
      </c>
    </row>
    <row r="415" spans="1:20">
      <c r="A415" s="2" t="s">
        <v>1048</v>
      </c>
      <c r="B415" s="2" t="s">
        <v>1113</v>
      </c>
      <c r="C415" s="2" t="s">
        <v>73</v>
      </c>
      <c r="D415" s="16">
        <v>30</v>
      </c>
      <c r="E415" s="2" t="s">
        <v>1056</v>
      </c>
      <c r="F415" s="2" t="s">
        <v>1114</v>
      </c>
      <c r="G415" s="2" t="s">
        <v>1115</v>
      </c>
      <c r="H415" s="17">
        <v>371089</v>
      </c>
      <c r="I415" s="2"/>
      <c r="J415" s="2"/>
      <c r="K415" s="17">
        <v>371089</v>
      </c>
      <c r="L415" s="17">
        <v>39759.54</v>
      </c>
      <c r="M415" s="17">
        <v>331329.46000000002</v>
      </c>
      <c r="N415" s="17">
        <v>371089</v>
      </c>
      <c r="O415" s="2"/>
      <c r="P415" s="2"/>
      <c r="Q415" s="2" t="s">
        <v>105</v>
      </c>
      <c r="R415" s="5">
        <f t="shared" si="18"/>
        <v>371089</v>
      </c>
      <c r="S415" s="5">
        <f t="shared" si="19"/>
        <v>371089</v>
      </c>
      <c r="T415" s="5">
        <f t="shared" si="20"/>
        <v>0</v>
      </c>
    </row>
    <row r="416" spans="1:20">
      <c r="A416" s="2" t="s">
        <v>1117</v>
      </c>
      <c r="B416" s="2" t="s">
        <v>1116</v>
      </c>
      <c r="C416" s="2" t="s">
        <v>333</v>
      </c>
      <c r="D416" s="16">
        <v>30</v>
      </c>
      <c r="E416" s="2" t="s">
        <v>1118</v>
      </c>
      <c r="F416" s="2" t="s">
        <v>1119</v>
      </c>
      <c r="G416" s="2" t="s">
        <v>1120</v>
      </c>
      <c r="H416" s="17">
        <v>1585</v>
      </c>
      <c r="I416" s="2"/>
      <c r="J416" s="2"/>
      <c r="K416" s="17">
        <v>1585</v>
      </c>
      <c r="L416" s="18">
        <v>169.82</v>
      </c>
      <c r="M416" s="17">
        <v>1415.18</v>
      </c>
      <c r="N416" s="17">
        <v>1585</v>
      </c>
      <c r="O416" s="2"/>
      <c r="P416" s="2"/>
      <c r="Q416" s="2" t="s">
        <v>270</v>
      </c>
      <c r="R416" s="5">
        <f t="shared" si="18"/>
        <v>1585</v>
      </c>
      <c r="S416" s="5">
        <f t="shared" si="19"/>
        <v>1585</v>
      </c>
      <c r="T416" s="5">
        <f t="shared" si="20"/>
        <v>0</v>
      </c>
    </row>
    <row r="417" spans="1:20">
      <c r="A417" s="2" t="s">
        <v>1117</v>
      </c>
      <c r="B417" s="2" t="s">
        <v>1121</v>
      </c>
      <c r="C417" s="2" t="s">
        <v>18</v>
      </c>
      <c r="D417" s="16">
        <v>0</v>
      </c>
      <c r="E417" s="2" t="s">
        <v>1117</v>
      </c>
      <c r="F417" s="2" t="s">
        <v>1122</v>
      </c>
      <c r="G417" s="2" t="s">
        <v>1123</v>
      </c>
      <c r="H417" s="17">
        <v>70950</v>
      </c>
      <c r="I417" s="2"/>
      <c r="J417" s="2"/>
      <c r="K417" s="17">
        <v>70950</v>
      </c>
      <c r="L417" s="17">
        <v>7601.79</v>
      </c>
      <c r="M417" s="17">
        <v>63348.21</v>
      </c>
      <c r="N417" s="17">
        <v>70950</v>
      </c>
      <c r="O417" s="2"/>
      <c r="P417" s="2"/>
      <c r="Q417" s="2" t="s">
        <v>46</v>
      </c>
      <c r="R417" s="5">
        <f t="shared" si="18"/>
        <v>70950</v>
      </c>
      <c r="S417" s="5">
        <f t="shared" si="19"/>
        <v>70950</v>
      </c>
      <c r="T417" s="5">
        <f t="shared" si="20"/>
        <v>0</v>
      </c>
    </row>
    <row r="418" spans="1:20">
      <c r="A418" s="2" t="s">
        <v>1117</v>
      </c>
      <c r="B418" s="2" t="s">
        <v>1124</v>
      </c>
      <c r="C418" s="2" t="s">
        <v>333</v>
      </c>
      <c r="D418" s="16">
        <v>30</v>
      </c>
      <c r="E418" s="2" t="s">
        <v>1118</v>
      </c>
      <c r="F418" s="2" t="s">
        <v>1119</v>
      </c>
      <c r="G418" s="2" t="s">
        <v>1125</v>
      </c>
      <c r="H418" s="17">
        <v>95426</v>
      </c>
      <c r="I418" s="2"/>
      <c r="J418" s="2"/>
      <c r="K418" s="17">
        <v>95426</v>
      </c>
      <c r="L418" s="17">
        <v>10224.209999999999</v>
      </c>
      <c r="M418" s="17">
        <v>85201.79</v>
      </c>
      <c r="N418" s="17">
        <v>95426</v>
      </c>
      <c r="O418" s="2"/>
      <c r="P418" s="2"/>
      <c r="Q418" s="2" t="s">
        <v>270</v>
      </c>
      <c r="R418" s="5">
        <f t="shared" si="18"/>
        <v>95426</v>
      </c>
      <c r="S418" s="5">
        <f t="shared" si="19"/>
        <v>95426</v>
      </c>
      <c r="T418" s="5">
        <f t="shared" si="20"/>
        <v>0</v>
      </c>
    </row>
    <row r="419" spans="1:20">
      <c r="A419" s="2" t="s">
        <v>1117</v>
      </c>
      <c r="B419" s="2" t="s">
        <v>1126</v>
      </c>
      <c r="C419" s="2" t="s">
        <v>18</v>
      </c>
      <c r="D419" s="16">
        <v>0</v>
      </c>
      <c r="E419" s="2" t="s">
        <v>1117</v>
      </c>
      <c r="F419" s="2" t="s">
        <v>1127</v>
      </c>
      <c r="G419" s="2" t="s">
        <v>1128</v>
      </c>
      <c r="H419" s="17">
        <v>124768</v>
      </c>
      <c r="I419" s="19">
        <v>-2495.36</v>
      </c>
      <c r="J419" s="2"/>
      <c r="K419" s="17">
        <v>122272.64</v>
      </c>
      <c r="L419" s="17">
        <v>13100.64</v>
      </c>
      <c r="M419" s="17">
        <v>109172</v>
      </c>
      <c r="N419" s="17">
        <v>122272.64</v>
      </c>
      <c r="O419" s="2"/>
      <c r="P419" s="2"/>
      <c r="Q419" s="2" t="s">
        <v>56</v>
      </c>
      <c r="R419" s="5">
        <f t="shared" si="18"/>
        <v>122272.64</v>
      </c>
      <c r="S419" s="5">
        <f t="shared" si="19"/>
        <v>122272.64</v>
      </c>
      <c r="T419" s="5">
        <f t="shared" si="20"/>
        <v>0</v>
      </c>
    </row>
    <row r="420" spans="1:20">
      <c r="A420" s="2" t="s">
        <v>1117</v>
      </c>
      <c r="B420" s="2" t="s">
        <v>1129</v>
      </c>
      <c r="C420" s="2" t="s">
        <v>18</v>
      </c>
      <c r="D420" s="16">
        <v>0</v>
      </c>
      <c r="E420" s="2" t="s">
        <v>1117</v>
      </c>
      <c r="F420" s="2" t="s">
        <v>1130</v>
      </c>
      <c r="G420" s="2" t="s">
        <v>1131</v>
      </c>
      <c r="H420" s="17">
        <v>104800</v>
      </c>
      <c r="I420" s="2"/>
      <c r="J420" s="2"/>
      <c r="K420" s="17">
        <v>104800</v>
      </c>
      <c r="L420" s="17">
        <v>11228.57</v>
      </c>
      <c r="M420" s="17">
        <v>93571.43</v>
      </c>
      <c r="N420" s="17">
        <v>104800</v>
      </c>
      <c r="O420" s="2"/>
      <c r="P420" s="2"/>
      <c r="Q420" s="2" t="s">
        <v>25</v>
      </c>
      <c r="R420" s="5">
        <f t="shared" si="18"/>
        <v>104800</v>
      </c>
      <c r="S420" s="5">
        <f t="shared" si="19"/>
        <v>104800</v>
      </c>
      <c r="T420" s="5">
        <f t="shared" si="20"/>
        <v>0</v>
      </c>
    </row>
    <row r="421" spans="1:20">
      <c r="A421" s="2" t="s">
        <v>1117</v>
      </c>
      <c r="B421" s="2" t="s">
        <v>1132</v>
      </c>
      <c r="C421" s="2" t="s">
        <v>333</v>
      </c>
      <c r="D421" s="16">
        <v>30</v>
      </c>
      <c r="E421" s="2" t="s">
        <v>1118</v>
      </c>
      <c r="F421" s="2" t="s">
        <v>1119</v>
      </c>
      <c r="G421" s="2" t="s">
        <v>1133</v>
      </c>
      <c r="H421" s="17">
        <v>27400</v>
      </c>
      <c r="I421" s="2"/>
      <c r="J421" s="2"/>
      <c r="K421" s="17">
        <v>27400</v>
      </c>
      <c r="L421" s="17">
        <v>2935.71</v>
      </c>
      <c r="M421" s="17">
        <v>24464.29</v>
      </c>
      <c r="N421" s="17">
        <v>27400</v>
      </c>
      <c r="O421" s="2"/>
      <c r="P421" s="2"/>
      <c r="Q421" s="2" t="s">
        <v>270</v>
      </c>
      <c r="R421" s="5">
        <f t="shared" si="18"/>
        <v>27400</v>
      </c>
      <c r="S421" s="5">
        <f t="shared" si="19"/>
        <v>27400</v>
      </c>
      <c r="T421" s="5">
        <f t="shared" si="20"/>
        <v>0</v>
      </c>
    </row>
    <row r="422" spans="1:20">
      <c r="A422" s="2" t="s">
        <v>1117</v>
      </c>
      <c r="B422" s="2" t="s">
        <v>1134</v>
      </c>
      <c r="C422" s="2" t="s">
        <v>333</v>
      </c>
      <c r="D422" s="16">
        <v>30</v>
      </c>
      <c r="E422" s="2" t="s">
        <v>1118</v>
      </c>
      <c r="F422" s="2" t="s">
        <v>334</v>
      </c>
      <c r="G422" s="2" t="s">
        <v>1135</v>
      </c>
      <c r="H422" s="17">
        <v>206180</v>
      </c>
      <c r="I422" s="2"/>
      <c r="J422" s="2"/>
      <c r="K422" s="17">
        <v>206180</v>
      </c>
      <c r="L422" s="17">
        <v>22090.71</v>
      </c>
      <c r="M422" s="17">
        <v>184089.29</v>
      </c>
      <c r="N422" s="17">
        <v>206180</v>
      </c>
      <c r="O422" s="2"/>
      <c r="P422" s="2"/>
      <c r="Q422" s="2" t="s">
        <v>270</v>
      </c>
      <c r="R422" s="5">
        <f t="shared" si="18"/>
        <v>206180</v>
      </c>
      <c r="S422" s="5">
        <f t="shared" si="19"/>
        <v>206180</v>
      </c>
      <c r="T422" s="5">
        <f t="shared" si="20"/>
        <v>0</v>
      </c>
    </row>
    <row r="423" spans="1:20">
      <c r="A423" s="2" t="s">
        <v>1117</v>
      </c>
      <c r="B423" s="2" t="s">
        <v>1136</v>
      </c>
      <c r="C423" s="2" t="s">
        <v>333</v>
      </c>
      <c r="D423" s="16">
        <v>30</v>
      </c>
      <c r="E423" s="2" t="s">
        <v>1118</v>
      </c>
      <c r="F423" s="2" t="s">
        <v>337</v>
      </c>
      <c r="G423" s="2" t="s">
        <v>1137</v>
      </c>
      <c r="H423" s="17">
        <v>568880</v>
      </c>
      <c r="I423" s="2"/>
      <c r="J423" s="2"/>
      <c r="K423" s="17">
        <v>568880</v>
      </c>
      <c r="L423" s="17">
        <v>60951.43</v>
      </c>
      <c r="M423" s="17">
        <v>507928.57</v>
      </c>
      <c r="N423" s="17">
        <v>568880</v>
      </c>
      <c r="O423" s="2"/>
      <c r="P423" s="2"/>
      <c r="Q423" s="2" t="s">
        <v>270</v>
      </c>
      <c r="R423" s="5">
        <f t="shared" si="18"/>
        <v>568880</v>
      </c>
      <c r="S423" s="5">
        <f t="shared" si="19"/>
        <v>568880</v>
      </c>
      <c r="T423" s="5">
        <f t="shared" si="20"/>
        <v>0</v>
      </c>
    </row>
    <row r="424" spans="1:20">
      <c r="A424" s="2" t="s">
        <v>1117</v>
      </c>
      <c r="B424" s="2" t="s">
        <v>1138</v>
      </c>
      <c r="C424" s="2" t="s">
        <v>237</v>
      </c>
      <c r="D424" s="16">
        <v>60</v>
      </c>
      <c r="E424" s="2" t="s">
        <v>1139</v>
      </c>
      <c r="F424" s="2" t="s">
        <v>337</v>
      </c>
      <c r="G424" s="2" t="s">
        <v>338</v>
      </c>
      <c r="H424" s="17">
        <v>143215</v>
      </c>
      <c r="I424" s="2"/>
      <c r="J424" s="2"/>
      <c r="K424" s="17">
        <v>143215</v>
      </c>
      <c r="L424" s="17">
        <v>15344.46</v>
      </c>
      <c r="M424" s="17">
        <v>127870.54</v>
      </c>
      <c r="N424" s="17">
        <v>143215</v>
      </c>
      <c r="O424" s="2"/>
      <c r="P424" s="2"/>
      <c r="Q424" s="2" t="s">
        <v>270</v>
      </c>
      <c r="R424" s="5">
        <f t="shared" si="18"/>
        <v>143215</v>
      </c>
      <c r="S424" s="5">
        <f t="shared" si="19"/>
        <v>143215</v>
      </c>
      <c r="T424" s="5">
        <f t="shared" si="20"/>
        <v>0</v>
      </c>
    </row>
    <row r="425" spans="1:20">
      <c r="A425" s="2" t="s">
        <v>1117</v>
      </c>
      <c r="B425" s="2" t="s">
        <v>1140</v>
      </c>
      <c r="C425" s="2" t="s">
        <v>60</v>
      </c>
      <c r="D425" s="16">
        <v>0</v>
      </c>
      <c r="E425" s="2" t="s">
        <v>1117</v>
      </c>
      <c r="F425" s="2" t="s">
        <v>1142</v>
      </c>
      <c r="G425" s="2" t="s">
        <v>1143</v>
      </c>
      <c r="H425" s="17">
        <v>403050.68</v>
      </c>
      <c r="I425" s="2"/>
      <c r="J425" s="2"/>
      <c r="K425" s="17">
        <v>403050.68</v>
      </c>
      <c r="L425" s="17">
        <v>43184</v>
      </c>
      <c r="M425" s="17">
        <v>359866.68</v>
      </c>
      <c r="N425" s="17">
        <v>403050.68</v>
      </c>
      <c r="O425" s="2"/>
      <c r="P425" s="2"/>
      <c r="Q425" s="2" t="s">
        <v>1141</v>
      </c>
      <c r="R425" s="5">
        <f t="shared" si="18"/>
        <v>403050.68</v>
      </c>
      <c r="S425" s="5">
        <f t="shared" si="19"/>
        <v>403050.68</v>
      </c>
      <c r="T425" s="5">
        <f t="shared" si="20"/>
        <v>0</v>
      </c>
    </row>
    <row r="426" spans="1:20">
      <c r="A426" s="2" t="s">
        <v>1117</v>
      </c>
      <c r="B426" s="2" t="s">
        <v>1144</v>
      </c>
      <c r="C426" s="2" t="s">
        <v>60</v>
      </c>
      <c r="D426" s="16">
        <v>0</v>
      </c>
      <c r="E426" s="2" t="s">
        <v>1117</v>
      </c>
      <c r="F426" s="2" t="s">
        <v>1142</v>
      </c>
      <c r="G426" s="2" t="s">
        <v>1145</v>
      </c>
      <c r="H426" s="17">
        <v>107600</v>
      </c>
      <c r="I426" s="2"/>
      <c r="J426" s="2"/>
      <c r="K426" s="17">
        <v>107600</v>
      </c>
      <c r="L426" s="17">
        <v>11528.57</v>
      </c>
      <c r="M426" s="17">
        <v>96071.43</v>
      </c>
      <c r="N426" s="17">
        <v>107600</v>
      </c>
      <c r="O426" s="2"/>
      <c r="P426" s="2"/>
      <c r="Q426" s="2" t="s">
        <v>1141</v>
      </c>
      <c r="R426" s="5">
        <f t="shared" si="18"/>
        <v>107600</v>
      </c>
      <c r="S426" s="5">
        <f t="shared" si="19"/>
        <v>107600</v>
      </c>
      <c r="T426" s="5">
        <f t="shared" si="20"/>
        <v>0</v>
      </c>
    </row>
    <row r="427" spans="1:20">
      <c r="A427" s="2" t="s">
        <v>1117</v>
      </c>
      <c r="B427" s="2" t="s">
        <v>1146</v>
      </c>
      <c r="C427" s="2" t="s">
        <v>151</v>
      </c>
      <c r="D427" s="16">
        <v>60</v>
      </c>
      <c r="E427" s="2" t="s">
        <v>1139</v>
      </c>
      <c r="F427" s="2" t="s">
        <v>574</v>
      </c>
      <c r="G427" s="2" t="s">
        <v>1147</v>
      </c>
      <c r="H427" s="17">
        <v>528825</v>
      </c>
      <c r="I427" s="2"/>
      <c r="J427" s="2"/>
      <c r="K427" s="17">
        <v>528825</v>
      </c>
      <c r="L427" s="17">
        <v>56659.82</v>
      </c>
      <c r="M427" s="17">
        <v>472165.18</v>
      </c>
      <c r="N427" s="17">
        <v>528825</v>
      </c>
      <c r="O427" s="2"/>
      <c r="P427" s="2"/>
      <c r="Q427" s="2" t="s">
        <v>69</v>
      </c>
      <c r="R427" s="5">
        <f t="shared" si="18"/>
        <v>528825</v>
      </c>
      <c r="S427" s="5">
        <f t="shared" si="19"/>
        <v>528825</v>
      </c>
      <c r="T427" s="5">
        <f t="shared" si="20"/>
        <v>0</v>
      </c>
    </row>
    <row r="428" spans="1:20">
      <c r="A428" s="2" t="s">
        <v>1117</v>
      </c>
      <c r="B428" s="2" t="s">
        <v>1148</v>
      </c>
      <c r="C428" s="2" t="s">
        <v>23</v>
      </c>
      <c r="D428" s="16">
        <v>30</v>
      </c>
      <c r="E428" s="2" t="s">
        <v>1118</v>
      </c>
      <c r="F428" s="2" t="s">
        <v>1149</v>
      </c>
      <c r="G428" s="2" t="s">
        <v>1150</v>
      </c>
      <c r="H428" s="17">
        <v>77750</v>
      </c>
      <c r="I428" s="2"/>
      <c r="J428" s="2"/>
      <c r="K428" s="17">
        <v>77750</v>
      </c>
      <c r="L428" s="17">
        <v>8330.36</v>
      </c>
      <c r="M428" s="17">
        <v>69419.64</v>
      </c>
      <c r="N428" s="17">
        <v>77750</v>
      </c>
      <c r="O428" s="2"/>
      <c r="P428" s="2"/>
      <c r="Q428" s="2" t="s">
        <v>30</v>
      </c>
      <c r="R428" s="5">
        <f t="shared" si="18"/>
        <v>77750</v>
      </c>
      <c r="S428" s="5">
        <f t="shared" si="19"/>
        <v>77750</v>
      </c>
      <c r="T428" s="5">
        <f t="shared" si="20"/>
        <v>0</v>
      </c>
    </row>
    <row r="429" spans="1:20">
      <c r="A429" s="2" t="s">
        <v>1117</v>
      </c>
      <c r="B429" s="2" t="s">
        <v>1151</v>
      </c>
      <c r="C429" s="2" t="s">
        <v>23</v>
      </c>
      <c r="D429" s="16">
        <v>30</v>
      </c>
      <c r="E429" s="2" t="s">
        <v>1118</v>
      </c>
      <c r="F429" s="2" t="s">
        <v>224</v>
      </c>
      <c r="G429" s="2" t="s">
        <v>1152</v>
      </c>
      <c r="H429" s="17">
        <v>22900</v>
      </c>
      <c r="I429" s="2"/>
      <c r="J429" s="2"/>
      <c r="K429" s="17">
        <v>22900</v>
      </c>
      <c r="L429" s="17">
        <v>2453.5700000000002</v>
      </c>
      <c r="M429" s="17">
        <v>20446.43</v>
      </c>
      <c r="N429" s="17">
        <v>22900</v>
      </c>
      <c r="O429" s="2"/>
      <c r="P429" s="2"/>
      <c r="Q429" s="2" t="s">
        <v>180</v>
      </c>
      <c r="R429" s="5">
        <f t="shared" si="18"/>
        <v>22900</v>
      </c>
      <c r="S429" s="5">
        <f t="shared" si="19"/>
        <v>22900</v>
      </c>
      <c r="T429" s="5">
        <f t="shared" si="20"/>
        <v>0</v>
      </c>
    </row>
    <row r="430" spans="1:20">
      <c r="A430" s="2" t="s">
        <v>1117</v>
      </c>
      <c r="B430" s="2" t="s">
        <v>1153</v>
      </c>
      <c r="C430" s="2" t="s">
        <v>23</v>
      </c>
      <c r="D430" s="16">
        <v>30</v>
      </c>
      <c r="E430" s="2" t="s">
        <v>1118</v>
      </c>
      <c r="F430" s="2" t="s">
        <v>224</v>
      </c>
      <c r="G430" s="2" t="s">
        <v>1154</v>
      </c>
      <c r="H430" s="17">
        <v>50400</v>
      </c>
      <c r="I430" s="2"/>
      <c r="J430" s="2"/>
      <c r="K430" s="17">
        <v>50400</v>
      </c>
      <c r="L430" s="17">
        <v>5400</v>
      </c>
      <c r="M430" s="17">
        <v>45000</v>
      </c>
      <c r="N430" s="17">
        <v>50400</v>
      </c>
      <c r="O430" s="2"/>
      <c r="P430" s="2"/>
      <c r="Q430" s="2" t="s">
        <v>180</v>
      </c>
      <c r="R430" s="5">
        <f t="shared" si="18"/>
        <v>50400</v>
      </c>
      <c r="S430" s="5">
        <f t="shared" si="19"/>
        <v>50400</v>
      </c>
      <c r="T430" s="5">
        <f t="shared" si="20"/>
        <v>0</v>
      </c>
    </row>
    <row r="431" spans="1:20">
      <c r="A431" s="2" t="s">
        <v>1117</v>
      </c>
      <c r="B431" s="2" t="s">
        <v>1155</v>
      </c>
      <c r="C431" s="2" t="s">
        <v>162</v>
      </c>
      <c r="D431" s="16">
        <v>90</v>
      </c>
      <c r="E431" s="2" t="s">
        <v>1156</v>
      </c>
      <c r="F431" s="2" t="s">
        <v>1157</v>
      </c>
      <c r="G431" s="2" t="s">
        <v>1158</v>
      </c>
      <c r="H431" s="17">
        <v>58498</v>
      </c>
      <c r="I431" s="2"/>
      <c r="J431" s="2"/>
      <c r="K431" s="17">
        <v>58498</v>
      </c>
      <c r="L431" s="17">
        <v>6267.64</v>
      </c>
      <c r="M431" s="17">
        <v>52230.36</v>
      </c>
      <c r="N431" s="17">
        <v>58498</v>
      </c>
      <c r="O431" s="2"/>
      <c r="P431" s="2"/>
      <c r="Q431" s="2" t="s">
        <v>204</v>
      </c>
      <c r="R431" s="5">
        <f t="shared" si="18"/>
        <v>58498</v>
      </c>
      <c r="S431" s="5">
        <f t="shared" si="19"/>
        <v>58498</v>
      </c>
      <c r="T431" s="5">
        <f t="shared" si="20"/>
        <v>0</v>
      </c>
    </row>
    <row r="432" spans="1:20">
      <c r="A432" s="2" t="s">
        <v>1117</v>
      </c>
      <c r="B432" s="2" t="s">
        <v>1159</v>
      </c>
      <c r="C432" s="2" t="s">
        <v>162</v>
      </c>
      <c r="D432" s="16">
        <v>90</v>
      </c>
      <c r="E432" s="2" t="s">
        <v>1156</v>
      </c>
      <c r="F432" s="2" t="s">
        <v>1157</v>
      </c>
      <c r="G432" s="2" t="s">
        <v>1160</v>
      </c>
      <c r="H432" s="17">
        <v>8304</v>
      </c>
      <c r="I432" s="2"/>
      <c r="J432" s="2"/>
      <c r="K432" s="17">
        <v>8304</v>
      </c>
      <c r="L432" s="18">
        <v>889.71</v>
      </c>
      <c r="M432" s="17">
        <v>7414.29</v>
      </c>
      <c r="N432" s="17">
        <v>8304</v>
      </c>
      <c r="O432" s="2"/>
      <c r="P432" s="2"/>
      <c r="Q432" s="2" t="s">
        <v>204</v>
      </c>
      <c r="R432" s="5">
        <f t="shared" si="18"/>
        <v>8304</v>
      </c>
      <c r="S432" s="5">
        <f t="shared" si="19"/>
        <v>8304</v>
      </c>
      <c r="T432" s="5">
        <f t="shared" si="20"/>
        <v>0</v>
      </c>
    </row>
    <row r="433" spans="1:20">
      <c r="A433" s="2" t="s">
        <v>1117</v>
      </c>
      <c r="B433" s="2" t="s">
        <v>1161</v>
      </c>
      <c r="C433" s="2" t="s">
        <v>29</v>
      </c>
      <c r="D433" s="16">
        <v>0</v>
      </c>
      <c r="E433" s="2" t="s">
        <v>1117</v>
      </c>
      <c r="F433" s="2" t="s">
        <v>31</v>
      </c>
      <c r="G433" s="2" t="s">
        <v>1162</v>
      </c>
      <c r="H433" s="17">
        <v>294000</v>
      </c>
      <c r="I433" s="2"/>
      <c r="J433" s="2"/>
      <c r="K433" s="17">
        <v>294000</v>
      </c>
      <c r="L433" s="17">
        <v>31500</v>
      </c>
      <c r="M433" s="17">
        <v>262500</v>
      </c>
      <c r="N433" s="17">
        <v>294000</v>
      </c>
      <c r="O433" s="2"/>
      <c r="P433" s="2"/>
      <c r="Q433" s="2" t="s">
        <v>30</v>
      </c>
      <c r="R433" s="5">
        <f t="shared" si="18"/>
        <v>294000</v>
      </c>
      <c r="S433" s="5">
        <f t="shared" si="19"/>
        <v>294000</v>
      </c>
      <c r="T433" s="5">
        <f t="shared" si="20"/>
        <v>0</v>
      </c>
    </row>
    <row r="434" spans="1:20">
      <c r="A434" s="2" t="s">
        <v>1117</v>
      </c>
      <c r="B434" s="2" t="s">
        <v>1163</v>
      </c>
      <c r="C434" s="2" t="s">
        <v>151</v>
      </c>
      <c r="D434" s="16">
        <v>60</v>
      </c>
      <c r="E434" s="2" t="s">
        <v>1139</v>
      </c>
      <c r="F434" s="2" t="s">
        <v>264</v>
      </c>
      <c r="G434" s="2" t="s">
        <v>1164</v>
      </c>
      <c r="H434" s="17">
        <v>23524.2</v>
      </c>
      <c r="I434" s="2"/>
      <c r="J434" s="2"/>
      <c r="K434" s="17">
        <v>23524.2</v>
      </c>
      <c r="L434" s="17">
        <v>2520.4499999999998</v>
      </c>
      <c r="M434" s="17">
        <v>21003.75</v>
      </c>
      <c r="N434" s="17">
        <v>23524.2</v>
      </c>
      <c r="O434" s="2"/>
      <c r="P434" s="2"/>
      <c r="Q434" s="2" t="s">
        <v>139</v>
      </c>
      <c r="R434" s="5">
        <f t="shared" si="18"/>
        <v>23524.2</v>
      </c>
      <c r="S434" s="5">
        <f t="shared" si="19"/>
        <v>23524.2</v>
      </c>
      <c r="T434" s="5">
        <f t="shared" si="20"/>
        <v>0</v>
      </c>
    </row>
    <row r="435" spans="1:20">
      <c r="A435" s="2" t="s">
        <v>1117</v>
      </c>
      <c r="B435" s="2" t="s">
        <v>1165</v>
      </c>
      <c r="C435" s="2" t="s">
        <v>54</v>
      </c>
      <c r="D435" s="16">
        <v>90</v>
      </c>
      <c r="E435" s="2" t="s">
        <v>1156</v>
      </c>
      <c r="F435" s="2" t="s">
        <v>937</v>
      </c>
      <c r="G435" s="2" t="s">
        <v>1166</v>
      </c>
      <c r="H435" s="17">
        <v>537500</v>
      </c>
      <c r="I435" s="2"/>
      <c r="J435" s="2"/>
      <c r="K435" s="17">
        <v>537500</v>
      </c>
      <c r="L435" s="17">
        <v>57589.29</v>
      </c>
      <c r="M435" s="17">
        <v>479910.71</v>
      </c>
      <c r="N435" s="17">
        <v>537500</v>
      </c>
      <c r="O435" s="2"/>
      <c r="P435" s="2"/>
      <c r="Q435" s="2" t="s">
        <v>19</v>
      </c>
      <c r="R435" s="5">
        <f t="shared" si="18"/>
        <v>537500</v>
      </c>
      <c r="S435" s="5">
        <f t="shared" si="19"/>
        <v>537500</v>
      </c>
      <c r="T435" s="5">
        <f t="shared" si="20"/>
        <v>0</v>
      </c>
    </row>
    <row r="436" spans="1:20">
      <c r="A436" s="2" t="s">
        <v>1117</v>
      </c>
      <c r="B436" s="2" t="s">
        <v>1167</v>
      </c>
      <c r="C436" s="2" t="s">
        <v>54</v>
      </c>
      <c r="D436" s="16">
        <v>90</v>
      </c>
      <c r="E436" s="2" t="s">
        <v>1156</v>
      </c>
      <c r="F436" s="2" t="s">
        <v>937</v>
      </c>
      <c r="G436" s="2" t="s">
        <v>1168</v>
      </c>
      <c r="H436" s="17">
        <v>107500</v>
      </c>
      <c r="I436" s="2"/>
      <c r="J436" s="2"/>
      <c r="K436" s="17">
        <v>107500</v>
      </c>
      <c r="L436" s="17">
        <v>11517.86</v>
      </c>
      <c r="M436" s="17">
        <v>95982.14</v>
      </c>
      <c r="N436" s="17">
        <v>107500</v>
      </c>
      <c r="O436" s="2"/>
      <c r="P436" s="2"/>
      <c r="Q436" s="2" t="s">
        <v>19</v>
      </c>
      <c r="R436" s="5">
        <f t="shared" si="18"/>
        <v>107500</v>
      </c>
      <c r="S436" s="5">
        <f t="shared" si="19"/>
        <v>107500</v>
      </c>
      <c r="T436" s="5">
        <f t="shared" si="20"/>
        <v>0</v>
      </c>
    </row>
    <row r="437" spans="1:20">
      <c r="A437" s="2" t="s">
        <v>1117</v>
      </c>
      <c r="B437" s="2" t="s">
        <v>1169</v>
      </c>
      <c r="C437" s="2" t="s">
        <v>73</v>
      </c>
      <c r="D437" s="16">
        <v>30</v>
      </c>
      <c r="E437" s="2" t="s">
        <v>1118</v>
      </c>
      <c r="F437" s="2" t="s">
        <v>1109</v>
      </c>
      <c r="G437" s="2" t="s">
        <v>1170</v>
      </c>
      <c r="H437" s="17">
        <v>1048060</v>
      </c>
      <c r="I437" s="2"/>
      <c r="J437" s="2"/>
      <c r="K437" s="17">
        <v>1048060</v>
      </c>
      <c r="L437" s="17">
        <v>112292.14</v>
      </c>
      <c r="M437" s="17">
        <v>935767.86</v>
      </c>
      <c r="N437" s="17">
        <v>1048060</v>
      </c>
      <c r="O437" s="2"/>
      <c r="P437" s="2"/>
      <c r="Q437" s="2" t="s">
        <v>56</v>
      </c>
      <c r="R437" s="5">
        <f t="shared" si="18"/>
        <v>1048060</v>
      </c>
      <c r="S437" s="5">
        <f t="shared" si="19"/>
        <v>1048060</v>
      </c>
      <c r="T437" s="5">
        <f t="shared" si="20"/>
        <v>0</v>
      </c>
    </row>
    <row r="438" spans="1:20">
      <c r="A438" s="2" t="s">
        <v>1117</v>
      </c>
      <c r="B438" s="2" t="s">
        <v>1171</v>
      </c>
      <c r="C438" s="2" t="s">
        <v>73</v>
      </c>
      <c r="D438" s="16">
        <v>30</v>
      </c>
      <c r="E438" s="2" t="s">
        <v>1118</v>
      </c>
      <c r="F438" s="2" t="s">
        <v>1109</v>
      </c>
      <c r="G438" s="2" t="s">
        <v>1172</v>
      </c>
      <c r="H438" s="17">
        <v>752620</v>
      </c>
      <c r="I438" s="2"/>
      <c r="J438" s="2"/>
      <c r="K438" s="17">
        <v>752620</v>
      </c>
      <c r="L438" s="17">
        <v>80637.86</v>
      </c>
      <c r="M438" s="17">
        <v>671982.14</v>
      </c>
      <c r="N438" s="17">
        <v>752620</v>
      </c>
      <c r="O438" s="2"/>
      <c r="P438" s="2"/>
      <c r="Q438" s="2" t="s">
        <v>56</v>
      </c>
      <c r="R438" s="5">
        <f t="shared" si="18"/>
        <v>752620</v>
      </c>
      <c r="S438" s="5">
        <f t="shared" si="19"/>
        <v>752620</v>
      </c>
      <c r="T438" s="5">
        <f t="shared" si="20"/>
        <v>0</v>
      </c>
    </row>
    <row r="439" spans="1:20">
      <c r="A439" s="2" t="s">
        <v>1117</v>
      </c>
      <c r="B439" s="2" t="s">
        <v>1173</v>
      </c>
      <c r="C439" s="2" t="s">
        <v>60</v>
      </c>
      <c r="D439" s="16">
        <v>0</v>
      </c>
      <c r="E439" s="2" t="s">
        <v>1117</v>
      </c>
      <c r="F439" s="2" t="s">
        <v>190</v>
      </c>
      <c r="G439" s="2" t="s">
        <v>1174</v>
      </c>
      <c r="H439" s="17">
        <v>204476</v>
      </c>
      <c r="I439" s="2"/>
      <c r="J439" s="2"/>
      <c r="K439" s="17">
        <v>204476</v>
      </c>
      <c r="L439" s="17">
        <v>21908.14</v>
      </c>
      <c r="M439" s="17">
        <v>182567.86</v>
      </c>
      <c r="N439" s="17">
        <v>204476</v>
      </c>
      <c r="O439" s="2"/>
      <c r="P439" s="2"/>
      <c r="Q439" s="2" t="s">
        <v>56</v>
      </c>
      <c r="R439" s="5">
        <f t="shared" si="18"/>
        <v>204476</v>
      </c>
      <c r="S439" s="5">
        <f t="shared" si="19"/>
        <v>204476</v>
      </c>
      <c r="T439" s="5">
        <f t="shared" si="20"/>
        <v>0</v>
      </c>
    </row>
    <row r="440" spans="1:20">
      <c r="A440" s="2" t="s">
        <v>1117</v>
      </c>
      <c r="B440" s="2" t="s">
        <v>1175</v>
      </c>
      <c r="C440" s="2" t="s">
        <v>23</v>
      </c>
      <c r="D440" s="16">
        <v>30</v>
      </c>
      <c r="E440" s="2" t="s">
        <v>1118</v>
      </c>
      <c r="F440" s="2" t="s">
        <v>1176</v>
      </c>
      <c r="G440" s="2" t="s">
        <v>1177</v>
      </c>
      <c r="H440" s="17">
        <v>63822</v>
      </c>
      <c r="I440" s="2"/>
      <c r="J440" s="2"/>
      <c r="K440" s="17">
        <v>63822</v>
      </c>
      <c r="L440" s="17">
        <v>6838.07</v>
      </c>
      <c r="M440" s="17">
        <v>56983.93</v>
      </c>
      <c r="N440" s="17">
        <v>63822</v>
      </c>
      <c r="O440" s="2"/>
      <c r="P440" s="2"/>
      <c r="Q440" s="2" t="s">
        <v>50</v>
      </c>
      <c r="R440" s="5">
        <f t="shared" si="18"/>
        <v>63822</v>
      </c>
      <c r="S440" s="5">
        <f t="shared" si="19"/>
        <v>63822</v>
      </c>
      <c r="T440" s="5">
        <f t="shared" si="20"/>
        <v>0</v>
      </c>
    </row>
    <row r="441" spans="1:20">
      <c r="A441" s="2" t="s">
        <v>1117</v>
      </c>
      <c r="B441" s="2" t="s">
        <v>1178</v>
      </c>
      <c r="C441" s="2" t="s">
        <v>73</v>
      </c>
      <c r="D441" s="16">
        <v>30</v>
      </c>
      <c r="E441" s="2" t="s">
        <v>1118</v>
      </c>
      <c r="F441" s="2" t="s">
        <v>1078</v>
      </c>
      <c r="G441" s="2" t="s">
        <v>1179</v>
      </c>
      <c r="H441" s="17">
        <v>133500</v>
      </c>
      <c r="I441" s="2"/>
      <c r="J441" s="2"/>
      <c r="K441" s="17">
        <v>133500</v>
      </c>
      <c r="L441" s="17">
        <v>14303.57</v>
      </c>
      <c r="M441" s="17">
        <v>119196.43</v>
      </c>
      <c r="N441" s="17">
        <v>133500</v>
      </c>
      <c r="O441" s="2"/>
      <c r="P441" s="2"/>
      <c r="Q441" s="2" t="s">
        <v>46</v>
      </c>
      <c r="R441" s="5">
        <f t="shared" si="18"/>
        <v>133500</v>
      </c>
      <c r="S441" s="5">
        <f t="shared" si="19"/>
        <v>133500</v>
      </c>
      <c r="T441" s="5">
        <f t="shared" si="20"/>
        <v>0</v>
      </c>
    </row>
    <row r="442" spans="1:20">
      <c r="A442" s="2" t="s">
        <v>1117</v>
      </c>
      <c r="B442" s="2" t="s">
        <v>1180</v>
      </c>
      <c r="C442" s="2" t="s">
        <v>73</v>
      </c>
      <c r="D442" s="16">
        <v>30</v>
      </c>
      <c r="E442" s="2" t="s">
        <v>1118</v>
      </c>
      <c r="F442" s="2" t="s">
        <v>247</v>
      </c>
      <c r="G442" s="2" t="s">
        <v>1181</v>
      </c>
      <c r="H442" s="17">
        <v>471120</v>
      </c>
      <c r="I442" s="2"/>
      <c r="J442" s="2"/>
      <c r="K442" s="17">
        <v>471120</v>
      </c>
      <c r="L442" s="17">
        <v>50477.14</v>
      </c>
      <c r="M442" s="17">
        <v>420642.86</v>
      </c>
      <c r="N442" s="17">
        <v>471120</v>
      </c>
      <c r="O442" s="2"/>
      <c r="P442" s="2"/>
      <c r="Q442" s="2" t="s">
        <v>19</v>
      </c>
      <c r="R442" s="5">
        <f t="shared" si="18"/>
        <v>471120</v>
      </c>
      <c r="S442" s="5">
        <f t="shared" si="19"/>
        <v>471120</v>
      </c>
      <c r="T442" s="5">
        <f t="shared" si="20"/>
        <v>0</v>
      </c>
    </row>
    <row r="443" spans="1:20">
      <c r="A443" s="2" t="s">
        <v>1117</v>
      </c>
      <c r="B443" s="2" t="s">
        <v>1182</v>
      </c>
      <c r="C443" s="2" t="s">
        <v>1102</v>
      </c>
      <c r="D443" s="16">
        <v>60</v>
      </c>
      <c r="E443" s="2" t="s">
        <v>1139</v>
      </c>
      <c r="F443" s="2" t="s">
        <v>787</v>
      </c>
      <c r="G443" s="2" t="s">
        <v>1183</v>
      </c>
      <c r="H443" s="17">
        <v>214500</v>
      </c>
      <c r="I443" s="2"/>
      <c r="J443" s="2"/>
      <c r="K443" s="17">
        <v>214500</v>
      </c>
      <c r="L443" s="17">
        <v>22982.14</v>
      </c>
      <c r="M443" s="17">
        <v>191517.86</v>
      </c>
      <c r="N443" s="17">
        <v>214500</v>
      </c>
      <c r="O443" s="2"/>
      <c r="P443" s="2"/>
      <c r="Q443" s="2" t="s">
        <v>46</v>
      </c>
      <c r="R443" s="5">
        <f t="shared" si="18"/>
        <v>214500</v>
      </c>
      <c r="S443" s="5">
        <f t="shared" si="19"/>
        <v>214500</v>
      </c>
      <c r="T443" s="5">
        <f t="shared" si="20"/>
        <v>0</v>
      </c>
    </row>
    <row r="444" spans="1:20">
      <c r="A444" s="2" t="s">
        <v>1117</v>
      </c>
      <c r="B444" s="2" t="s">
        <v>1184</v>
      </c>
      <c r="C444" s="2" t="s">
        <v>1102</v>
      </c>
      <c r="D444" s="16">
        <v>60</v>
      </c>
      <c r="E444" s="2" t="s">
        <v>1139</v>
      </c>
      <c r="F444" s="2" t="s">
        <v>787</v>
      </c>
      <c r="G444" s="2" t="s">
        <v>1185</v>
      </c>
      <c r="H444" s="17">
        <v>52684</v>
      </c>
      <c r="I444" s="2"/>
      <c r="J444" s="2"/>
      <c r="K444" s="17">
        <v>52684</v>
      </c>
      <c r="L444" s="17">
        <v>5644.71</v>
      </c>
      <c r="M444" s="17">
        <v>47039.29</v>
      </c>
      <c r="N444" s="17">
        <v>52684</v>
      </c>
      <c r="O444" s="2"/>
      <c r="P444" s="2"/>
      <c r="Q444" s="2" t="s">
        <v>46</v>
      </c>
      <c r="R444" s="5">
        <f t="shared" si="18"/>
        <v>52684</v>
      </c>
      <c r="S444" s="5">
        <f t="shared" si="19"/>
        <v>52684</v>
      </c>
      <c r="T444" s="5">
        <f t="shared" si="20"/>
        <v>0</v>
      </c>
    </row>
    <row r="445" spans="1:20">
      <c r="A445" s="2" t="s">
        <v>1117</v>
      </c>
      <c r="B445" s="2" t="s">
        <v>1186</v>
      </c>
      <c r="C445" s="2" t="s">
        <v>60</v>
      </c>
      <c r="D445" s="16">
        <v>0</v>
      </c>
      <c r="E445" s="2" t="s">
        <v>1117</v>
      </c>
      <c r="F445" s="2" t="s">
        <v>190</v>
      </c>
      <c r="G445" s="2" t="s">
        <v>1187</v>
      </c>
      <c r="H445" s="17">
        <v>119504</v>
      </c>
      <c r="I445" s="2"/>
      <c r="J445" s="2"/>
      <c r="K445" s="17">
        <v>119504</v>
      </c>
      <c r="L445" s="17">
        <v>12804</v>
      </c>
      <c r="M445" s="17">
        <v>106700</v>
      </c>
      <c r="N445" s="17">
        <v>119504</v>
      </c>
      <c r="O445" s="2"/>
      <c r="P445" s="2"/>
      <c r="Q445" s="2" t="s">
        <v>56</v>
      </c>
      <c r="R445" s="5">
        <f t="shared" si="18"/>
        <v>119504</v>
      </c>
      <c r="S445" s="5">
        <f t="shared" si="19"/>
        <v>119504</v>
      </c>
      <c r="T445" s="5">
        <f t="shared" si="20"/>
        <v>0</v>
      </c>
    </row>
    <row r="446" spans="1:20">
      <c r="A446" s="2" t="s">
        <v>1117</v>
      </c>
      <c r="B446" s="2" t="s">
        <v>1188</v>
      </c>
      <c r="C446" s="2" t="s">
        <v>162</v>
      </c>
      <c r="D446" s="16">
        <v>90</v>
      </c>
      <c r="E446" s="2" t="s">
        <v>1156</v>
      </c>
      <c r="F446" s="2" t="s">
        <v>193</v>
      </c>
      <c r="G446" s="2" t="s">
        <v>1189</v>
      </c>
      <c r="H446" s="17">
        <v>26590</v>
      </c>
      <c r="I446" s="2"/>
      <c r="J446" s="2"/>
      <c r="K446" s="17">
        <v>26590</v>
      </c>
      <c r="L446" s="17">
        <v>2848.93</v>
      </c>
      <c r="M446" s="17">
        <v>23741.07</v>
      </c>
      <c r="N446" s="17">
        <v>26590</v>
      </c>
      <c r="O446" s="2"/>
      <c r="P446" s="2"/>
      <c r="Q446" s="2" t="s">
        <v>36</v>
      </c>
      <c r="R446" s="5">
        <f t="shared" si="18"/>
        <v>26590</v>
      </c>
      <c r="S446" s="5">
        <f t="shared" si="19"/>
        <v>26590</v>
      </c>
      <c r="T446" s="5">
        <f t="shared" si="20"/>
        <v>0</v>
      </c>
    </row>
    <row r="447" spans="1:20">
      <c r="A447" s="2" t="s">
        <v>1117</v>
      </c>
      <c r="B447" s="2" t="s">
        <v>1190</v>
      </c>
      <c r="C447" s="2" t="s">
        <v>60</v>
      </c>
      <c r="D447" s="16">
        <v>0</v>
      </c>
      <c r="E447" s="2" t="s">
        <v>1117</v>
      </c>
      <c r="F447" s="2" t="s">
        <v>1191</v>
      </c>
      <c r="G447" s="2" t="s">
        <v>1192</v>
      </c>
      <c r="H447" s="17">
        <v>20257</v>
      </c>
      <c r="I447" s="2"/>
      <c r="J447" s="2"/>
      <c r="K447" s="17">
        <v>20257</v>
      </c>
      <c r="L447" s="17">
        <v>2170.39</v>
      </c>
      <c r="M447" s="17">
        <v>18086.61</v>
      </c>
      <c r="N447" s="17">
        <v>20257</v>
      </c>
      <c r="O447" s="2"/>
      <c r="P447" s="2"/>
      <c r="Q447" s="2" t="s">
        <v>46</v>
      </c>
      <c r="R447" s="5">
        <f t="shared" si="18"/>
        <v>20257</v>
      </c>
      <c r="S447" s="5">
        <f t="shared" si="19"/>
        <v>20257</v>
      </c>
      <c r="T447" s="5">
        <f t="shared" si="20"/>
        <v>0</v>
      </c>
    </row>
    <row r="448" spans="1:20">
      <c r="A448" s="2" t="s">
        <v>1117</v>
      </c>
      <c r="B448" s="2" t="s">
        <v>1193</v>
      </c>
      <c r="C448" s="2" t="s">
        <v>23</v>
      </c>
      <c r="D448" s="16">
        <v>30</v>
      </c>
      <c r="E448" s="2" t="s">
        <v>1118</v>
      </c>
      <c r="F448" s="2" t="s">
        <v>529</v>
      </c>
      <c r="G448" s="2" t="s">
        <v>1194</v>
      </c>
      <c r="H448" s="17">
        <v>141200</v>
      </c>
      <c r="I448" s="19">
        <v>-2824</v>
      </c>
      <c r="J448" s="2"/>
      <c r="K448" s="17">
        <v>138376</v>
      </c>
      <c r="L448" s="17">
        <v>14826</v>
      </c>
      <c r="M448" s="17">
        <v>123550</v>
      </c>
      <c r="N448" s="17">
        <v>138376</v>
      </c>
      <c r="O448" s="2"/>
      <c r="P448" s="2"/>
      <c r="Q448" s="2" t="s">
        <v>329</v>
      </c>
      <c r="R448" s="5">
        <f t="shared" si="18"/>
        <v>138376</v>
      </c>
      <c r="S448" s="5">
        <f t="shared" si="19"/>
        <v>138376</v>
      </c>
      <c r="T448" s="5">
        <f t="shared" si="20"/>
        <v>0</v>
      </c>
    </row>
    <row r="449" spans="1:20">
      <c r="A449" s="2" t="s">
        <v>1117</v>
      </c>
      <c r="B449" s="2" t="s">
        <v>1195</v>
      </c>
      <c r="C449" s="2" t="s">
        <v>94</v>
      </c>
      <c r="D449" s="16">
        <v>0</v>
      </c>
      <c r="E449" s="2" t="s">
        <v>1117</v>
      </c>
      <c r="F449" s="2" t="s">
        <v>558</v>
      </c>
      <c r="G449" s="2" t="s">
        <v>1196</v>
      </c>
      <c r="H449" s="17">
        <v>236250</v>
      </c>
      <c r="I449" s="2"/>
      <c r="J449" s="2"/>
      <c r="K449" s="17">
        <v>236250</v>
      </c>
      <c r="L449" s="17">
        <v>25312.5</v>
      </c>
      <c r="M449" s="17">
        <v>210937.5</v>
      </c>
      <c r="N449" s="17">
        <v>236250</v>
      </c>
      <c r="O449" s="2"/>
      <c r="P449" s="2"/>
      <c r="Q449" s="2" t="s">
        <v>46</v>
      </c>
      <c r="R449" s="5">
        <f t="shared" si="18"/>
        <v>236250</v>
      </c>
      <c r="S449" s="5">
        <f t="shared" si="19"/>
        <v>236250</v>
      </c>
      <c r="T449" s="5">
        <f t="shared" si="20"/>
        <v>0</v>
      </c>
    </row>
    <row r="450" spans="1:20">
      <c r="A450" s="2" t="s">
        <v>1117</v>
      </c>
      <c r="B450" s="2" t="s">
        <v>1197</v>
      </c>
      <c r="C450" s="2" t="s">
        <v>34</v>
      </c>
      <c r="D450" s="16">
        <v>60</v>
      </c>
      <c r="E450" s="2" t="s">
        <v>1139</v>
      </c>
      <c r="F450" s="2" t="s">
        <v>330</v>
      </c>
      <c r="G450" s="2" t="s">
        <v>1198</v>
      </c>
      <c r="H450" s="17">
        <v>453268</v>
      </c>
      <c r="I450" s="2"/>
      <c r="J450" s="2"/>
      <c r="K450" s="17">
        <v>453268</v>
      </c>
      <c r="L450" s="17">
        <v>48564.43</v>
      </c>
      <c r="M450" s="17">
        <v>404703.57</v>
      </c>
      <c r="N450" s="17">
        <v>453268</v>
      </c>
      <c r="O450" s="2"/>
      <c r="P450" s="2"/>
      <c r="Q450" s="2" t="s">
        <v>329</v>
      </c>
      <c r="R450" s="5">
        <f t="shared" si="18"/>
        <v>453268</v>
      </c>
      <c r="S450" s="5">
        <f t="shared" si="19"/>
        <v>453268</v>
      </c>
      <c r="T450" s="5">
        <f t="shared" si="20"/>
        <v>0</v>
      </c>
    </row>
    <row r="451" spans="1:20">
      <c r="A451" s="2" t="s">
        <v>1117</v>
      </c>
      <c r="B451" s="2" t="s">
        <v>1199</v>
      </c>
      <c r="C451" s="2" t="s">
        <v>151</v>
      </c>
      <c r="D451" s="16">
        <v>60</v>
      </c>
      <c r="E451" s="2" t="s">
        <v>1139</v>
      </c>
      <c r="F451" s="2" t="s">
        <v>1200</v>
      </c>
      <c r="G451" s="2" t="s">
        <v>1201</v>
      </c>
      <c r="H451" s="17">
        <v>29500</v>
      </c>
      <c r="I451" s="2"/>
      <c r="J451" s="2"/>
      <c r="K451" s="17">
        <v>29500</v>
      </c>
      <c r="L451" s="17">
        <v>3160.71</v>
      </c>
      <c r="M451" s="17">
        <v>26339.29</v>
      </c>
      <c r="N451" s="17">
        <v>29500</v>
      </c>
      <c r="O451" s="2"/>
      <c r="P451" s="2"/>
      <c r="Q451" s="2" t="s">
        <v>139</v>
      </c>
      <c r="R451" s="5">
        <f t="shared" si="18"/>
        <v>29500</v>
      </c>
      <c r="S451" s="5">
        <f t="shared" si="19"/>
        <v>29500</v>
      </c>
      <c r="T451" s="5">
        <f t="shared" si="20"/>
        <v>0</v>
      </c>
    </row>
    <row r="452" spans="1:20">
      <c r="A452" s="2" t="s">
        <v>1117</v>
      </c>
      <c r="B452" s="2" t="s">
        <v>1202</v>
      </c>
      <c r="C452" s="2" t="s">
        <v>34</v>
      </c>
      <c r="D452" s="16">
        <v>60</v>
      </c>
      <c r="E452" s="2" t="s">
        <v>1139</v>
      </c>
      <c r="F452" s="2" t="s">
        <v>697</v>
      </c>
      <c r="G452" s="2" t="s">
        <v>1203</v>
      </c>
      <c r="H452" s="17">
        <v>49180</v>
      </c>
      <c r="I452" s="2"/>
      <c r="J452" s="2"/>
      <c r="K452" s="17">
        <v>49180</v>
      </c>
      <c r="L452" s="17">
        <v>5269.29</v>
      </c>
      <c r="M452" s="17">
        <v>43910.71</v>
      </c>
      <c r="N452" s="17">
        <v>49180</v>
      </c>
      <c r="O452" s="2"/>
      <c r="P452" s="2"/>
      <c r="Q452" s="2" t="s">
        <v>69</v>
      </c>
      <c r="R452" s="5">
        <f t="shared" si="18"/>
        <v>49180</v>
      </c>
      <c r="S452" s="5">
        <f t="shared" si="19"/>
        <v>49180</v>
      </c>
      <c r="T452" s="5">
        <f t="shared" si="20"/>
        <v>0</v>
      </c>
    </row>
    <row r="453" spans="1:20">
      <c r="A453" s="2" t="s">
        <v>1117</v>
      </c>
      <c r="B453" s="2" t="s">
        <v>1204</v>
      </c>
      <c r="C453" s="2" t="s">
        <v>1055</v>
      </c>
      <c r="D453" s="16">
        <v>30</v>
      </c>
      <c r="E453" s="2" t="s">
        <v>1118</v>
      </c>
      <c r="F453" s="2" t="s">
        <v>1057</v>
      </c>
      <c r="G453" s="2" t="s">
        <v>1205</v>
      </c>
      <c r="H453" s="17">
        <v>29610</v>
      </c>
      <c r="I453" s="2"/>
      <c r="J453" s="2"/>
      <c r="K453" s="17">
        <v>29610</v>
      </c>
      <c r="L453" s="17">
        <v>3172.5</v>
      </c>
      <c r="M453" s="17">
        <v>26437.5</v>
      </c>
      <c r="N453" s="17">
        <v>29610</v>
      </c>
      <c r="O453" s="2"/>
      <c r="P453" s="2"/>
      <c r="Q453" s="2" t="s">
        <v>56</v>
      </c>
      <c r="R453" s="5">
        <f t="shared" si="18"/>
        <v>29610</v>
      </c>
      <c r="S453" s="5">
        <f t="shared" si="19"/>
        <v>29610</v>
      </c>
      <c r="T453" s="5">
        <f t="shared" si="20"/>
        <v>0</v>
      </c>
    </row>
    <row r="454" spans="1:20">
      <c r="A454" s="2" t="s">
        <v>1117</v>
      </c>
      <c r="B454" s="2" t="s">
        <v>1206</v>
      </c>
      <c r="C454" s="2" t="s">
        <v>23</v>
      </c>
      <c r="D454" s="16">
        <v>30</v>
      </c>
      <c r="E454" s="2" t="s">
        <v>1118</v>
      </c>
      <c r="F454" s="2" t="s">
        <v>1176</v>
      </c>
      <c r="G454" s="2" t="s">
        <v>1207</v>
      </c>
      <c r="H454" s="17">
        <v>186750</v>
      </c>
      <c r="I454" s="2"/>
      <c r="J454" s="2"/>
      <c r="K454" s="17">
        <v>186750</v>
      </c>
      <c r="L454" s="17">
        <v>20008.93</v>
      </c>
      <c r="M454" s="17">
        <v>166741.07</v>
      </c>
      <c r="N454" s="17">
        <v>186750</v>
      </c>
      <c r="O454" s="2"/>
      <c r="P454" s="2"/>
      <c r="Q454" s="2" t="s">
        <v>50</v>
      </c>
      <c r="R454" s="5">
        <f t="shared" ref="R454:R517" si="21">+J454+K454</f>
        <v>186750</v>
      </c>
      <c r="S454" s="5">
        <f t="shared" ref="S454:S517" si="22">+N454</f>
        <v>186750</v>
      </c>
      <c r="T454" s="5">
        <f t="shared" ref="T454:T517" si="23">+R454-S454</f>
        <v>0</v>
      </c>
    </row>
    <row r="455" spans="1:20">
      <c r="A455" s="2" t="s">
        <v>1117</v>
      </c>
      <c r="B455" s="2" t="s">
        <v>1208</v>
      </c>
      <c r="C455" s="2" t="s">
        <v>94</v>
      </c>
      <c r="D455" s="16">
        <v>0</v>
      </c>
      <c r="E455" s="2" t="s">
        <v>1117</v>
      </c>
      <c r="F455" s="2" t="s">
        <v>1043</v>
      </c>
      <c r="G455" s="2" t="s">
        <v>1209</v>
      </c>
      <c r="H455" s="17">
        <v>93350</v>
      </c>
      <c r="I455" s="2"/>
      <c r="J455" s="2"/>
      <c r="K455" s="17">
        <v>93350</v>
      </c>
      <c r="L455" s="17">
        <v>10001.790000000001</v>
      </c>
      <c r="M455" s="17">
        <v>83348.210000000006</v>
      </c>
      <c r="N455" s="17">
        <v>93350</v>
      </c>
      <c r="O455" s="2"/>
      <c r="P455" s="2"/>
      <c r="Q455" s="2" t="s">
        <v>139</v>
      </c>
      <c r="R455" s="5">
        <f t="shared" si="21"/>
        <v>93350</v>
      </c>
      <c r="S455" s="5">
        <f t="shared" si="22"/>
        <v>93350</v>
      </c>
      <c r="T455" s="5">
        <f t="shared" si="23"/>
        <v>0</v>
      </c>
    </row>
    <row r="456" spans="1:20">
      <c r="A456" s="2" t="s">
        <v>1117</v>
      </c>
      <c r="B456" s="2" t="s">
        <v>1210</v>
      </c>
      <c r="C456" s="2" t="s">
        <v>162</v>
      </c>
      <c r="D456" s="16">
        <v>90</v>
      </c>
      <c r="E456" s="2" t="s">
        <v>1156</v>
      </c>
      <c r="F456" s="2" t="s">
        <v>193</v>
      </c>
      <c r="G456" s="2" t="s">
        <v>1211</v>
      </c>
      <c r="H456" s="17">
        <v>5680</v>
      </c>
      <c r="I456" s="2"/>
      <c r="J456" s="2"/>
      <c r="K456" s="17">
        <v>5680</v>
      </c>
      <c r="L456" s="18">
        <v>608.57000000000005</v>
      </c>
      <c r="M456" s="17">
        <v>5071.43</v>
      </c>
      <c r="N456" s="17">
        <v>5680</v>
      </c>
      <c r="O456" s="2"/>
      <c r="P456" s="2"/>
      <c r="Q456" s="2" t="s">
        <v>36</v>
      </c>
      <c r="R456" s="5">
        <f t="shared" si="21"/>
        <v>5680</v>
      </c>
      <c r="S456" s="5">
        <f t="shared" si="22"/>
        <v>5680</v>
      </c>
      <c r="T456" s="5">
        <f t="shared" si="23"/>
        <v>0</v>
      </c>
    </row>
    <row r="457" spans="1:20">
      <c r="A457" s="2" t="s">
        <v>1117</v>
      </c>
      <c r="B457" s="2" t="s">
        <v>1212</v>
      </c>
      <c r="C457" s="2" t="s">
        <v>162</v>
      </c>
      <c r="D457" s="16">
        <v>90</v>
      </c>
      <c r="E457" s="2" t="s">
        <v>1156</v>
      </c>
      <c r="F457" s="2" t="s">
        <v>193</v>
      </c>
      <c r="G457" s="2" t="s">
        <v>1213</v>
      </c>
      <c r="H457" s="17">
        <v>224410</v>
      </c>
      <c r="I457" s="2"/>
      <c r="J457" s="2"/>
      <c r="K457" s="17">
        <v>224410</v>
      </c>
      <c r="L457" s="17">
        <v>24043.93</v>
      </c>
      <c r="M457" s="17">
        <v>200366.07</v>
      </c>
      <c r="N457" s="17">
        <v>224410</v>
      </c>
      <c r="O457" s="2"/>
      <c r="P457" s="2"/>
      <c r="Q457" s="2" t="s">
        <v>36</v>
      </c>
      <c r="R457" s="5">
        <f t="shared" si="21"/>
        <v>224410</v>
      </c>
      <c r="S457" s="5">
        <f t="shared" si="22"/>
        <v>224410</v>
      </c>
      <c r="T457" s="5">
        <f t="shared" si="23"/>
        <v>0</v>
      </c>
    </row>
    <row r="458" spans="1:20">
      <c r="A458" s="2" t="s">
        <v>1117</v>
      </c>
      <c r="B458" s="2" t="s">
        <v>1214</v>
      </c>
      <c r="C458" s="2" t="s">
        <v>146</v>
      </c>
      <c r="D458" s="16">
        <v>90</v>
      </c>
      <c r="E458" s="2" t="s">
        <v>1156</v>
      </c>
      <c r="F458" s="2" t="s">
        <v>193</v>
      </c>
      <c r="G458" s="2" t="s">
        <v>1215</v>
      </c>
      <c r="H458" s="17">
        <v>27750</v>
      </c>
      <c r="I458" s="2"/>
      <c r="J458" s="2"/>
      <c r="K458" s="17">
        <v>27750</v>
      </c>
      <c r="L458" s="17">
        <v>2973.21</v>
      </c>
      <c r="M458" s="17">
        <v>24776.79</v>
      </c>
      <c r="N458" s="17">
        <v>27750</v>
      </c>
      <c r="O458" s="2"/>
      <c r="P458" s="2"/>
      <c r="Q458" s="2" t="s">
        <v>36</v>
      </c>
      <c r="R458" s="5">
        <f t="shared" si="21"/>
        <v>27750</v>
      </c>
      <c r="S458" s="5">
        <f t="shared" si="22"/>
        <v>27750</v>
      </c>
      <c r="T458" s="5">
        <f t="shared" si="23"/>
        <v>0</v>
      </c>
    </row>
    <row r="459" spans="1:20">
      <c r="A459" s="2" t="s">
        <v>1217</v>
      </c>
      <c r="B459" s="2" t="s">
        <v>1216</v>
      </c>
      <c r="C459" s="2" t="s">
        <v>60</v>
      </c>
      <c r="D459" s="16">
        <v>0</v>
      </c>
      <c r="E459" s="2" t="s">
        <v>1217</v>
      </c>
      <c r="F459" s="2" t="s">
        <v>1218</v>
      </c>
      <c r="G459" s="2" t="s">
        <v>1219</v>
      </c>
      <c r="H459" s="17">
        <v>37000</v>
      </c>
      <c r="I459" s="2"/>
      <c r="J459" s="2"/>
      <c r="K459" s="17">
        <v>37000</v>
      </c>
      <c r="L459" s="17">
        <v>3964.29</v>
      </c>
      <c r="M459" s="17">
        <v>33035.71</v>
      </c>
      <c r="N459" s="17">
        <v>37000</v>
      </c>
      <c r="O459" s="2"/>
      <c r="P459" s="2"/>
      <c r="Q459" s="2" t="s">
        <v>270</v>
      </c>
      <c r="R459" s="5">
        <f t="shared" si="21"/>
        <v>37000</v>
      </c>
      <c r="S459" s="5">
        <f t="shared" si="22"/>
        <v>37000</v>
      </c>
      <c r="T459" s="5">
        <f t="shared" si="23"/>
        <v>0</v>
      </c>
    </row>
    <row r="460" spans="1:20">
      <c r="A460" s="2" t="s">
        <v>1217</v>
      </c>
      <c r="B460" s="2" t="s">
        <v>1220</v>
      </c>
      <c r="C460" s="2" t="s">
        <v>104</v>
      </c>
      <c r="D460" s="16">
        <v>0</v>
      </c>
      <c r="E460" s="2" t="s">
        <v>1217</v>
      </c>
      <c r="F460" s="2" t="s">
        <v>392</v>
      </c>
      <c r="G460" s="2" t="s">
        <v>1221</v>
      </c>
      <c r="H460" s="17">
        <v>340975</v>
      </c>
      <c r="I460" s="2"/>
      <c r="J460" s="2"/>
      <c r="K460" s="17">
        <v>340975</v>
      </c>
      <c r="L460" s="17">
        <v>36533.040000000001</v>
      </c>
      <c r="M460" s="17">
        <v>304441.96000000002</v>
      </c>
      <c r="N460" s="17">
        <v>340975</v>
      </c>
      <c r="O460" s="2"/>
      <c r="P460" s="2"/>
      <c r="Q460" s="2" t="s">
        <v>46</v>
      </c>
      <c r="R460" s="5">
        <f t="shared" si="21"/>
        <v>340975</v>
      </c>
      <c r="S460" s="5">
        <f t="shared" si="22"/>
        <v>340975</v>
      </c>
      <c r="T460" s="5">
        <f t="shared" si="23"/>
        <v>0</v>
      </c>
    </row>
    <row r="461" spans="1:20">
      <c r="A461" s="2" t="s">
        <v>1217</v>
      </c>
      <c r="B461" s="2" t="s">
        <v>1222</v>
      </c>
      <c r="C461" s="2" t="s">
        <v>34</v>
      </c>
      <c r="D461" s="16">
        <v>60</v>
      </c>
      <c r="E461" s="2" t="s">
        <v>1223</v>
      </c>
      <c r="F461" s="2" t="s">
        <v>201</v>
      </c>
      <c r="G461" s="2" t="s">
        <v>1224</v>
      </c>
      <c r="H461" s="17">
        <v>7200</v>
      </c>
      <c r="I461" s="2"/>
      <c r="J461" s="2"/>
      <c r="K461" s="17">
        <v>7200</v>
      </c>
      <c r="L461" s="18">
        <v>771.43</v>
      </c>
      <c r="M461" s="17">
        <v>6428.57</v>
      </c>
      <c r="N461" s="17">
        <v>7200</v>
      </c>
      <c r="O461" s="2"/>
      <c r="P461" s="2"/>
      <c r="Q461" s="2" t="s">
        <v>30</v>
      </c>
      <c r="R461" s="5">
        <f t="shared" si="21"/>
        <v>7200</v>
      </c>
      <c r="S461" s="5">
        <f t="shared" si="22"/>
        <v>7200</v>
      </c>
      <c r="T461" s="5">
        <f t="shared" si="23"/>
        <v>0</v>
      </c>
    </row>
    <row r="462" spans="1:20">
      <c r="A462" s="2" t="s">
        <v>1217</v>
      </c>
      <c r="B462" s="2" t="s">
        <v>1225</v>
      </c>
      <c r="C462" s="2" t="s">
        <v>34</v>
      </c>
      <c r="D462" s="16">
        <v>60</v>
      </c>
      <c r="E462" s="2" t="s">
        <v>1223</v>
      </c>
      <c r="F462" s="2" t="s">
        <v>1226</v>
      </c>
      <c r="G462" s="2" t="s">
        <v>1227</v>
      </c>
      <c r="H462" s="17">
        <v>37782</v>
      </c>
      <c r="I462" s="2"/>
      <c r="J462" s="2"/>
      <c r="K462" s="17">
        <v>37782</v>
      </c>
      <c r="L462" s="17">
        <v>4048.07</v>
      </c>
      <c r="M462" s="17">
        <v>33733.93</v>
      </c>
      <c r="N462" s="17">
        <v>37782</v>
      </c>
      <c r="O462" s="2"/>
      <c r="P462" s="2"/>
      <c r="Q462" s="2" t="s">
        <v>46</v>
      </c>
      <c r="R462" s="5">
        <f t="shared" si="21"/>
        <v>37782</v>
      </c>
      <c r="S462" s="5">
        <f t="shared" si="22"/>
        <v>37782</v>
      </c>
      <c r="T462" s="5">
        <f t="shared" si="23"/>
        <v>0</v>
      </c>
    </row>
    <row r="463" spans="1:20">
      <c r="A463" s="2" t="s">
        <v>1217</v>
      </c>
      <c r="B463" s="2" t="s">
        <v>1228</v>
      </c>
      <c r="C463" s="2" t="s">
        <v>60</v>
      </c>
      <c r="D463" s="16">
        <v>0</v>
      </c>
      <c r="E463" s="2" t="s">
        <v>1217</v>
      </c>
      <c r="F463" s="2" t="s">
        <v>1218</v>
      </c>
      <c r="G463" s="2" t="s">
        <v>1229</v>
      </c>
      <c r="H463" s="17">
        <v>22200</v>
      </c>
      <c r="I463" s="2"/>
      <c r="J463" s="2"/>
      <c r="K463" s="17">
        <v>22200</v>
      </c>
      <c r="L463" s="17">
        <v>2378.5700000000002</v>
      </c>
      <c r="M463" s="17">
        <v>19821.43</v>
      </c>
      <c r="N463" s="17">
        <v>22200</v>
      </c>
      <c r="O463" s="2"/>
      <c r="P463" s="2"/>
      <c r="Q463" s="2" t="s">
        <v>270</v>
      </c>
      <c r="R463" s="5">
        <f t="shared" si="21"/>
        <v>22200</v>
      </c>
      <c r="S463" s="5">
        <f t="shared" si="22"/>
        <v>22200</v>
      </c>
      <c r="T463" s="5">
        <f t="shared" si="23"/>
        <v>0</v>
      </c>
    </row>
    <row r="464" spans="1:20">
      <c r="A464" s="2" t="s">
        <v>1217</v>
      </c>
      <c r="B464" s="2" t="s">
        <v>1230</v>
      </c>
      <c r="C464" s="2" t="s">
        <v>23</v>
      </c>
      <c r="D464" s="16">
        <v>30</v>
      </c>
      <c r="E464" s="2" t="s">
        <v>1231</v>
      </c>
      <c r="F464" s="2" t="s">
        <v>1232</v>
      </c>
      <c r="G464" s="2" t="s">
        <v>1233</v>
      </c>
      <c r="H464" s="17">
        <v>73934</v>
      </c>
      <c r="I464" s="2"/>
      <c r="J464" s="2"/>
      <c r="K464" s="17">
        <v>73934</v>
      </c>
      <c r="L464" s="17">
        <v>7921.5</v>
      </c>
      <c r="M464" s="17">
        <v>66012.5</v>
      </c>
      <c r="N464" s="17">
        <v>73934</v>
      </c>
      <c r="O464" s="2"/>
      <c r="P464" s="2"/>
      <c r="Q464" s="2" t="s">
        <v>180</v>
      </c>
      <c r="R464" s="5">
        <f t="shared" si="21"/>
        <v>73934</v>
      </c>
      <c r="S464" s="5">
        <f t="shared" si="22"/>
        <v>73934</v>
      </c>
      <c r="T464" s="5">
        <f t="shared" si="23"/>
        <v>0</v>
      </c>
    </row>
    <row r="465" spans="1:20">
      <c r="A465" s="2" t="s">
        <v>1217</v>
      </c>
      <c r="B465" s="2" t="s">
        <v>1234</v>
      </c>
      <c r="C465" s="2" t="s">
        <v>162</v>
      </c>
      <c r="D465" s="16">
        <v>90</v>
      </c>
      <c r="E465" s="2" t="s">
        <v>1235</v>
      </c>
      <c r="F465" s="2" t="s">
        <v>164</v>
      </c>
      <c r="G465" s="2" t="s">
        <v>1236</v>
      </c>
      <c r="H465" s="17">
        <v>29400</v>
      </c>
      <c r="I465" s="2"/>
      <c r="J465" s="2"/>
      <c r="K465" s="17">
        <v>29400</v>
      </c>
      <c r="L465" s="17">
        <v>3150</v>
      </c>
      <c r="M465" s="17">
        <v>26250</v>
      </c>
      <c r="N465" s="17">
        <v>29400</v>
      </c>
      <c r="O465" s="2"/>
      <c r="P465" s="2"/>
      <c r="Q465" s="2" t="s">
        <v>163</v>
      </c>
      <c r="R465" s="5">
        <f t="shared" si="21"/>
        <v>29400</v>
      </c>
      <c r="S465" s="5">
        <f t="shared" si="22"/>
        <v>29400</v>
      </c>
      <c r="T465" s="5">
        <f t="shared" si="23"/>
        <v>0</v>
      </c>
    </row>
    <row r="466" spans="1:20">
      <c r="A466" s="2" t="s">
        <v>1217</v>
      </c>
      <c r="B466" s="2" t="s">
        <v>1237</v>
      </c>
      <c r="C466" s="2" t="s">
        <v>243</v>
      </c>
      <c r="D466" s="16">
        <v>30</v>
      </c>
      <c r="E466" s="2" t="s">
        <v>1231</v>
      </c>
      <c r="F466" s="2" t="s">
        <v>126</v>
      </c>
      <c r="G466" s="2" t="s">
        <v>1238</v>
      </c>
      <c r="H466" s="17">
        <v>39200</v>
      </c>
      <c r="I466" s="2"/>
      <c r="J466" s="2"/>
      <c r="K466" s="17">
        <v>39200</v>
      </c>
      <c r="L466" s="17">
        <v>4200</v>
      </c>
      <c r="M466" s="17">
        <v>35000</v>
      </c>
      <c r="N466" s="17">
        <v>39200</v>
      </c>
      <c r="O466" s="2"/>
      <c r="P466" s="2"/>
      <c r="Q466" s="2" t="s">
        <v>56</v>
      </c>
      <c r="R466" s="5">
        <f t="shared" si="21"/>
        <v>39200</v>
      </c>
      <c r="S466" s="5">
        <f t="shared" si="22"/>
        <v>39200</v>
      </c>
      <c r="T466" s="5">
        <f t="shared" si="23"/>
        <v>0</v>
      </c>
    </row>
    <row r="467" spans="1:20">
      <c r="A467" s="2" t="s">
        <v>1217</v>
      </c>
      <c r="B467" s="2" t="s">
        <v>1239</v>
      </c>
      <c r="C467" s="2" t="s">
        <v>60</v>
      </c>
      <c r="D467" s="16">
        <v>0</v>
      </c>
      <c r="E467" s="2" t="s">
        <v>1217</v>
      </c>
      <c r="F467" s="2" t="s">
        <v>190</v>
      </c>
      <c r="G467" s="2" t="s">
        <v>1240</v>
      </c>
      <c r="H467" s="17">
        <v>28240</v>
      </c>
      <c r="I467" s="2"/>
      <c r="J467" s="2"/>
      <c r="K467" s="17">
        <v>28240</v>
      </c>
      <c r="L467" s="17">
        <v>3025.71</v>
      </c>
      <c r="M467" s="17">
        <v>25214.29</v>
      </c>
      <c r="N467" s="17">
        <v>28240</v>
      </c>
      <c r="O467" s="2"/>
      <c r="P467" s="2"/>
      <c r="Q467" s="2" t="s">
        <v>56</v>
      </c>
      <c r="R467" s="5">
        <f t="shared" si="21"/>
        <v>28240</v>
      </c>
      <c r="S467" s="5">
        <f t="shared" si="22"/>
        <v>28240</v>
      </c>
      <c r="T467" s="5">
        <f t="shared" si="23"/>
        <v>0</v>
      </c>
    </row>
    <row r="468" spans="1:20">
      <c r="A468" s="2" t="s">
        <v>1217</v>
      </c>
      <c r="B468" s="2" t="s">
        <v>1241</v>
      </c>
      <c r="C468" s="2" t="s">
        <v>34</v>
      </c>
      <c r="D468" s="16">
        <v>60</v>
      </c>
      <c r="E468" s="2" t="s">
        <v>1223</v>
      </c>
      <c r="F468" s="2" t="s">
        <v>1242</v>
      </c>
      <c r="G468" s="2" t="s">
        <v>1243</v>
      </c>
      <c r="H468" s="17">
        <v>126034</v>
      </c>
      <c r="I468" s="2"/>
      <c r="J468" s="2"/>
      <c r="K468" s="17">
        <v>126034</v>
      </c>
      <c r="L468" s="17">
        <v>13503.64</v>
      </c>
      <c r="M468" s="17">
        <v>112530.36</v>
      </c>
      <c r="N468" s="17">
        <v>126034</v>
      </c>
      <c r="O468" s="2"/>
      <c r="P468" s="2"/>
      <c r="Q468" s="2" t="s">
        <v>25</v>
      </c>
      <c r="R468" s="5">
        <f t="shared" si="21"/>
        <v>126034</v>
      </c>
      <c r="S468" s="5">
        <f t="shared" si="22"/>
        <v>126034</v>
      </c>
      <c r="T468" s="5">
        <f t="shared" si="23"/>
        <v>0</v>
      </c>
    </row>
    <row r="469" spans="1:20">
      <c r="A469" s="2" t="s">
        <v>1217</v>
      </c>
      <c r="B469" s="2" t="s">
        <v>1244</v>
      </c>
      <c r="C469" s="2" t="s">
        <v>64</v>
      </c>
      <c r="D469" s="16">
        <v>30</v>
      </c>
      <c r="E469" s="2" t="s">
        <v>1231</v>
      </c>
      <c r="F469" s="2" t="s">
        <v>1245</v>
      </c>
      <c r="G469" s="2" t="s">
        <v>1246</v>
      </c>
      <c r="H469" s="17">
        <v>1442300</v>
      </c>
      <c r="I469" s="2"/>
      <c r="J469" s="2"/>
      <c r="K469" s="17">
        <v>1442300</v>
      </c>
      <c r="L469" s="17">
        <v>154532.14000000001</v>
      </c>
      <c r="M469" s="17">
        <v>1287767.8600000001</v>
      </c>
      <c r="N469" s="17">
        <v>1442300</v>
      </c>
      <c r="O469" s="2"/>
      <c r="P469" s="2"/>
      <c r="Q469" s="2" t="s">
        <v>56</v>
      </c>
      <c r="R469" s="5">
        <f t="shared" si="21"/>
        <v>1442300</v>
      </c>
      <c r="S469" s="5">
        <f t="shared" si="22"/>
        <v>1442300</v>
      </c>
      <c r="T469" s="5">
        <f t="shared" si="23"/>
        <v>0</v>
      </c>
    </row>
    <row r="470" spans="1:20">
      <c r="A470" s="2" t="s">
        <v>1217</v>
      </c>
      <c r="B470" s="2" t="s">
        <v>1247</v>
      </c>
      <c r="C470" s="2" t="s">
        <v>60</v>
      </c>
      <c r="D470" s="16">
        <v>0</v>
      </c>
      <c r="E470" s="2" t="s">
        <v>1217</v>
      </c>
      <c r="F470" s="2" t="s">
        <v>1248</v>
      </c>
      <c r="G470" s="2" t="s">
        <v>1249</v>
      </c>
      <c r="H470" s="17">
        <v>106715</v>
      </c>
      <c r="I470" s="2"/>
      <c r="J470" s="2"/>
      <c r="K470" s="17">
        <v>106715</v>
      </c>
      <c r="L470" s="17">
        <v>11433.75</v>
      </c>
      <c r="M470" s="17">
        <v>95281.25</v>
      </c>
      <c r="N470" s="17">
        <v>106715</v>
      </c>
      <c r="O470" s="2"/>
      <c r="P470" s="2"/>
      <c r="Q470" s="2" t="s">
        <v>30</v>
      </c>
      <c r="R470" s="5">
        <f t="shared" si="21"/>
        <v>106715</v>
      </c>
      <c r="S470" s="5">
        <f t="shared" si="22"/>
        <v>106715</v>
      </c>
      <c r="T470" s="5">
        <f t="shared" si="23"/>
        <v>0</v>
      </c>
    </row>
    <row r="471" spans="1:20">
      <c r="A471" s="2" t="s">
        <v>1217</v>
      </c>
      <c r="B471" s="2" t="s">
        <v>1250</v>
      </c>
      <c r="C471" s="2" t="s">
        <v>60</v>
      </c>
      <c r="D471" s="16">
        <v>0</v>
      </c>
      <c r="E471" s="2" t="s">
        <v>1217</v>
      </c>
      <c r="F471" s="2" t="s">
        <v>196</v>
      </c>
      <c r="G471" s="2" t="s">
        <v>1251</v>
      </c>
      <c r="H471" s="17">
        <v>740550</v>
      </c>
      <c r="I471" s="2"/>
      <c r="J471" s="2"/>
      <c r="K471" s="17">
        <v>740550</v>
      </c>
      <c r="L471" s="17">
        <v>79344.639999999999</v>
      </c>
      <c r="M471" s="17">
        <v>661205.36</v>
      </c>
      <c r="N471" s="17">
        <v>740550</v>
      </c>
      <c r="O471" s="2"/>
      <c r="P471" s="2"/>
      <c r="Q471" s="2" t="s">
        <v>56</v>
      </c>
      <c r="R471" s="5">
        <f t="shared" si="21"/>
        <v>740550</v>
      </c>
      <c r="S471" s="5">
        <f t="shared" si="22"/>
        <v>740550</v>
      </c>
      <c r="T471" s="5">
        <f t="shared" si="23"/>
        <v>0</v>
      </c>
    </row>
    <row r="472" spans="1:20">
      <c r="A472" s="2" t="s">
        <v>1217</v>
      </c>
      <c r="B472" s="2" t="s">
        <v>1252</v>
      </c>
      <c r="C472" s="2" t="s">
        <v>23</v>
      </c>
      <c r="D472" s="16">
        <v>30</v>
      </c>
      <c r="E472" s="2" t="s">
        <v>1231</v>
      </c>
      <c r="F472" s="2" t="s">
        <v>457</v>
      </c>
      <c r="G472" s="2" t="s">
        <v>1253</v>
      </c>
      <c r="H472" s="17">
        <v>9800</v>
      </c>
      <c r="I472" s="2"/>
      <c r="J472" s="2"/>
      <c r="K472" s="17">
        <v>9800</v>
      </c>
      <c r="L472" s="17">
        <v>1050</v>
      </c>
      <c r="M472" s="17">
        <v>8750</v>
      </c>
      <c r="N472" s="17">
        <v>9800</v>
      </c>
      <c r="O472" s="2"/>
      <c r="P472" s="2"/>
      <c r="Q472" s="2" t="s">
        <v>56</v>
      </c>
      <c r="R472" s="5">
        <f t="shared" si="21"/>
        <v>9800</v>
      </c>
      <c r="S472" s="5">
        <f t="shared" si="22"/>
        <v>9800</v>
      </c>
      <c r="T472" s="5">
        <f t="shared" si="23"/>
        <v>0</v>
      </c>
    </row>
    <row r="473" spans="1:20">
      <c r="A473" s="2" t="s">
        <v>1217</v>
      </c>
      <c r="B473" s="2" t="s">
        <v>1254</v>
      </c>
      <c r="C473" s="2" t="s">
        <v>146</v>
      </c>
      <c r="D473" s="16">
        <v>90</v>
      </c>
      <c r="E473" s="2" t="s">
        <v>1235</v>
      </c>
      <c r="F473" s="2" t="s">
        <v>1255</v>
      </c>
      <c r="G473" s="2" t="s">
        <v>1256</v>
      </c>
      <c r="H473" s="17">
        <v>2280000</v>
      </c>
      <c r="I473" s="2"/>
      <c r="J473" s="2"/>
      <c r="K473" s="17">
        <v>2280000</v>
      </c>
      <c r="L473" s="17">
        <v>244285.71</v>
      </c>
      <c r="M473" s="17">
        <v>2035714.29</v>
      </c>
      <c r="N473" s="17">
        <v>2280000</v>
      </c>
      <c r="O473" s="2"/>
      <c r="P473" s="2"/>
      <c r="Q473" s="2" t="s">
        <v>759</v>
      </c>
      <c r="R473" s="5">
        <f t="shared" si="21"/>
        <v>2280000</v>
      </c>
      <c r="S473" s="5">
        <f t="shared" si="22"/>
        <v>2280000</v>
      </c>
      <c r="T473" s="5">
        <f t="shared" si="23"/>
        <v>0</v>
      </c>
    </row>
    <row r="474" spans="1:20">
      <c r="A474" s="2" t="s">
        <v>1217</v>
      </c>
      <c r="B474" s="2" t="s">
        <v>1257</v>
      </c>
      <c r="C474" s="2" t="s">
        <v>73</v>
      </c>
      <c r="D474" s="16">
        <v>30</v>
      </c>
      <c r="E474" s="2" t="s">
        <v>1231</v>
      </c>
      <c r="F474" s="2" t="s">
        <v>1114</v>
      </c>
      <c r="G474" s="2" t="s">
        <v>1258</v>
      </c>
      <c r="H474" s="17">
        <v>80640</v>
      </c>
      <c r="I474" s="2"/>
      <c r="J474" s="2"/>
      <c r="K474" s="17">
        <v>80640</v>
      </c>
      <c r="L474" s="17">
        <v>8640</v>
      </c>
      <c r="M474" s="17">
        <v>72000</v>
      </c>
      <c r="N474" s="17">
        <v>80640</v>
      </c>
      <c r="O474" s="2"/>
      <c r="P474" s="2"/>
      <c r="Q474" s="2" t="s">
        <v>105</v>
      </c>
      <c r="R474" s="5">
        <f t="shared" si="21"/>
        <v>80640</v>
      </c>
      <c r="S474" s="5">
        <f t="shared" si="22"/>
        <v>80640</v>
      </c>
      <c r="T474" s="5">
        <f t="shared" si="23"/>
        <v>0</v>
      </c>
    </row>
    <row r="475" spans="1:20">
      <c r="A475" s="2" t="s">
        <v>1217</v>
      </c>
      <c r="B475" s="2" t="s">
        <v>1259</v>
      </c>
      <c r="C475" s="2" t="s">
        <v>73</v>
      </c>
      <c r="D475" s="16">
        <v>30</v>
      </c>
      <c r="E475" s="2" t="s">
        <v>1231</v>
      </c>
      <c r="F475" s="2" t="s">
        <v>1114</v>
      </c>
      <c r="G475" s="2" t="s">
        <v>1260</v>
      </c>
      <c r="H475" s="17">
        <v>215287</v>
      </c>
      <c r="I475" s="2"/>
      <c r="J475" s="2"/>
      <c r="K475" s="17">
        <v>215287</v>
      </c>
      <c r="L475" s="17">
        <v>23066.46</v>
      </c>
      <c r="M475" s="17">
        <v>192220.54</v>
      </c>
      <c r="N475" s="17">
        <v>215287</v>
      </c>
      <c r="O475" s="2"/>
      <c r="P475" s="2"/>
      <c r="Q475" s="2" t="s">
        <v>105</v>
      </c>
      <c r="R475" s="5">
        <f t="shared" si="21"/>
        <v>215287</v>
      </c>
      <c r="S475" s="5">
        <f t="shared" si="22"/>
        <v>215287</v>
      </c>
      <c r="T475" s="5">
        <f t="shared" si="23"/>
        <v>0</v>
      </c>
    </row>
    <row r="476" spans="1:20">
      <c r="A476" s="2" t="s">
        <v>1217</v>
      </c>
      <c r="B476" s="2" t="s">
        <v>1261</v>
      </c>
      <c r="C476" s="2" t="s">
        <v>333</v>
      </c>
      <c r="D476" s="16">
        <v>30</v>
      </c>
      <c r="E476" s="2" t="s">
        <v>1231</v>
      </c>
      <c r="F476" s="2" t="s">
        <v>1262</v>
      </c>
      <c r="G476" s="2" t="s">
        <v>1263</v>
      </c>
      <c r="H476" s="17">
        <v>261896</v>
      </c>
      <c r="I476" s="2"/>
      <c r="J476" s="2"/>
      <c r="K476" s="17">
        <v>261896</v>
      </c>
      <c r="L476" s="17">
        <v>28060.29</v>
      </c>
      <c r="M476" s="17">
        <v>233835.71</v>
      </c>
      <c r="N476" s="17">
        <v>261896</v>
      </c>
      <c r="O476" s="2"/>
      <c r="P476" s="2"/>
      <c r="Q476" s="2" t="s">
        <v>270</v>
      </c>
      <c r="R476" s="5">
        <f t="shared" si="21"/>
        <v>261896</v>
      </c>
      <c r="S476" s="5">
        <f t="shared" si="22"/>
        <v>261896</v>
      </c>
      <c r="T476" s="5">
        <f t="shared" si="23"/>
        <v>0</v>
      </c>
    </row>
    <row r="477" spans="1:20">
      <c r="A477" s="2" t="s">
        <v>1217</v>
      </c>
      <c r="B477" s="2" t="s">
        <v>1264</v>
      </c>
      <c r="C477" s="2" t="s">
        <v>333</v>
      </c>
      <c r="D477" s="16">
        <v>30</v>
      </c>
      <c r="E477" s="2" t="s">
        <v>1231</v>
      </c>
      <c r="F477" s="2" t="s">
        <v>1262</v>
      </c>
      <c r="G477" s="2" t="s">
        <v>1265</v>
      </c>
      <c r="H477" s="17">
        <v>212525</v>
      </c>
      <c r="I477" s="2"/>
      <c r="J477" s="2"/>
      <c r="K477" s="17">
        <v>212525</v>
      </c>
      <c r="L477" s="17">
        <v>22770.54</v>
      </c>
      <c r="M477" s="17">
        <v>189754.46</v>
      </c>
      <c r="N477" s="17">
        <v>212525</v>
      </c>
      <c r="O477" s="2"/>
      <c r="P477" s="2"/>
      <c r="Q477" s="2" t="s">
        <v>270</v>
      </c>
      <c r="R477" s="5">
        <f t="shared" si="21"/>
        <v>212525</v>
      </c>
      <c r="S477" s="5">
        <f t="shared" si="22"/>
        <v>212525</v>
      </c>
      <c r="T477" s="5">
        <f t="shared" si="23"/>
        <v>0</v>
      </c>
    </row>
    <row r="478" spans="1:20">
      <c r="A478" s="2" t="s">
        <v>1217</v>
      </c>
      <c r="B478" s="2" t="s">
        <v>1266</v>
      </c>
      <c r="C478" s="2" t="s">
        <v>60</v>
      </c>
      <c r="D478" s="16">
        <v>0</v>
      </c>
      <c r="E478" s="2" t="s">
        <v>1217</v>
      </c>
      <c r="F478" s="2" t="s">
        <v>605</v>
      </c>
      <c r="G478" s="2" t="s">
        <v>1267</v>
      </c>
      <c r="H478" s="17">
        <v>1154454.3999999999</v>
      </c>
      <c r="I478" s="2"/>
      <c r="J478" s="2"/>
      <c r="K478" s="17">
        <v>1154454.3999999999</v>
      </c>
      <c r="L478" s="17">
        <v>123691.54</v>
      </c>
      <c r="M478" s="17">
        <v>1030762.86</v>
      </c>
      <c r="N478" s="17">
        <v>1154454.3999999999</v>
      </c>
      <c r="O478" s="2"/>
      <c r="P478" s="2"/>
      <c r="Q478" s="2" t="s">
        <v>56</v>
      </c>
      <c r="R478" s="5">
        <f t="shared" si="21"/>
        <v>1154454.3999999999</v>
      </c>
      <c r="S478" s="5">
        <f t="shared" si="22"/>
        <v>1154454.3999999999</v>
      </c>
      <c r="T478" s="5">
        <f t="shared" si="23"/>
        <v>0</v>
      </c>
    </row>
    <row r="479" spans="1:20">
      <c r="A479" s="2" t="s">
        <v>1217</v>
      </c>
      <c r="B479" s="2" t="s">
        <v>1268</v>
      </c>
      <c r="C479" s="2" t="s">
        <v>146</v>
      </c>
      <c r="D479" s="16">
        <v>90</v>
      </c>
      <c r="E479" s="2" t="s">
        <v>1235</v>
      </c>
      <c r="F479" s="2" t="s">
        <v>193</v>
      </c>
      <c r="G479" s="2" t="s">
        <v>1269</v>
      </c>
      <c r="H479" s="17">
        <v>436450</v>
      </c>
      <c r="I479" s="2"/>
      <c r="J479" s="2"/>
      <c r="K479" s="17">
        <v>436450</v>
      </c>
      <c r="L479" s="17">
        <v>46762.5</v>
      </c>
      <c r="M479" s="17">
        <v>389687.5</v>
      </c>
      <c r="N479" s="17">
        <v>436450</v>
      </c>
      <c r="O479" s="2"/>
      <c r="P479" s="2"/>
      <c r="Q479" s="2" t="s">
        <v>36</v>
      </c>
      <c r="R479" s="5">
        <f t="shared" si="21"/>
        <v>436450</v>
      </c>
      <c r="S479" s="5">
        <f t="shared" si="22"/>
        <v>436450</v>
      </c>
      <c r="T479" s="5">
        <f t="shared" si="23"/>
        <v>0</v>
      </c>
    </row>
    <row r="480" spans="1:20">
      <c r="A480" s="2" t="s">
        <v>1217</v>
      </c>
      <c r="B480" s="2" t="s">
        <v>1270</v>
      </c>
      <c r="C480" s="2" t="s">
        <v>146</v>
      </c>
      <c r="D480" s="16">
        <v>90</v>
      </c>
      <c r="E480" s="2" t="s">
        <v>1235</v>
      </c>
      <c r="F480" s="2" t="s">
        <v>754</v>
      </c>
      <c r="G480" s="2" t="s">
        <v>1271</v>
      </c>
      <c r="H480" s="17">
        <v>496650</v>
      </c>
      <c r="I480" s="2"/>
      <c r="J480" s="2"/>
      <c r="K480" s="17">
        <v>496650</v>
      </c>
      <c r="L480" s="17">
        <v>53212.5</v>
      </c>
      <c r="M480" s="17">
        <v>443437.5</v>
      </c>
      <c r="N480" s="17">
        <v>496650</v>
      </c>
      <c r="O480" s="2"/>
      <c r="P480" s="2"/>
      <c r="Q480" s="2" t="s">
        <v>36</v>
      </c>
      <c r="R480" s="5">
        <f t="shared" si="21"/>
        <v>496650</v>
      </c>
      <c r="S480" s="5">
        <f t="shared" si="22"/>
        <v>496650</v>
      </c>
      <c r="T480" s="5">
        <f t="shared" si="23"/>
        <v>0</v>
      </c>
    </row>
    <row r="481" spans="1:20">
      <c r="A481" s="2" t="s">
        <v>1217</v>
      </c>
      <c r="B481" s="2" t="s">
        <v>1272</v>
      </c>
      <c r="C481" s="2" t="s">
        <v>146</v>
      </c>
      <c r="D481" s="16">
        <v>90</v>
      </c>
      <c r="E481" s="2" t="s">
        <v>1235</v>
      </c>
      <c r="F481" s="2" t="s">
        <v>193</v>
      </c>
      <c r="G481" s="2" t="s">
        <v>1273</v>
      </c>
      <c r="H481" s="17">
        <v>327240</v>
      </c>
      <c r="I481" s="2"/>
      <c r="J481" s="2"/>
      <c r="K481" s="17">
        <v>327240</v>
      </c>
      <c r="L481" s="17">
        <v>35061.43</v>
      </c>
      <c r="M481" s="17">
        <v>292178.57</v>
      </c>
      <c r="N481" s="17">
        <v>327240</v>
      </c>
      <c r="O481" s="2"/>
      <c r="P481" s="2"/>
      <c r="Q481" s="2" t="s">
        <v>36</v>
      </c>
      <c r="R481" s="5">
        <f t="shared" si="21"/>
        <v>327240</v>
      </c>
      <c r="S481" s="5">
        <f t="shared" si="22"/>
        <v>327240</v>
      </c>
      <c r="T481" s="5">
        <f t="shared" si="23"/>
        <v>0</v>
      </c>
    </row>
    <row r="482" spans="1:20">
      <c r="A482" s="2" t="s">
        <v>1217</v>
      </c>
      <c r="B482" s="2" t="s">
        <v>1274</v>
      </c>
      <c r="C482" s="2" t="s">
        <v>60</v>
      </c>
      <c r="D482" s="16">
        <v>0</v>
      </c>
      <c r="E482" s="2" t="s">
        <v>1217</v>
      </c>
      <c r="F482" s="2" t="s">
        <v>412</v>
      </c>
      <c r="G482" s="2" t="s">
        <v>1275</v>
      </c>
      <c r="H482" s="17">
        <v>11760</v>
      </c>
      <c r="I482" s="19">
        <v>-352.8</v>
      </c>
      <c r="J482" s="2"/>
      <c r="K482" s="17">
        <v>11407.2</v>
      </c>
      <c r="L482" s="17">
        <v>1222.2</v>
      </c>
      <c r="M482" s="17">
        <v>10185</v>
      </c>
      <c r="N482" s="17">
        <v>11407.2</v>
      </c>
      <c r="O482" s="2"/>
      <c r="P482" s="2"/>
      <c r="Q482" s="2" t="s">
        <v>56</v>
      </c>
      <c r="R482" s="5">
        <f t="shared" si="21"/>
        <v>11407.2</v>
      </c>
      <c r="S482" s="5">
        <f t="shared" si="22"/>
        <v>11407.2</v>
      </c>
      <c r="T482" s="5">
        <f t="shared" si="23"/>
        <v>0</v>
      </c>
    </row>
    <row r="483" spans="1:20">
      <c r="A483" s="2" t="s">
        <v>1217</v>
      </c>
      <c r="B483" s="2" t="s">
        <v>1276</v>
      </c>
      <c r="C483" s="2" t="s">
        <v>146</v>
      </c>
      <c r="D483" s="16">
        <v>90</v>
      </c>
      <c r="E483" s="2" t="s">
        <v>1235</v>
      </c>
      <c r="F483" s="2" t="s">
        <v>193</v>
      </c>
      <c r="G483" s="2" t="s">
        <v>1277</v>
      </c>
      <c r="H483" s="17">
        <v>90300</v>
      </c>
      <c r="I483" s="2"/>
      <c r="J483" s="2"/>
      <c r="K483" s="17">
        <v>90300</v>
      </c>
      <c r="L483" s="17">
        <v>9675</v>
      </c>
      <c r="M483" s="17">
        <v>80625</v>
      </c>
      <c r="N483" s="17">
        <v>90300</v>
      </c>
      <c r="O483" s="2"/>
      <c r="P483" s="2"/>
      <c r="Q483" s="2" t="s">
        <v>36</v>
      </c>
      <c r="R483" s="5">
        <f t="shared" si="21"/>
        <v>90300</v>
      </c>
      <c r="S483" s="5">
        <f t="shared" si="22"/>
        <v>90300</v>
      </c>
      <c r="T483" s="5">
        <f t="shared" si="23"/>
        <v>0</v>
      </c>
    </row>
    <row r="484" spans="1:20">
      <c r="A484" s="2" t="s">
        <v>1217</v>
      </c>
      <c r="B484" s="2" t="s">
        <v>1278</v>
      </c>
      <c r="C484" s="2" t="s">
        <v>73</v>
      </c>
      <c r="D484" s="16">
        <v>30</v>
      </c>
      <c r="E484" s="2" t="s">
        <v>1231</v>
      </c>
      <c r="F484" s="2" t="s">
        <v>812</v>
      </c>
      <c r="G484" s="2" t="s">
        <v>1279</v>
      </c>
      <c r="H484" s="17">
        <v>147233</v>
      </c>
      <c r="I484" s="2"/>
      <c r="J484" s="2"/>
      <c r="K484" s="17">
        <v>147233</v>
      </c>
      <c r="L484" s="17">
        <v>15774.96</v>
      </c>
      <c r="M484" s="17">
        <v>131458.04</v>
      </c>
      <c r="N484" s="17">
        <v>147233</v>
      </c>
      <c r="O484" s="2"/>
      <c r="P484" s="2"/>
      <c r="Q484" s="2" t="s">
        <v>56</v>
      </c>
      <c r="R484" s="5">
        <f t="shared" si="21"/>
        <v>147233</v>
      </c>
      <c r="S484" s="5">
        <f t="shared" si="22"/>
        <v>147233</v>
      </c>
      <c r="T484" s="5">
        <f t="shared" si="23"/>
        <v>0</v>
      </c>
    </row>
    <row r="485" spans="1:20">
      <c r="A485" s="2" t="s">
        <v>1217</v>
      </c>
      <c r="B485" s="2" t="s">
        <v>1280</v>
      </c>
      <c r="C485" s="2" t="s">
        <v>60</v>
      </c>
      <c r="D485" s="16">
        <v>0</v>
      </c>
      <c r="E485" s="2" t="s">
        <v>1217</v>
      </c>
      <c r="F485" s="2" t="s">
        <v>605</v>
      </c>
      <c r="G485" s="2" t="s">
        <v>1281</v>
      </c>
      <c r="H485" s="17">
        <v>255000</v>
      </c>
      <c r="I485" s="2"/>
      <c r="J485" s="2"/>
      <c r="K485" s="17">
        <v>255000</v>
      </c>
      <c r="L485" s="17">
        <v>27321.43</v>
      </c>
      <c r="M485" s="17">
        <v>227678.57</v>
      </c>
      <c r="N485" s="17">
        <v>255000</v>
      </c>
      <c r="O485" s="2"/>
      <c r="P485" s="2"/>
      <c r="Q485" s="2" t="s">
        <v>56</v>
      </c>
      <c r="R485" s="5">
        <f t="shared" si="21"/>
        <v>255000</v>
      </c>
      <c r="S485" s="5">
        <f t="shared" si="22"/>
        <v>255000</v>
      </c>
      <c r="T485" s="5">
        <f t="shared" si="23"/>
        <v>0</v>
      </c>
    </row>
    <row r="486" spans="1:20">
      <c r="A486" s="2" t="s">
        <v>1217</v>
      </c>
      <c r="B486" s="2" t="s">
        <v>1282</v>
      </c>
      <c r="C486" s="2" t="s">
        <v>68</v>
      </c>
      <c r="D486" s="16">
        <v>60</v>
      </c>
      <c r="E486" s="2" t="s">
        <v>1223</v>
      </c>
      <c r="F486" s="2" t="s">
        <v>70</v>
      </c>
      <c r="G486" s="2" t="s">
        <v>1283</v>
      </c>
      <c r="H486" s="17">
        <v>2419200</v>
      </c>
      <c r="I486" s="2"/>
      <c r="J486" s="2"/>
      <c r="K486" s="17">
        <v>2419200</v>
      </c>
      <c r="L486" s="17">
        <v>259200</v>
      </c>
      <c r="M486" s="17">
        <v>2160000</v>
      </c>
      <c r="N486" s="17">
        <v>2419200</v>
      </c>
      <c r="O486" s="2"/>
      <c r="P486" s="2"/>
      <c r="Q486" s="2" t="s">
        <v>69</v>
      </c>
      <c r="R486" s="5">
        <f t="shared" si="21"/>
        <v>2419200</v>
      </c>
      <c r="S486" s="5">
        <f t="shared" si="22"/>
        <v>2419200</v>
      </c>
      <c r="T486" s="5">
        <f t="shared" si="23"/>
        <v>0</v>
      </c>
    </row>
    <row r="487" spans="1:20">
      <c r="A487" s="2" t="s">
        <v>1217</v>
      </c>
      <c r="B487" s="2" t="s">
        <v>1284</v>
      </c>
      <c r="C487" s="2" t="s">
        <v>29</v>
      </c>
      <c r="D487" s="16">
        <v>0</v>
      </c>
      <c r="E487" s="2" t="s">
        <v>1217</v>
      </c>
      <c r="F487" s="2" t="s">
        <v>40</v>
      </c>
      <c r="G487" s="2" t="s">
        <v>1285</v>
      </c>
      <c r="H487" s="17">
        <v>74600</v>
      </c>
      <c r="I487" s="2"/>
      <c r="J487" s="2"/>
      <c r="K487" s="17">
        <v>74600</v>
      </c>
      <c r="L487" s="17">
        <v>7992.86</v>
      </c>
      <c r="M487" s="17">
        <v>66607.14</v>
      </c>
      <c r="N487" s="17">
        <v>74600</v>
      </c>
      <c r="O487" s="2"/>
      <c r="P487" s="2"/>
      <c r="Q487" s="2" t="s">
        <v>30</v>
      </c>
      <c r="R487" s="5">
        <f t="shared" si="21"/>
        <v>74600</v>
      </c>
      <c r="S487" s="5">
        <f t="shared" si="22"/>
        <v>74600</v>
      </c>
      <c r="T487" s="5">
        <f t="shared" si="23"/>
        <v>0</v>
      </c>
    </row>
    <row r="488" spans="1:20">
      <c r="A488" s="2" t="s">
        <v>1287</v>
      </c>
      <c r="B488" s="2" t="s">
        <v>1286</v>
      </c>
      <c r="C488" s="2" t="s">
        <v>18</v>
      </c>
      <c r="D488" s="16">
        <v>0</v>
      </c>
      <c r="E488" s="2" t="s">
        <v>1287</v>
      </c>
      <c r="F488" s="2" t="s">
        <v>1288</v>
      </c>
      <c r="G488" s="2" t="s">
        <v>1289</v>
      </c>
      <c r="H488" s="17">
        <v>83772</v>
      </c>
      <c r="I488" s="19">
        <v>-1675.44</v>
      </c>
      <c r="J488" s="2"/>
      <c r="K488" s="17">
        <v>82096.56</v>
      </c>
      <c r="L488" s="17">
        <v>8796.06</v>
      </c>
      <c r="M488" s="17">
        <v>73300.5</v>
      </c>
      <c r="N488" s="17">
        <v>82096.56</v>
      </c>
      <c r="O488" s="2"/>
      <c r="P488" s="2"/>
      <c r="Q488" s="2" t="s">
        <v>46</v>
      </c>
      <c r="R488" s="5">
        <f t="shared" si="21"/>
        <v>82096.56</v>
      </c>
      <c r="S488" s="5">
        <f t="shared" si="22"/>
        <v>82096.56</v>
      </c>
      <c r="T488" s="5">
        <f t="shared" si="23"/>
        <v>0</v>
      </c>
    </row>
    <row r="489" spans="1:20">
      <c r="A489" s="2" t="s">
        <v>1287</v>
      </c>
      <c r="B489" s="2" t="s">
        <v>1290</v>
      </c>
      <c r="C489" s="2" t="s">
        <v>18</v>
      </c>
      <c r="D489" s="16">
        <v>0</v>
      </c>
      <c r="E489" s="2" t="s">
        <v>1287</v>
      </c>
      <c r="F489" s="2" t="s">
        <v>1288</v>
      </c>
      <c r="G489" s="2" t="s">
        <v>1291</v>
      </c>
      <c r="H489" s="17">
        <v>18000</v>
      </c>
      <c r="I489" s="19">
        <v>-360</v>
      </c>
      <c r="J489" s="2"/>
      <c r="K489" s="17">
        <v>17640</v>
      </c>
      <c r="L489" s="17">
        <v>1890</v>
      </c>
      <c r="M489" s="17">
        <v>15750</v>
      </c>
      <c r="N489" s="17">
        <v>17640</v>
      </c>
      <c r="O489" s="2"/>
      <c r="P489" s="2"/>
      <c r="Q489" s="2" t="s">
        <v>46</v>
      </c>
      <c r="R489" s="5">
        <f t="shared" si="21"/>
        <v>17640</v>
      </c>
      <c r="S489" s="5">
        <f t="shared" si="22"/>
        <v>17640</v>
      </c>
      <c r="T489" s="5">
        <f t="shared" si="23"/>
        <v>0</v>
      </c>
    </row>
    <row r="490" spans="1:20">
      <c r="A490" s="2" t="s">
        <v>1287</v>
      </c>
      <c r="B490" s="2" t="s">
        <v>1292</v>
      </c>
      <c r="C490" s="2" t="s">
        <v>18</v>
      </c>
      <c r="D490" s="16">
        <v>0</v>
      </c>
      <c r="E490" s="2" t="s">
        <v>1287</v>
      </c>
      <c r="F490" s="2" t="s">
        <v>1288</v>
      </c>
      <c r="G490" s="2" t="s">
        <v>1293</v>
      </c>
      <c r="H490" s="17">
        <v>25670</v>
      </c>
      <c r="I490" s="19">
        <v>-513.4</v>
      </c>
      <c r="J490" s="2"/>
      <c r="K490" s="17">
        <v>25156.6</v>
      </c>
      <c r="L490" s="17">
        <v>2695.35</v>
      </c>
      <c r="M490" s="17">
        <v>22461.25</v>
      </c>
      <c r="N490" s="17">
        <v>25156.6</v>
      </c>
      <c r="O490" s="2"/>
      <c r="P490" s="2"/>
      <c r="Q490" s="2" t="s">
        <v>46</v>
      </c>
      <c r="R490" s="5">
        <f t="shared" si="21"/>
        <v>25156.6</v>
      </c>
      <c r="S490" s="5">
        <f t="shared" si="22"/>
        <v>25156.6</v>
      </c>
      <c r="T490" s="5">
        <f t="shared" si="23"/>
        <v>0</v>
      </c>
    </row>
    <row r="491" spans="1:20">
      <c r="A491" s="2" t="s">
        <v>1287</v>
      </c>
      <c r="B491" s="2" t="s">
        <v>1294</v>
      </c>
      <c r="C491" s="2" t="s">
        <v>18</v>
      </c>
      <c r="D491" s="16">
        <v>0</v>
      </c>
      <c r="E491" s="2" t="s">
        <v>1287</v>
      </c>
      <c r="F491" s="2" t="s">
        <v>1288</v>
      </c>
      <c r="G491" s="2" t="s">
        <v>1295</v>
      </c>
      <c r="H491" s="17">
        <v>13090</v>
      </c>
      <c r="I491" s="19">
        <v>-261.8</v>
      </c>
      <c r="J491" s="2"/>
      <c r="K491" s="17">
        <v>12828.2</v>
      </c>
      <c r="L491" s="17">
        <v>1374.45</v>
      </c>
      <c r="M491" s="17">
        <v>11453.75</v>
      </c>
      <c r="N491" s="17">
        <v>12828.2</v>
      </c>
      <c r="O491" s="2"/>
      <c r="P491" s="2"/>
      <c r="Q491" s="2" t="s">
        <v>46</v>
      </c>
      <c r="R491" s="5">
        <f t="shared" si="21"/>
        <v>12828.2</v>
      </c>
      <c r="S491" s="5">
        <f t="shared" si="22"/>
        <v>12828.2</v>
      </c>
      <c r="T491" s="5">
        <f t="shared" si="23"/>
        <v>0</v>
      </c>
    </row>
    <row r="492" spans="1:20">
      <c r="A492" s="2" t="s">
        <v>1287</v>
      </c>
      <c r="B492" s="2" t="s">
        <v>1296</v>
      </c>
      <c r="C492" s="2" t="s">
        <v>73</v>
      </c>
      <c r="D492" s="16">
        <v>30</v>
      </c>
      <c r="E492" s="2" t="s">
        <v>1297</v>
      </c>
      <c r="F492" s="2" t="s">
        <v>522</v>
      </c>
      <c r="G492" s="2" t="s">
        <v>1298</v>
      </c>
      <c r="H492" s="17">
        <v>289280</v>
      </c>
      <c r="I492" s="2"/>
      <c r="J492" s="2"/>
      <c r="K492" s="17">
        <v>289280</v>
      </c>
      <c r="L492" s="2"/>
      <c r="M492" s="17">
        <v>289280</v>
      </c>
      <c r="N492" s="17">
        <v>289280</v>
      </c>
      <c r="O492" s="2"/>
      <c r="P492" s="2"/>
      <c r="Q492" s="2" t="s">
        <v>46</v>
      </c>
      <c r="R492" s="5">
        <f t="shared" si="21"/>
        <v>289280</v>
      </c>
      <c r="S492" s="5">
        <f t="shared" si="22"/>
        <v>289280</v>
      </c>
      <c r="T492" s="5">
        <f t="shared" si="23"/>
        <v>0</v>
      </c>
    </row>
    <row r="493" spans="1:20">
      <c r="A493" s="2" t="s">
        <v>1287</v>
      </c>
      <c r="B493" s="2" t="s">
        <v>1299</v>
      </c>
      <c r="C493" s="2" t="s">
        <v>60</v>
      </c>
      <c r="D493" s="16">
        <v>0</v>
      </c>
      <c r="E493" s="2" t="s">
        <v>1287</v>
      </c>
      <c r="F493" s="2" t="s">
        <v>1300</v>
      </c>
      <c r="G493" s="2" t="s">
        <v>1301</v>
      </c>
      <c r="H493" s="17">
        <v>50875</v>
      </c>
      <c r="I493" s="2"/>
      <c r="J493" s="2"/>
      <c r="K493" s="17">
        <v>50875</v>
      </c>
      <c r="L493" s="17">
        <v>5450.89</v>
      </c>
      <c r="M493" s="17">
        <v>45424.11</v>
      </c>
      <c r="N493" s="17">
        <v>50875</v>
      </c>
      <c r="O493" s="2"/>
      <c r="P493" s="2"/>
      <c r="Q493" s="2" t="s">
        <v>56</v>
      </c>
      <c r="R493" s="5">
        <f t="shared" si="21"/>
        <v>50875</v>
      </c>
      <c r="S493" s="5">
        <f t="shared" si="22"/>
        <v>50875</v>
      </c>
      <c r="T493" s="5">
        <f t="shared" si="23"/>
        <v>0</v>
      </c>
    </row>
    <row r="494" spans="1:20">
      <c r="A494" s="2" t="s">
        <v>1287</v>
      </c>
      <c r="B494" s="2" t="s">
        <v>1302</v>
      </c>
      <c r="C494" s="2" t="s">
        <v>60</v>
      </c>
      <c r="D494" s="16">
        <v>0</v>
      </c>
      <c r="E494" s="2" t="s">
        <v>1287</v>
      </c>
      <c r="F494" s="2" t="s">
        <v>1300</v>
      </c>
      <c r="G494" s="2" t="s">
        <v>1303</v>
      </c>
      <c r="H494" s="17">
        <v>3540</v>
      </c>
      <c r="I494" s="2"/>
      <c r="J494" s="2"/>
      <c r="K494" s="17">
        <v>3540</v>
      </c>
      <c r="L494" s="18">
        <v>379.29</v>
      </c>
      <c r="M494" s="17">
        <v>3160.71</v>
      </c>
      <c r="N494" s="17">
        <v>3540</v>
      </c>
      <c r="O494" s="2"/>
      <c r="P494" s="2"/>
      <c r="Q494" s="2" t="s">
        <v>56</v>
      </c>
      <c r="R494" s="5">
        <f t="shared" si="21"/>
        <v>3540</v>
      </c>
      <c r="S494" s="5">
        <f t="shared" si="22"/>
        <v>3540</v>
      </c>
      <c r="T494" s="5">
        <f t="shared" si="23"/>
        <v>0</v>
      </c>
    </row>
    <row r="495" spans="1:20">
      <c r="A495" s="2" t="s">
        <v>1287</v>
      </c>
      <c r="B495" s="2" t="s">
        <v>1304</v>
      </c>
      <c r="C495" s="2" t="s">
        <v>60</v>
      </c>
      <c r="D495" s="16">
        <v>0</v>
      </c>
      <c r="E495" s="2" t="s">
        <v>1287</v>
      </c>
      <c r="F495" s="2" t="s">
        <v>211</v>
      </c>
      <c r="G495" s="2" t="s">
        <v>1305</v>
      </c>
      <c r="H495" s="17">
        <v>28800</v>
      </c>
      <c r="I495" s="2"/>
      <c r="J495" s="2"/>
      <c r="K495" s="17">
        <v>28800</v>
      </c>
      <c r="L495" s="17">
        <v>3085.71</v>
      </c>
      <c r="M495" s="17">
        <v>25714.29</v>
      </c>
      <c r="N495" s="17">
        <v>28800</v>
      </c>
      <c r="O495" s="2"/>
      <c r="P495" s="2"/>
      <c r="Q495" s="2" t="s">
        <v>56</v>
      </c>
      <c r="R495" s="5">
        <f t="shared" si="21"/>
        <v>28800</v>
      </c>
      <c r="S495" s="5">
        <f t="shared" si="22"/>
        <v>28800</v>
      </c>
      <c r="T495" s="5">
        <f t="shared" si="23"/>
        <v>0</v>
      </c>
    </row>
    <row r="496" spans="1:20">
      <c r="A496" s="2" t="s">
        <v>1287</v>
      </c>
      <c r="B496" s="2" t="s">
        <v>1306</v>
      </c>
      <c r="C496" s="2" t="s">
        <v>60</v>
      </c>
      <c r="D496" s="16">
        <v>0</v>
      </c>
      <c r="E496" s="2" t="s">
        <v>1287</v>
      </c>
      <c r="F496" s="2" t="s">
        <v>211</v>
      </c>
      <c r="G496" s="2" t="s">
        <v>1307</v>
      </c>
      <c r="H496" s="17">
        <v>28800</v>
      </c>
      <c r="I496" s="2"/>
      <c r="J496" s="2"/>
      <c r="K496" s="17">
        <v>28800</v>
      </c>
      <c r="L496" s="17">
        <v>3085.71</v>
      </c>
      <c r="M496" s="17">
        <v>25714.29</v>
      </c>
      <c r="N496" s="17">
        <v>28800</v>
      </c>
      <c r="O496" s="2"/>
      <c r="P496" s="2"/>
      <c r="Q496" s="2" t="s">
        <v>56</v>
      </c>
      <c r="R496" s="5">
        <f t="shared" si="21"/>
        <v>28800</v>
      </c>
      <c r="S496" s="5">
        <f t="shared" si="22"/>
        <v>28800</v>
      </c>
      <c r="T496" s="5">
        <f t="shared" si="23"/>
        <v>0</v>
      </c>
    </row>
    <row r="497" spans="1:20">
      <c r="A497" s="2" t="s">
        <v>1287</v>
      </c>
      <c r="B497" s="2" t="s">
        <v>1308</v>
      </c>
      <c r="C497" s="2" t="s">
        <v>60</v>
      </c>
      <c r="D497" s="16">
        <v>0</v>
      </c>
      <c r="E497" s="2" t="s">
        <v>1287</v>
      </c>
      <c r="F497" s="2" t="s">
        <v>211</v>
      </c>
      <c r="G497" s="2" t="s">
        <v>1309</v>
      </c>
      <c r="H497" s="17">
        <v>28800</v>
      </c>
      <c r="I497" s="2"/>
      <c r="J497" s="2"/>
      <c r="K497" s="17">
        <v>28800</v>
      </c>
      <c r="L497" s="17">
        <v>3085.71</v>
      </c>
      <c r="M497" s="17">
        <v>25714.29</v>
      </c>
      <c r="N497" s="17">
        <v>28800</v>
      </c>
      <c r="O497" s="2"/>
      <c r="P497" s="2"/>
      <c r="Q497" s="2" t="s">
        <v>56</v>
      </c>
      <c r="R497" s="5">
        <f t="shared" si="21"/>
        <v>28800</v>
      </c>
      <c r="S497" s="5">
        <f t="shared" si="22"/>
        <v>28800</v>
      </c>
      <c r="T497" s="5">
        <f t="shared" si="23"/>
        <v>0</v>
      </c>
    </row>
    <row r="498" spans="1:20">
      <c r="A498" s="2" t="s">
        <v>1287</v>
      </c>
      <c r="B498" s="2" t="s">
        <v>1310</v>
      </c>
      <c r="C498" s="2" t="s">
        <v>60</v>
      </c>
      <c r="D498" s="16">
        <v>0</v>
      </c>
      <c r="E498" s="2" t="s">
        <v>1287</v>
      </c>
      <c r="F498" s="2" t="s">
        <v>293</v>
      </c>
      <c r="G498" s="2" t="s">
        <v>1311</v>
      </c>
      <c r="H498" s="17">
        <v>62730</v>
      </c>
      <c r="I498" s="2"/>
      <c r="J498" s="2"/>
      <c r="K498" s="17">
        <v>62730</v>
      </c>
      <c r="L498" s="17">
        <v>6721.07</v>
      </c>
      <c r="M498" s="17">
        <v>56008.93</v>
      </c>
      <c r="N498" s="17">
        <v>62730</v>
      </c>
      <c r="O498" s="2"/>
      <c r="P498" s="2"/>
      <c r="Q498" s="2" t="s">
        <v>56</v>
      </c>
      <c r="R498" s="5">
        <f t="shared" si="21"/>
        <v>62730</v>
      </c>
      <c r="S498" s="5">
        <f t="shared" si="22"/>
        <v>62730</v>
      </c>
      <c r="T498" s="5">
        <f t="shared" si="23"/>
        <v>0</v>
      </c>
    </row>
    <row r="499" spans="1:20">
      <c r="A499" s="2" t="s">
        <v>1287</v>
      </c>
      <c r="B499" s="2" t="s">
        <v>1312</v>
      </c>
      <c r="C499" s="2" t="s">
        <v>60</v>
      </c>
      <c r="D499" s="16">
        <v>0</v>
      </c>
      <c r="E499" s="2" t="s">
        <v>1287</v>
      </c>
      <c r="F499" s="2" t="s">
        <v>190</v>
      </c>
      <c r="G499" s="2" t="s">
        <v>1313</v>
      </c>
      <c r="H499" s="17">
        <v>248990</v>
      </c>
      <c r="I499" s="2"/>
      <c r="J499" s="2"/>
      <c r="K499" s="17">
        <v>248990</v>
      </c>
      <c r="L499" s="17">
        <v>26677.5</v>
      </c>
      <c r="M499" s="17">
        <v>222312.5</v>
      </c>
      <c r="N499" s="17">
        <v>248990</v>
      </c>
      <c r="O499" s="2"/>
      <c r="P499" s="2"/>
      <c r="Q499" s="2" t="s">
        <v>56</v>
      </c>
      <c r="R499" s="5">
        <f t="shared" si="21"/>
        <v>248990</v>
      </c>
      <c r="S499" s="5">
        <f t="shared" si="22"/>
        <v>248990</v>
      </c>
      <c r="T499" s="5">
        <f t="shared" si="23"/>
        <v>0</v>
      </c>
    </row>
    <row r="500" spans="1:20">
      <c r="A500" s="2" t="s">
        <v>1287</v>
      </c>
      <c r="B500" s="2" t="s">
        <v>1314</v>
      </c>
      <c r="C500" s="2" t="s">
        <v>162</v>
      </c>
      <c r="D500" s="16">
        <v>90</v>
      </c>
      <c r="E500" s="2" t="s">
        <v>1315</v>
      </c>
      <c r="F500" s="2" t="s">
        <v>1316</v>
      </c>
      <c r="G500" s="2" t="s">
        <v>1317</v>
      </c>
      <c r="H500" s="17">
        <v>45720</v>
      </c>
      <c r="I500" s="2"/>
      <c r="J500" s="2"/>
      <c r="K500" s="17">
        <v>45720</v>
      </c>
      <c r="L500" s="17">
        <v>4898.57</v>
      </c>
      <c r="M500" s="17">
        <v>40821.43</v>
      </c>
      <c r="N500" s="17">
        <v>45720</v>
      </c>
      <c r="O500" s="2"/>
      <c r="P500" s="2"/>
      <c r="Q500" s="2" t="s">
        <v>204</v>
      </c>
      <c r="R500" s="5">
        <f t="shared" si="21"/>
        <v>45720</v>
      </c>
      <c r="S500" s="5">
        <f t="shared" si="22"/>
        <v>45720</v>
      </c>
      <c r="T500" s="5">
        <f t="shared" si="23"/>
        <v>0</v>
      </c>
    </row>
    <row r="501" spans="1:20">
      <c r="A501" s="2" t="s">
        <v>1287</v>
      </c>
      <c r="B501" s="2" t="s">
        <v>1318</v>
      </c>
      <c r="C501" s="2" t="s">
        <v>60</v>
      </c>
      <c r="D501" s="16">
        <v>0</v>
      </c>
      <c r="E501" s="2" t="s">
        <v>1287</v>
      </c>
      <c r="F501" s="2" t="s">
        <v>1248</v>
      </c>
      <c r="G501" s="2" t="s">
        <v>1319</v>
      </c>
      <c r="H501" s="17">
        <v>4330</v>
      </c>
      <c r="I501" s="2"/>
      <c r="J501" s="2"/>
      <c r="K501" s="17">
        <v>4330</v>
      </c>
      <c r="L501" s="18">
        <v>463.93</v>
      </c>
      <c r="M501" s="17">
        <v>3866.07</v>
      </c>
      <c r="N501" s="17">
        <v>4330</v>
      </c>
      <c r="O501" s="2"/>
      <c r="P501" s="2"/>
      <c r="Q501" s="2" t="s">
        <v>30</v>
      </c>
      <c r="R501" s="5">
        <f t="shared" si="21"/>
        <v>4330</v>
      </c>
      <c r="S501" s="5">
        <f t="shared" si="22"/>
        <v>4330</v>
      </c>
      <c r="T501" s="5">
        <f t="shared" si="23"/>
        <v>0</v>
      </c>
    </row>
    <row r="502" spans="1:20">
      <c r="A502" s="2" t="s">
        <v>1287</v>
      </c>
      <c r="B502" s="2" t="s">
        <v>1320</v>
      </c>
      <c r="C502" s="2" t="s">
        <v>73</v>
      </c>
      <c r="D502" s="16">
        <v>30</v>
      </c>
      <c r="E502" s="2" t="s">
        <v>1297</v>
      </c>
      <c r="F502" s="2" t="s">
        <v>1321</v>
      </c>
      <c r="G502" s="2" t="s">
        <v>1322</v>
      </c>
      <c r="H502" s="17">
        <v>9335</v>
      </c>
      <c r="I502" s="2"/>
      <c r="J502" s="2"/>
      <c r="K502" s="17">
        <v>9335</v>
      </c>
      <c r="L502" s="17">
        <v>1000.18</v>
      </c>
      <c r="M502" s="17">
        <v>8334.82</v>
      </c>
      <c r="N502" s="17">
        <v>9335</v>
      </c>
      <c r="O502" s="2"/>
      <c r="P502" s="2"/>
      <c r="Q502" s="2" t="s">
        <v>46</v>
      </c>
      <c r="R502" s="5">
        <f t="shared" si="21"/>
        <v>9335</v>
      </c>
      <c r="S502" s="5">
        <f t="shared" si="22"/>
        <v>9335</v>
      </c>
      <c r="T502" s="5">
        <f t="shared" si="23"/>
        <v>0</v>
      </c>
    </row>
    <row r="503" spans="1:20">
      <c r="A503" s="2" t="s">
        <v>1287</v>
      </c>
      <c r="B503" s="2" t="s">
        <v>1323</v>
      </c>
      <c r="C503" s="2" t="s">
        <v>73</v>
      </c>
      <c r="D503" s="16">
        <v>30</v>
      </c>
      <c r="E503" s="2" t="s">
        <v>1297</v>
      </c>
      <c r="F503" s="2" t="s">
        <v>1321</v>
      </c>
      <c r="G503" s="2" t="s">
        <v>1324</v>
      </c>
      <c r="H503" s="17">
        <v>369142</v>
      </c>
      <c r="I503" s="2"/>
      <c r="J503" s="2"/>
      <c r="K503" s="17">
        <v>369142</v>
      </c>
      <c r="L503" s="17">
        <v>39550.93</v>
      </c>
      <c r="M503" s="17">
        <v>329591.07</v>
      </c>
      <c r="N503" s="17">
        <v>369142</v>
      </c>
      <c r="O503" s="2"/>
      <c r="P503" s="2"/>
      <c r="Q503" s="2" t="s">
        <v>46</v>
      </c>
      <c r="R503" s="5">
        <f t="shared" si="21"/>
        <v>369142</v>
      </c>
      <c r="S503" s="5">
        <f t="shared" si="22"/>
        <v>369142</v>
      </c>
      <c r="T503" s="5">
        <f t="shared" si="23"/>
        <v>0</v>
      </c>
    </row>
    <row r="504" spans="1:20">
      <c r="A504" s="2" t="s">
        <v>1287</v>
      </c>
      <c r="B504" s="2" t="s">
        <v>1325</v>
      </c>
      <c r="C504" s="2" t="s">
        <v>146</v>
      </c>
      <c r="D504" s="16">
        <v>90</v>
      </c>
      <c r="E504" s="2" t="s">
        <v>1315</v>
      </c>
      <c r="F504" s="2" t="s">
        <v>1326</v>
      </c>
      <c r="G504" s="2" t="s">
        <v>1327</v>
      </c>
      <c r="H504" s="17">
        <v>148436</v>
      </c>
      <c r="I504" s="2"/>
      <c r="J504" s="2"/>
      <c r="K504" s="17">
        <v>148436</v>
      </c>
      <c r="L504" s="17">
        <v>15903.86</v>
      </c>
      <c r="M504" s="17">
        <v>132532.14000000001</v>
      </c>
      <c r="N504" s="17">
        <v>148436</v>
      </c>
      <c r="O504" s="2"/>
      <c r="P504" s="2"/>
      <c r="Q504" s="2" t="s">
        <v>46</v>
      </c>
      <c r="R504" s="5">
        <f t="shared" si="21"/>
        <v>148436</v>
      </c>
      <c r="S504" s="5">
        <f t="shared" si="22"/>
        <v>148436</v>
      </c>
      <c r="T504" s="5">
        <f t="shared" si="23"/>
        <v>0</v>
      </c>
    </row>
    <row r="505" spans="1:20">
      <c r="A505" s="2" t="s">
        <v>1287</v>
      </c>
      <c r="B505" s="2" t="s">
        <v>1328</v>
      </c>
      <c r="C505" s="2" t="s">
        <v>60</v>
      </c>
      <c r="D505" s="16">
        <v>0</v>
      </c>
      <c r="E505" s="2" t="s">
        <v>1287</v>
      </c>
      <c r="F505" s="2" t="s">
        <v>457</v>
      </c>
      <c r="G505" s="2" t="s">
        <v>1329</v>
      </c>
      <c r="H505" s="17">
        <v>47935</v>
      </c>
      <c r="I505" s="2"/>
      <c r="J505" s="2"/>
      <c r="K505" s="17">
        <v>47935</v>
      </c>
      <c r="L505" s="17">
        <v>5135.8900000000003</v>
      </c>
      <c r="M505" s="17">
        <v>42799.11</v>
      </c>
      <c r="N505" s="17">
        <v>47935</v>
      </c>
      <c r="O505" s="2"/>
      <c r="P505" s="2"/>
      <c r="Q505" s="2" t="s">
        <v>56</v>
      </c>
      <c r="R505" s="5">
        <f t="shared" si="21"/>
        <v>47935</v>
      </c>
      <c r="S505" s="5">
        <f t="shared" si="22"/>
        <v>47935</v>
      </c>
      <c r="T505" s="5">
        <f t="shared" si="23"/>
        <v>0</v>
      </c>
    </row>
    <row r="506" spans="1:20">
      <c r="A506" s="2" t="s">
        <v>1287</v>
      </c>
      <c r="B506" s="2" t="s">
        <v>1330</v>
      </c>
      <c r="C506" s="2" t="s">
        <v>151</v>
      </c>
      <c r="D506" s="16">
        <v>60</v>
      </c>
      <c r="E506" s="2" t="s">
        <v>1331</v>
      </c>
      <c r="F506" s="2" t="s">
        <v>614</v>
      </c>
      <c r="G506" s="2" t="s">
        <v>1332</v>
      </c>
      <c r="H506" s="17">
        <v>31905</v>
      </c>
      <c r="I506" s="2"/>
      <c r="J506" s="2"/>
      <c r="K506" s="17">
        <v>31905</v>
      </c>
      <c r="L506" s="17">
        <v>3418.39</v>
      </c>
      <c r="M506" s="17">
        <v>28486.61</v>
      </c>
      <c r="N506" s="17">
        <v>31905</v>
      </c>
      <c r="O506" s="2"/>
      <c r="P506" s="2"/>
      <c r="Q506" s="2" t="s">
        <v>30</v>
      </c>
      <c r="R506" s="5">
        <f t="shared" si="21"/>
        <v>31905</v>
      </c>
      <c r="S506" s="5">
        <f t="shared" si="22"/>
        <v>31905</v>
      </c>
      <c r="T506" s="5">
        <f t="shared" si="23"/>
        <v>0</v>
      </c>
    </row>
    <row r="507" spans="1:20">
      <c r="A507" s="2" t="s">
        <v>1287</v>
      </c>
      <c r="B507" s="2" t="s">
        <v>1333</v>
      </c>
      <c r="C507" s="2" t="s">
        <v>104</v>
      </c>
      <c r="D507" s="16">
        <v>0</v>
      </c>
      <c r="E507" s="2" t="s">
        <v>1287</v>
      </c>
      <c r="F507" s="2" t="s">
        <v>1334</v>
      </c>
      <c r="G507" s="2" t="s">
        <v>1335</v>
      </c>
      <c r="H507" s="17">
        <v>1144800</v>
      </c>
      <c r="I507" s="19">
        <v>-34344</v>
      </c>
      <c r="J507" s="2"/>
      <c r="K507" s="17">
        <v>1110456</v>
      </c>
      <c r="L507" s="17">
        <v>118977.43</v>
      </c>
      <c r="M507" s="17">
        <v>991478.57</v>
      </c>
      <c r="N507" s="17">
        <v>1110456</v>
      </c>
      <c r="O507" s="2"/>
      <c r="P507" s="2"/>
      <c r="Q507" s="2" t="s">
        <v>30</v>
      </c>
      <c r="R507" s="5">
        <f t="shared" si="21"/>
        <v>1110456</v>
      </c>
      <c r="S507" s="5">
        <f t="shared" si="22"/>
        <v>1110456</v>
      </c>
      <c r="T507" s="5">
        <f t="shared" si="23"/>
        <v>0</v>
      </c>
    </row>
    <row r="508" spans="1:20">
      <c r="A508" s="2" t="s">
        <v>1287</v>
      </c>
      <c r="B508" s="2" t="s">
        <v>1336</v>
      </c>
      <c r="C508" s="2" t="s">
        <v>60</v>
      </c>
      <c r="D508" s="16">
        <v>0</v>
      </c>
      <c r="E508" s="2" t="s">
        <v>1287</v>
      </c>
      <c r="F508" s="2" t="s">
        <v>605</v>
      </c>
      <c r="G508" s="2" t="s">
        <v>1337</v>
      </c>
      <c r="H508" s="17">
        <v>1126635.48</v>
      </c>
      <c r="I508" s="2"/>
      <c r="J508" s="2"/>
      <c r="K508" s="17">
        <v>1126635.48</v>
      </c>
      <c r="L508" s="17">
        <v>120710.94</v>
      </c>
      <c r="M508" s="17">
        <v>1005924.54</v>
      </c>
      <c r="N508" s="17">
        <v>1126635.48</v>
      </c>
      <c r="O508" s="2"/>
      <c r="P508" s="2"/>
      <c r="Q508" s="2" t="s">
        <v>56</v>
      </c>
      <c r="R508" s="5">
        <f t="shared" si="21"/>
        <v>1126635.48</v>
      </c>
      <c r="S508" s="5">
        <f t="shared" si="22"/>
        <v>1126635.48</v>
      </c>
      <c r="T508" s="5">
        <f t="shared" si="23"/>
        <v>0</v>
      </c>
    </row>
    <row r="509" spans="1:20">
      <c r="A509" s="2" t="s">
        <v>1287</v>
      </c>
      <c r="B509" s="2" t="s">
        <v>1338</v>
      </c>
      <c r="C509" s="2" t="s">
        <v>60</v>
      </c>
      <c r="D509" s="16">
        <v>0</v>
      </c>
      <c r="E509" s="2" t="s">
        <v>1287</v>
      </c>
      <c r="F509" s="2" t="s">
        <v>605</v>
      </c>
      <c r="G509" s="2" t="s">
        <v>1339</v>
      </c>
      <c r="H509" s="17">
        <v>280110</v>
      </c>
      <c r="I509" s="2"/>
      <c r="J509" s="2"/>
      <c r="K509" s="17">
        <v>280110</v>
      </c>
      <c r="L509" s="17">
        <v>30011.79</v>
      </c>
      <c r="M509" s="17">
        <v>250098.21</v>
      </c>
      <c r="N509" s="17">
        <v>280110</v>
      </c>
      <c r="O509" s="2"/>
      <c r="P509" s="2"/>
      <c r="Q509" s="2" t="s">
        <v>56</v>
      </c>
      <c r="R509" s="5">
        <f t="shared" si="21"/>
        <v>280110</v>
      </c>
      <c r="S509" s="5">
        <f t="shared" si="22"/>
        <v>280110</v>
      </c>
      <c r="T509" s="5">
        <f t="shared" si="23"/>
        <v>0</v>
      </c>
    </row>
    <row r="510" spans="1:20">
      <c r="A510" s="2" t="s">
        <v>1287</v>
      </c>
      <c r="B510" s="2" t="s">
        <v>1340</v>
      </c>
      <c r="C510" s="2" t="s">
        <v>34</v>
      </c>
      <c r="D510" s="16">
        <v>60</v>
      </c>
      <c r="E510" s="2" t="s">
        <v>1331</v>
      </c>
      <c r="F510" s="2" t="s">
        <v>37</v>
      </c>
      <c r="G510" s="2" t="s">
        <v>1341</v>
      </c>
      <c r="H510" s="17">
        <v>467200</v>
      </c>
      <c r="I510" s="2"/>
      <c r="J510" s="2"/>
      <c r="K510" s="17">
        <v>467200</v>
      </c>
      <c r="L510" s="17">
        <v>50057.14</v>
      </c>
      <c r="M510" s="17">
        <v>417142.86</v>
      </c>
      <c r="N510" s="17">
        <v>467200</v>
      </c>
      <c r="O510" s="2"/>
      <c r="P510" s="2"/>
      <c r="Q510" s="2" t="s">
        <v>36</v>
      </c>
      <c r="R510" s="5">
        <f t="shared" si="21"/>
        <v>467200</v>
      </c>
      <c r="S510" s="5">
        <f t="shared" si="22"/>
        <v>467200</v>
      </c>
      <c r="T510" s="5">
        <f t="shared" si="23"/>
        <v>0</v>
      </c>
    </row>
    <row r="511" spans="1:20">
      <c r="A511" s="2" t="s">
        <v>1287</v>
      </c>
      <c r="B511" s="2" t="s">
        <v>1342</v>
      </c>
      <c r="C511" s="2" t="s">
        <v>73</v>
      </c>
      <c r="D511" s="16">
        <v>30</v>
      </c>
      <c r="E511" s="2" t="s">
        <v>1297</v>
      </c>
      <c r="F511" s="2" t="s">
        <v>267</v>
      </c>
      <c r="G511" s="2" t="s">
        <v>1343</v>
      </c>
      <c r="H511" s="17">
        <v>209080</v>
      </c>
      <c r="I511" s="2"/>
      <c r="J511" s="2"/>
      <c r="K511" s="17">
        <v>209080</v>
      </c>
      <c r="L511" s="17">
        <v>22401.43</v>
      </c>
      <c r="M511" s="17">
        <v>186678.57</v>
      </c>
      <c r="N511" s="17">
        <v>209080</v>
      </c>
      <c r="O511" s="2"/>
      <c r="P511" s="2"/>
      <c r="Q511" s="2" t="s">
        <v>19</v>
      </c>
      <c r="R511" s="5">
        <f t="shared" si="21"/>
        <v>209080</v>
      </c>
      <c r="S511" s="5">
        <f t="shared" si="22"/>
        <v>209080</v>
      </c>
      <c r="T511" s="5">
        <f t="shared" si="23"/>
        <v>0</v>
      </c>
    </row>
    <row r="512" spans="1:20">
      <c r="A512" s="2" t="s">
        <v>1287</v>
      </c>
      <c r="B512" s="2" t="s">
        <v>1344</v>
      </c>
      <c r="C512" s="2" t="s">
        <v>162</v>
      </c>
      <c r="D512" s="16">
        <v>90</v>
      </c>
      <c r="E512" s="2" t="s">
        <v>1315</v>
      </c>
      <c r="F512" s="2" t="s">
        <v>193</v>
      </c>
      <c r="G512" s="2" t="s">
        <v>1345</v>
      </c>
      <c r="H512" s="17">
        <v>198750</v>
      </c>
      <c r="I512" s="2"/>
      <c r="J512" s="2"/>
      <c r="K512" s="17">
        <v>198750</v>
      </c>
      <c r="L512" s="17">
        <v>21294.639999999999</v>
      </c>
      <c r="M512" s="17">
        <v>177455.35999999999</v>
      </c>
      <c r="N512" s="17">
        <v>198750</v>
      </c>
      <c r="O512" s="2"/>
      <c r="P512" s="2"/>
      <c r="Q512" s="2" t="s">
        <v>36</v>
      </c>
      <c r="R512" s="5">
        <f t="shared" si="21"/>
        <v>198750</v>
      </c>
      <c r="S512" s="5">
        <f t="shared" si="22"/>
        <v>198750</v>
      </c>
      <c r="T512" s="5">
        <f t="shared" si="23"/>
        <v>0</v>
      </c>
    </row>
    <row r="513" spans="1:20">
      <c r="A513" s="2" t="s">
        <v>1287</v>
      </c>
      <c r="B513" s="2" t="s">
        <v>1346</v>
      </c>
      <c r="C513" s="2" t="s">
        <v>146</v>
      </c>
      <c r="D513" s="16">
        <v>90</v>
      </c>
      <c r="E513" s="2" t="s">
        <v>1315</v>
      </c>
      <c r="F513" s="2" t="s">
        <v>666</v>
      </c>
      <c r="G513" s="2" t="s">
        <v>1347</v>
      </c>
      <c r="H513" s="17">
        <v>361195</v>
      </c>
      <c r="I513" s="2"/>
      <c r="J513" s="2"/>
      <c r="K513" s="17">
        <v>361195</v>
      </c>
      <c r="L513" s="17">
        <v>38699.46</v>
      </c>
      <c r="M513" s="17">
        <v>322495.53999999998</v>
      </c>
      <c r="N513" s="17">
        <v>361195</v>
      </c>
      <c r="O513" s="2"/>
      <c r="P513" s="2"/>
      <c r="Q513" s="2" t="s">
        <v>56</v>
      </c>
      <c r="R513" s="5">
        <f t="shared" si="21"/>
        <v>361195</v>
      </c>
      <c r="S513" s="5">
        <f t="shared" si="22"/>
        <v>361195</v>
      </c>
      <c r="T513" s="5">
        <f t="shared" si="23"/>
        <v>0</v>
      </c>
    </row>
    <row r="514" spans="1:20">
      <c r="A514" s="2" t="s">
        <v>1287</v>
      </c>
      <c r="B514" s="2" t="s">
        <v>1348</v>
      </c>
      <c r="C514" s="2" t="s">
        <v>162</v>
      </c>
      <c r="D514" s="16">
        <v>90</v>
      </c>
      <c r="E514" s="2" t="s">
        <v>1315</v>
      </c>
      <c r="F514" s="2" t="s">
        <v>1349</v>
      </c>
      <c r="G514" s="2" t="s">
        <v>1350</v>
      </c>
      <c r="H514" s="17">
        <v>172200</v>
      </c>
      <c r="I514" s="2"/>
      <c r="J514" s="2"/>
      <c r="K514" s="17">
        <v>172200</v>
      </c>
      <c r="L514" s="17">
        <v>18450</v>
      </c>
      <c r="M514" s="17">
        <v>153750</v>
      </c>
      <c r="N514" s="17">
        <v>172200</v>
      </c>
      <c r="O514" s="2"/>
      <c r="P514" s="2"/>
      <c r="Q514" s="2" t="s">
        <v>30</v>
      </c>
      <c r="R514" s="5">
        <f t="shared" si="21"/>
        <v>172200</v>
      </c>
      <c r="S514" s="5">
        <f t="shared" si="22"/>
        <v>172200</v>
      </c>
      <c r="T514" s="5">
        <f t="shared" si="23"/>
        <v>0</v>
      </c>
    </row>
    <row r="515" spans="1:20">
      <c r="A515" s="2" t="s">
        <v>1287</v>
      </c>
      <c r="B515" s="2" t="s">
        <v>1351</v>
      </c>
      <c r="C515" s="2" t="s">
        <v>151</v>
      </c>
      <c r="D515" s="16">
        <v>60</v>
      </c>
      <c r="E515" s="2" t="s">
        <v>1331</v>
      </c>
      <c r="F515" s="2" t="s">
        <v>253</v>
      </c>
      <c r="G515" s="2" t="s">
        <v>1352</v>
      </c>
      <c r="H515" s="17">
        <v>1041610</v>
      </c>
      <c r="I515" s="2"/>
      <c r="J515" s="2"/>
      <c r="K515" s="17">
        <v>1041610</v>
      </c>
      <c r="L515" s="17">
        <v>111601.07</v>
      </c>
      <c r="M515" s="17">
        <v>930008.93</v>
      </c>
      <c r="N515" s="17">
        <v>1041610</v>
      </c>
      <c r="O515" s="2"/>
      <c r="P515" s="2"/>
      <c r="Q515" s="2" t="s">
        <v>69</v>
      </c>
      <c r="R515" s="5">
        <f t="shared" si="21"/>
        <v>1041610</v>
      </c>
      <c r="S515" s="5">
        <f t="shared" si="22"/>
        <v>1041610</v>
      </c>
      <c r="T515" s="5">
        <f t="shared" si="23"/>
        <v>0</v>
      </c>
    </row>
    <row r="516" spans="1:20">
      <c r="A516" s="2" t="s">
        <v>1287</v>
      </c>
      <c r="B516" s="2" t="s">
        <v>1353</v>
      </c>
      <c r="C516" s="2" t="s">
        <v>60</v>
      </c>
      <c r="D516" s="16">
        <v>0</v>
      </c>
      <c r="E516" s="2" t="s">
        <v>1287</v>
      </c>
      <c r="F516" s="2" t="s">
        <v>196</v>
      </c>
      <c r="G516" s="2" t="s">
        <v>1354</v>
      </c>
      <c r="H516" s="17">
        <v>434653</v>
      </c>
      <c r="I516" s="2"/>
      <c r="J516" s="2"/>
      <c r="K516" s="17">
        <v>434653</v>
      </c>
      <c r="L516" s="17">
        <v>46569.96</v>
      </c>
      <c r="M516" s="17">
        <v>388083.04</v>
      </c>
      <c r="N516" s="17">
        <v>434653</v>
      </c>
      <c r="O516" s="2"/>
      <c r="P516" s="2"/>
      <c r="Q516" s="2" t="s">
        <v>56</v>
      </c>
      <c r="R516" s="5">
        <f t="shared" si="21"/>
        <v>434653</v>
      </c>
      <c r="S516" s="5">
        <f t="shared" si="22"/>
        <v>434653</v>
      </c>
      <c r="T516" s="5">
        <f t="shared" si="23"/>
        <v>0</v>
      </c>
    </row>
    <row r="517" spans="1:20">
      <c r="A517" s="2" t="s">
        <v>1287</v>
      </c>
      <c r="B517" s="2" t="s">
        <v>1355</v>
      </c>
      <c r="C517" s="2" t="s">
        <v>60</v>
      </c>
      <c r="D517" s="16">
        <v>0</v>
      </c>
      <c r="E517" s="2" t="s">
        <v>1287</v>
      </c>
      <c r="F517" s="2" t="s">
        <v>196</v>
      </c>
      <c r="G517" s="2" t="s">
        <v>1356</v>
      </c>
      <c r="H517" s="17">
        <v>183132</v>
      </c>
      <c r="I517" s="2"/>
      <c r="J517" s="2"/>
      <c r="K517" s="17">
        <v>183132</v>
      </c>
      <c r="L517" s="17">
        <v>19621.29</v>
      </c>
      <c r="M517" s="17">
        <v>163510.71</v>
      </c>
      <c r="N517" s="17">
        <v>183132</v>
      </c>
      <c r="O517" s="2"/>
      <c r="P517" s="2"/>
      <c r="Q517" s="2" t="s">
        <v>56</v>
      </c>
      <c r="R517" s="5">
        <f t="shared" si="21"/>
        <v>183132</v>
      </c>
      <c r="S517" s="5">
        <f t="shared" si="22"/>
        <v>183132</v>
      </c>
      <c r="T517" s="5">
        <f t="shared" si="23"/>
        <v>0</v>
      </c>
    </row>
    <row r="518" spans="1:20">
      <c r="A518" s="2" t="s">
        <v>1287</v>
      </c>
      <c r="B518" s="2" t="s">
        <v>1357</v>
      </c>
      <c r="C518" s="2" t="s">
        <v>146</v>
      </c>
      <c r="D518" s="16">
        <v>90</v>
      </c>
      <c r="E518" s="2" t="s">
        <v>1315</v>
      </c>
      <c r="F518" s="2" t="s">
        <v>1038</v>
      </c>
      <c r="G518" s="2" t="s">
        <v>1358</v>
      </c>
      <c r="H518" s="17">
        <v>59512</v>
      </c>
      <c r="I518" s="2"/>
      <c r="J518" s="2"/>
      <c r="K518" s="17">
        <v>59512</v>
      </c>
      <c r="L518" s="17">
        <v>6376.29</v>
      </c>
      <c r="M518" s="17">
        <v>53135.71</v>
      </c>
      <c r="N518" s="17">
        <v>59512</v>
      </c>
      <c r="O518" s="2"/>
      <c r="P518" s="2"/>
      <c r="Q518" s="2" t="s">
        <v>139</v>
      </c>
      <c r="R518" s="5">
        <f t="shared" ref="R518:R581" si="24">+J518+K518</f>
        <v>59512</v>
      </c>
      <c r="S518" s="5">
        <f t="shared" ref="S518:S581" si="25">+N518</f>
        <v>59512</v>
      </c>
      <c r="T518" s="5">
        <f t="shared" ref="T518:T581" si="26">+R518-S518</f>
        <v>0</v>
      </c>
    </row>
    <row r="519" spans="1:20">
      <c r="A519" s="2" t="s">
        <v>1287</v>
      </c>
      <c r="B519" s="2" t="s">
        <v>1359</v>
      </c>
      <c r="C519" s="2" t="s">
        <v>146</v>
      </c>
      <c r="D519" s="16">
        <v>90</v>
      </c>
      <c r="E519" s="2" t="s">
        <v>1315</v>
      </c>
      <c r="F519" s="2" t="s">
        <v>1038</v>
      </c>
      <c r="G519" s="2" t="s">
        <v>1360</v>
      </c>
      <c r="H519" s="17">
        <v>178256</v>
      </c>
      <c r="I519" s="2"/>
      <c r="J519" s="2"/>
      <c r="K519" s="17">
        <v>178256</v>
      </c>
      <c r="L519" s="17">
        <v>19098.86</v>
      </c>
      <c r="M519" s="17">
        <v>159157.14000000001</v>
      </c>
      <c r="N519" s="17">
        <v>178256</v>
      </c>
      <c r="O519" s="2"/>
      <c r="P519" s="2"/>
      <c r="Q519" s="2" t="s">
        <v>139</v>
      </c>
      <c r="R519" s="5">
        <f t="shared" si="24"/>
        <v>178256</v>
      </c>
      <c r="S519" s="5">
        <f t="shared" si="25"/>
        <v>178256</v>
      </c>
      <c r="T519" s="5">
        <f t="shared" si="26"/>
        <v>0</v>
      </c>
    </row>
    <row r="520" spans="1:20">
      <c r="A520" s="2" t="s">
        <v>1287</v>
      </c>
      <c r="B520" s="2" t="s">
        <v>1361</v>
      </c>
      <c r="C520" s="2" t="s">
        <v>146</v>
      </c>
      <c r="D520" s="16">
        <v>90</v>
      </c>
      <c r="E520" s="2" t="s">
        <v>1315</v>
      </c>
      <c r="F520" s="2" t="s">
        <v>1038</v>
      </c>
      <c r="G520" s="2" t="s">
        <v>1362</v>
      </c>
      <c r="H520" s="17">
        <v>989368</v>
      </c>
      <c r="I520" s="2"/>
      <c r="J520" s="2"/>
      <c r="K520" s="17">
        <v>989368</v>
      </c>
      <c r="L520" s="17">
        <v>106003.71</v>
      </c>
      <c r="M520" s="17">
        <v>883364.29</v>
      </c>
      <c r="N520" s="17">
        <v>989368</v>
      </c>
      <c r="O520" s="2"/>
      <c r="P520" s="2"/>
      <c r="Q520" s="2" t="s">
        <v>139</v>
      </c>
      <c r="R520" s="5">
        <f t="shared" si="24"/>
        <v>989368</v>
      </c>
      <c r="S520" s="5">
        <f t="shared" si="25"/>
        <v>989368</v>
      </c>
      <c r="T520" s="5">
        <f t="shared" si="26"/>
        <v>0</v>
      </c>
    </row>
    <row r="521" spans="1:20">
      <c r="A521" s="2" t="s">
        <v>1287</v>
      </c>
      <c r="B521" s="2" t="s">
        <v>1363</v>
      </c>
      <c r="C521" s="2" t="s">
        <v>146</v>
      </c>
      <c r="D521" s="16">
        <v>90</v>
      </c>
      <c r="E521" s="2" t="s">
        <v>1315</v>
      </c>
      <c r="F521" s="2" t="s">
        <v>1038</v>
      </c>
      <c r="G521" s="2" t="s">
        <v>1364</v>
      </c>
      <c r="H521" s="17">
        <v>118334</v>
      </c>
      <c r="I521" s="2"/>
      <c r="J521" s="2"/>
      <c r="K521" s="17">
        <v>118334</v>
      </c>
      <c r="L521" s="17">
        <v>12678.64</v>
      </c>
      <c r="M521" s="17">
        <v>105655.36</v>
      </c>
      <c r="N521" s="17">
        <v>118334</v>
      </c>
      <c r="O521" s="2"/>
      <c r="P521" s="2"/>
      <c r="Q521" s="2" t="s">
        <v>139</v>
      </c>
      <c r="R521" s="5">
        <f t="shared" si="24"/>
        <v>118334</v>
      </c>
      <c r="S521" s="5">
        <f t="shared" si="25"/>
        <v>118334</v>
      </c>
      <c r="T521" s="5">
        <f t="shared" si="26"/>
        <v>0</v>
      </c>
    </row>
    <row r="522" spans="1:20">
      <c r="A522" s="2" t="s">
        <v>1287</v>
      </c>
      <c r="B522" s="2" t="s">
        <v>1365</v>
      </c>
      <c r="C522" s="2" t="s">
        <v>146</v>
      </c>
      <c r="D522" s="16">
        <v>90</v>
      </c>
      <c r="E522" s="2" t="s">
        <v>1315</v>
      </c>
      <c r="F522" s="2" t="s">
        <v>1038</v>
      </c>
      <c r="G522" s="2" t="s">
        <v>1366</v>
      </c>
      <c r="H522" s="17">
        <v>35532</v>
      </c>
      <c r="I522" s="2"/>
      <c r="J522" s="2"/>
      <c r="K522" s="17">
        <v>35532</v>
      </c>
      <c r="L522" s="17">
        <v>3807</v>
      </c>
      <c r="M522" s="17">
        <v>31725</v>
      </c>
      <c r="N522" s="17">
        <v>35532</v>
      </c>
      <c r="O522" s="2"/>
      <c r="P522" s="2"/>
      <c r="Q522" s="2" t="s">
        <v>139</v>
      </c>
      <c r="R522" s="5">
        <f t="shared" si="24"/>
        <v>35532</v>
      </c>
      <c r="S522" s="5">
        <f t="shared" si="25"/>
        <v>35532</v>
      </c>
      <c r="T522" s="5">
        <f t="shared" si="26"/>
        <v>0</v>
      </c>
    </row>
    <row r="523" spans="1:20">
      <c r="A523" s="2" t="s">
        <v>1287</v>
      </c>
      <c r="B523" s="2" t="s">
        <v>1367</v>
      </c>
      <c r="C523" s="2" t="s">
        <v>146</v>
      </c>
      <c r="D523" s="16">
        <v>90</v>
      </c>
      <c r="E523" s="2" t="s">
        <v>1315</v>
      </c>
      <c r="F523" s="2" t="s">
        <v>1038</v>
      </c>
      <c r="G523" s="2" t="s">
        <v>1368</v>
      </c>
      <c r="H523" s="17">
        <v>175028</v>
      </c>
      <c r="I523" s="2"/>
      <c r="J523" s="2"/>
      <c r="K523" s="17">
        <v>175028</v>
      </c>
      <c r="L523" s="17">
        <v>18753</v>
      </c>
      <c r="M523" s="17">
        <v>156275</v>
      </c>
      <c r="N523" s="17">
        <v>175028</v>
      </c>
      <c r="O523" s="2"/>
      <c r="P523" s="2"/>
      <c r="Q523" s="2" t="s">
        <v>139</v>
      </c>
      <c r="R523" s="5">
        <f t="shared" si="24"/>
        <v>175028</v>
      </c>
      <c r="S523" s="5">
        <f t="shared" si="25"/>
        <v>175028</v>
      </c>
      <c r="T523" s="5">
        <f t="shared" si="26"/>
        <v>0</v>
      </c>
    </row>
    <row r="524" spans="1:20">
      <c r="A524" s="2" t="s">
        <v>1287</v>
      </c>
      <c r="B524" s="2" t="s">
        <v>1369</v>
      </c>
      <c r="C524" s="2" t="s">
        <v>162</v>
      </c>
      <c r="D524" s="16">
        <v>90</v>
      </c>
      <c r="E524" s="2" t="s">
        <v>1315</v>
      </c>
      <c r="F524" s="2" t="s">
        <v>424</v>
      </c>
      <c r="G524" s="2" t="s">
        <v>1370</v>
      </c>
      <c r="H524" s="17">
        <v>16800</v>
      </c>
      <c r="I524" s="2"/>
      <c r="J524" s="2"/>
      <c r="K524" s="17">
        <v>16800</v>
      </c>
      <c r="L524" s="17">
        <v>1800</v>
      </c>
      <c r="M524" s="17">
        <v>15000</v>
      </c>
      <c r="N524" s="17">
        <v>16800</v>
      </c>
      <c r="O524" s="2"/>
      <c r="P524" s="2"/>
      <c r="Q524" s="2" t="s">
        <v>423</v>
      </c>
      <c r="R524" s="5">
        <f t="shared" si="24"/>
        <v>16800</v>
      </c>
      <c r="S524" s="5">
        <f t="shared" si="25"/>
        <v>16800</v>
      </c>
      <c r="T524" s="5">
        <f t="shared" si="26"/>
        <v>0</v>
      </c>
    </row>
    <row r="525" spans="1:20">
      <c r="A525" s="2" t="s">
        <v>1372</v>
      </c>
      <c r="B525" s="2" t="s">
        <v>1371</v>
      </c>
      <c r="C525" s="2" t="s">
        <v>34</v>
      </c>
      <c r="D525" s="16">
        <v>60</v>
      </c>
      <c r="E525" s="2" t="s">
        <v>1373</v>
      </c>
      <c r="F525" s="2" t="s">
        <v>1226</v>
      </c>
      <c r="G525" s="2" t="s">
        <v>1374</v>
      </c>
      <c r="H525" s="17">
        <v>9261</v>
      </c>
      <c r="I525" s="2"/>
      <c r="J525" s="2"/>
      <c r="K525" s="17">
        <v>9261</v>
      </c>
      <c r="L525" s="18">
        <v>992.25</v>
      </c>
      <c r="M525" s="17">
        <v>8268.75</v>
      </c>
      <c r="N525" s="17">
        <v>9261</v>
      </c>
      <c r="O525" s="2"/>
      <c r="P525" s="2"/>
      <c r="Q525" s="2" t="s">
        <v>46</v>
      </c>
      <c r="R525" s="5">
        <f t="shared" si="24"/>
        <v>9261</v>
      </c>
      <c r="S525" s="5">
        <f t="shared" si="25"/>
        <v>9261</v>
      </c>
      <c r="T525" s="5">
        <f t="shared" si="26"/>
        <v>0</v>
      </c>
    </row>
    <row r="526" spans="1:20">
      <c r="A526" s="2" t="s">
        <v>1372</v>
      </c>
      <c r="B526" s="2" t="s">
        <v>1375</v>
      </c>
      <c r="C526" s="2" t="s">
        <v>162</v>
      </c>
      <c r="D526" s="16">
        <v>90</v>
      </c>
      <c r="E526" s="2" t="s">
        <v>1376</v>
      </c>
      <c r="F526" s="2" t="s">
        <v>1377</v>
      </c>
      <c r="G526" s="2" t="s">
        <v>1378</v>
      </c>
      <c r="H526" s="17">
        <v>116200</v>
      </c>
      <c r="I526" s="2"/>
      <c r="J526" s="2"/>
      <c r="K526" s="17">
        <v>116200</v>
      </c>
      <c r="L526" s="17">
        <v>12450</v>
      </c>
      <c r="M526" s="17">
        <v>103750</v>
      </c>
      <c r="N526" s="17">
        <v>116200</v>
      </c>
      <c r="O526" s="2"/>
      <c r="P526" s="2"/>
      <c r="Q526" s="2" t="s">
        <v>204</v>
      </c>
      <c r="R526" s="5">
        <f t="shared" si="24"/>
        <v>116200</v>
      </c>
      <c r="S526" s="5">
        <f t="shared" si="25"/>
        <v>116200</v>
      </c>
      <c r="T526" s="5">
        <f t="shared" si="26"/>
        <v>0</v>
      </c>
    </row>
    <row r="527" spans="1:20">
      <c r="A527" s="2" t="s">
        <v>1372</v>
      </c>
      <c r="B527" s="2" t="s">
        <v>1379</v>
      </c>
      <c r="C527" s="2" t="s">
        <v>681</v>
      </c>
      <c r="D527" s="16">
        <v>0</v>
      </c>
      <c r="E527" s="2" t="s">
        <v>1372</v>
      </c>
      <c r="F527" s="2" t="s">
        <v>793</v>
      </c>
      <c r="G527" s="2" t="s">
        <v>1380</v>
      </c>
      <c r="H527" s="17">
        <v>1428</v>
      </c>
      <c r="I527" s="2"/>
      <c r="J527" s="2"/>
      <c r="K527" s="17">
        <v>1428</v>
      </c>
      <c r="L527" s="18">
        <v>153</v>
      </c>
      <c r="M527" s="17">
        <v>1275</v>
      </c>
      <c r="N527" s="17">
        <v>1428</v>
      </c>
      <c r="O527" s="2"/>
      <c r="P527" s="2"/>
      <c r="Q527" s="2" t="s">
        <v>625</v>
      </c>
      <c r="R527" s="5">
        <f t="shared" si="24"/>
        <v>1428</v>
      </c>
      <c r="S527" s="5">
        <f t="shared" si="25"/>
        <v>1428</v>
      </c>
      <c r="T527" s="5">
        <f t="shared" si="26"/>
        <v>0</v>
      </c>
    </row>
    <row r="528" spans="1:20">
      <c r="A528" s="2" t="s">
        <v>1372</v>
      </c>
      <c r="B528" s="2" t="s">
        <v>1381</v>
      </c>
      <c r="C528" s="2" t="s">
        <v>34</v>
      </c>
      <c r="D528" s="16">
        <v>60</v>
      </c>
      <c r="E528" s="2" t="s">
        <v>1373</v>
      </c>
      <c r="F528" s="2" t="s">
        <v>37</v>
      </c>
      <c r="G528" s="2" t="s">
        <v>1382</v>
      </c>
      <c r="H528" s="17">
        <v>18989</v>
      </c>
      <c r="I528" s="2"/>
      <c r="J528" s="2"/>
      <c r="K528" s="17">
        <v>18989</v>
      </c>
      <c r="L528" s="17">
        <v>2034.54</v>
      </c>
      <c r="M528" s="17">
        <v>16954.46</v>
      </c>
      <c r="N528" s="17">
        <v>18989</v>
      </c>
      <c r="O528" s="2"/>
      <c r="P528" s="2"/>
      <c r="Q528" s="2" t="s">
        <v>36</v>
      </c>
      <c r="R528" s="5">
        <f t="shared" si="24"/>
        <v>18989</v>
      </c>
      <c r="S528" s="5">
        <f t="shared" si="25"/>
        <v>18989</v>
      </c>
      <c r="T528" s="5">
        <f t="shared" si="26"/>
        <v>0</v>
      </c>
    </row>
    <row r="529" spans="1:20">
      <c r="A529" s="2" t="s">
        <v>1372</v>
      </c>
      <c r="B529" s="2" t="s">
        <v>1383</v>
      </c>
      <c r="C529" s="2" t="s">
        <v>60</v>
      </c>
      <c r="D529" s="16">
        <v>0</v>
      </c>
      <c r="E529" s="2" t="s">
        <v>1372</v>
      </c>
      <c r="F529" s="2" t="s">
        <v>1384</v>
      </c>
      <c r="G529" s="2" t="s">
        <v>1385</v>
      </c>
      <c r="H529" s="17">
        <v>241920</v>
      </c>
      <c r="I529" s="2"/>
      <c r="J529" s="2"/>
      <c r="K529" s="17">
        <v>241920</v>
      </c>
      <c r="L529" s="17">
        <v>25920</v>
      </c>
      <c r="M529" s="17">
        <v>216000</v>
      </c>
      <c r="N529" s="17">
        <v>241920</v>
      </c>
      <c r="O529" s="2"/>
      <c r="P529" s="2"/>
      <c r="Q529" s="2" t="s">
        <v>270</v>
      </c>
      <c r="R529" s="5">
        <f t="shared" si="24"/>
        <v>241920</v>
      </c>
      <c r="S529" s="5">
        <f t="shared" si="25"/>
        <v>241920</v>
      </c>
      <c r="T529" s="5">
        <f t="shared" si="26"/>
        <v>0</v>
      </c>
    </row>
    <row r="530" spans="1:20">
      <c r="A530" s="2" t="s">
        <v>1372</v>
      </c>
      <c r="B530" s="2" t="s">
        <v>1386</v>
      </c>
      <c r="C530" s="2" t="s">
        <v>681</v>
      </c>
      <c r="D530" s="16">
        <v>0</v>
      </c>
      <c r="E530" s="2" t="s">
        <v>1372</v>
      </c>
      <c r="F530" s="2" t="s">
        <v>682</v>
      </c>
      <c r="G530" s="2" t="s">
        <v>1387</v>
      </c>
      <c r="H530" s="17">
        <v>27968</v>
      </c>
      <c r="I530" s="2"/>
      <c r="J530" s="2"/>
      <c r="K530" s="17">
        <v>27968</v>
      </c>
      <c r="L530" s="17">
        <v>2996.57</v>
      </c>
      <c r="M530" s="17">
        <v>24971.43</v>
      </c>
      <c r="N530" s="17">
        <v>27968</v>
      </c>
      <c r="O530" s="2"/>
      <c r="P530" s="2"/>
      <c r="Q530" s="2" t="s">
        <v>46</v>
      </c>
      <c r="R530" s="5">
        <f t="shared" si="24"/>
        <v>27968</v>
      </c>
      <c r="S530" s="5">
        <f t="shared" si="25"/>
        <v>27968</v>
      </c>
      <c r="T530" s="5">
        <f t="shared" si="26"/>
        <v>0</v>
      </c>
    </row>
    <row r="531" spans="1:20">
      <c r="A531" s="2" t="s">
        <v>1372</v>
      </c>
      <c r="B531" s="2" t="s">
        <v>1388</v>
      </c>
      <c r="C531" s="2" t="s">
        <v>333</v>
      </c>
      <c r="D531" s="16">
        <v>30</v>
      </c>
      <c r="E531" s="2" t="s">
        <v>1389</v>
      </c>
      <c r="F531" s="2" t="s">
        <v>1262</v>
      </c>
      <c r="G531" s="2" t="s">
        <v>1263</v>
      </c>
      <c r="H531" s="17">
        <v>261896</v>
      </c>
      <c r="I531" s="2"/>
      <c r="J531" s="2"/>
      <c r="K531" s="17">
        <v>261896</v>
      </c>
      <c r="L531" s="17">
        <v>28060.29</v>
      </c>
      <c r="M531" s="17">
        <v>233835.71</v>
      </c>
      <c r="N531" s="17">
        <v>261896</v>
      </c>
      <c r="O531" s="2"/>
      <c r="P531" s="2"/>
      <c r="Q531" s="2" t="s">
        <v>270</v>
      </c>
      <c r="R531" s="5">
        <f t="shared" si="24"/>
        <v>261896</v>
      </c>
      <c r="S531" s="5">
        <f t="shared" si="25"/>
        <v>261896</v>
      </c>
      <c r="T531" s="5">
        <f t="shared" si="26"/>
        <v>0</v>
      </c>
    </row>
    <row r="532" spans="1:20">
      <c r="A532" s="2" t="s">
        <v>1372</v>
      </c>
      <c r="B532" s="2" t="s">
        <v>1390</v>
      </c>
      <c r="C532" s="2" t="s">
        <v>333</v>
      </c>
      <c r="D532" s="16">
        <v>30</v>
      </c>
      <c r="E532" s="2" t="s">
        <v>1389</v>
      </c>
      <c r="F532" s="2" t="s">
        <v>1262</v>
      </c>
      <c r="G532" s="2" t="s">
        <v>1265</v>
      </c>
      <c r="H532" s="17">
        <v>212525</v>
      </c>
      <c r="I532" s="2"/>
      <c r="J532" s="2"/>
      <c r="K532" s="17">
        <v>212525</v>
      </c>
      <c r="L532" s="17">
        <v>22770.54</v>
      </c>
      <c r="M532" s="17">
        <v>189754.46</v>
      </c>
      <c r="N532" s="17">
        <v>212525</v>
      </c>
      <c r="O532" s="2"/>
      <c r="P532" s="2"/>
      <c r="Q532" s="2" t="s">
        <v>270</v>
      </c>
      <c r="R532" s="5">
        <f t="shared" si="24"/>
        <v>212525</v>
      </c>
      <c r="S532" s="5">
        <f t="shared" si="25"/>
        <v>212525</v>
      </c>
      <c r="T532" s="5">
        <f t="shared" si="26"/>
        <v>0</v>
      </c>
    </row>
    <row r="533" spans="1:20">
      <c r="A533" s="2" t="s">
        <v>1372</v>
      </c>
      <c r="B533" s="2" t="s">
        <v>1391</v>
      </c>
      <c r="C533" s="2" t="s">
        <v>18</v>
      </c>
      <c r="D533" s="16">
        <v>0</v>
      </c>
      <c r="E533" s="2" t="s">
        <v>1372</v>
      </c>
      <c r="F533" s="2" t="s">
        <v>61</v>
      </c>
      <c r="G533" s="2" t="s">
        <v>1392</v>
      </c>
      <c r="H533" s="17">
        <v>256495</v>
      </c>
      <c r="I533" s="19">
        <v>-5129.8999999999996</v>
      </c>
      <c r="J533" s="2"/>
      <c r="K533" s="17">
        <v>251365.1</v>
      </c>
      <c r="L533" s="17">
        <v>26931.98</v>
      </c>
      <c r="M533" s="17">
        <v>224433.12</v>
      </c>
      <c r="N533" s="17">
        <v>251365.1</v>
      </c>
      <c r="O533" s="2"/>
      <c r="P533" s="2"/>
      <c r="Q533" s="2" t="s">
        <v>56</v>
      </c>
      <c r="R533" s="5">
        <f t="shared" si="24"/>
        <v>251365.1</v>
      </c>
      <c r="S533" s="5">
        <f t="shared" si="25"/>
        <v>251365.1</v>
      </c>
      <c r="T533" s="5">
        <f t="shared" si="26"/>
        <v>0</v>
      </c>
    </row>
    <row r="534" spans="1:20">
      <c r="A534" s="2" t="s">
        <v>1372</v>
      </c>
      <c r="B534" s="2" t="s">
        <v>1393</v>
      </c>
      <c r="C534" s="2" t="s">
        <v>104</v>
      </c>
      <c r="D534" s="16">
        <v>0</v>
      </c>
      <c r="E534" s="2" t="s">
        <v>1372</v>
      </c>
      <c r="F534" s="2" t="s">
        <v>277</v>
      </c>
      <c r="G534" s="2" t="s">
        <v>1394</v>
      </c>
      <c r="H534" s="17">
        <v>2179150</v>
      </c>
      <c r="I534" s="2"/>
      <c r="J534" s="2"/>
      <c r="K534" s="17">
        <v>2179150</v>
      </c>
      <c r="L534" s="17">
        <v>233480.36</v>
      </c>
      <c r="M534" s="17">
        <v>1945669.64</v>
      </c>
      <c r="N534" s="17">
        <v>2179150</v>
      </c>
      <c r="O534" s="2"/>
      <c r="P534" s="2"/>
      <c r="Q534" s="2" t="s">
        <v>69</v>
      </c>
      <c r="R534" s="5">
        <f t="shared" si="24"/>
        <v>2179150</v>
      </c>
      <c r="S534" s="5">
        <f t="shared" si="25"/>
        <v>2179150</v>
      </c>
      <c r="T534" s="5">
        <f t="shared" si="26"/>
        <v>0</v>
      </c>
    </row>
    <row r="535" spans="1:20">
      <c r="A535" s="2" t="s">
        <v>1372</v>
      </c>
      <c r="B535" s="2" t="s">
        <v>1395</v>
      </c>
      <c r="C535" s="2" t="s">
        <v>54</v>
      </c>
      <c r="D535" s="16">
        <v>90</v>
      </c>
      <c r="E535" s="2" t="s">
        <v>1376</v>
      </c>
      <c r="F535" s="2" t="s">
        <v>1396</v>
      </c>
      <c r="G535" s="2" t="s">
        <v>1397</v>
      </c>
      <c r="H535" s="17">
        <v>412500</v>
      </c>
      <c r="I535" s="2"/>
      <c r="J535" s="2"/>
      <c r="K535" s="17">
        <v>412500</v>
      </c>
      <c r="L535" s="17">
        <v>44196.43</v>
      </c>
      <c r="M535" s="17">
        <v>368303.57</v>
      </c>
      <c r="N535" s="17">
        <v>412500</v>
      </c>
      <c r="O535" s="2"/>
      <c r="P535" s="2"/>
      <c r="Q535" s="2" t="s">
        <v>69</v>
      </c>
      <c r="R535" s="5">
        <f t="shared" si="24"/>
        <v>412500</v>
      </c>
      <c r="S535" s="5">
        <f t="shared" si="25"/>
        <v>412500</v>
      </c>
      <c r="T535" s="5">
        <f t="shared" si="26"/>
        <v>0</v>
      </c>
    </row>
    <row r="536" spans="1:20">
      <c r="A536" s="2" t="s">
        <v>1372</v>
      </c>
      <c r="B536" s="2" t="s">
        <v>1398</v>
      </c>
      <c r="C536" s="2" t="s">
        <v>60</v>
      </c>
      <c r="D536" s="16">
        <v>0</v>
      </c>
      <c r="E536" s="2" t="s">
        <v>1372</v>
      </c>
      <c r="F536" s="2" t="s">
        <v>196</v>
      </c>
      <c r="G536" s="2" t="s">
        <v>1399</v>
      </c>
      <c r="H536" s="17">
        <v>492232</v>
      </c>
      <c r="I536" s="2"/>
      <c r="J536" s="2"/>
      <c r="K536" s="17">
        <v>492232</v>
      </c>
      <c r="L536" s="17">
        <v>52739.14</v>
      </c>
      <c r="M536" s="17">
        <v>439492.86</v>
      </c>
      <c r="N536" s="17">
        <v>492232</v>
      </c>
      <c r="O536" s="2"/>
      <c r="P536" s="2"/>
      <c r="Q536" s="2" t="s">
        <v>56</v>
      </c>
      <c r="R536" s="5">
        <f t="shared" si="24"/>
        <v>492232</v>
      </c>
      <c r="S536" s="5">
        <f t="shared" si="25"/>
        <v>492232</v>
      </c>
      <c r="T536" s="5">
        <f t="shared" si="26"/>
        <v>0</v>
      </c>
    </row>
    <row r="537" spans="1:20">
      <c r="A537" s="2" t="s">
        <v>1372</v>
      </c>
      <c r="B537" s="2" t="s">
        <v>1400</v>
      </c>
      <c r="C537" s="2" t="s">
        <v>146</v>
      </c>
      <c r="D537" s="16">
        <v>90</v>
      </c>
      <c r="E537" s="2" t="s">
        <v>1376</v>
      </c>
      <c r="F537" s="2" t="s">
        <v>1038</v>
      </c>
      <c r="G537" s="2" t="s">
        <v>1401</v>
      </c>
      <c r="H537" s="17">
        <v>208288</v>
      </c>
      <c r="I537" s="2"/>
      <c r="J537" s="2"/>
      <c r="K537" s="17">
        <v>208288</v>
      </c>
      <c r="L537" s="17">
        <v>22316.57</v>
      </c>
      <c r="M537" s="17">
        <v>185971.43</v>
      </c>
      <c r="N537" s="17">
        <v>208288</v>
      </c>
      <c r="O537" s="2"/>
      <c r="P537" s="2"/>
      <c r="Q537" s="2" t="s">
        <v>139</v>
      </c>
      <c r="R537" s="5">
        <f t="shared" si="24"/>
        <v>208288</v>
      </c>
      <c r="S537" s="5">
        <f t="shared" si="25"/>
        <v>208288</v>
      </c>
      <c r="T537" s="5">
        <f t="shared" si="26"/>
        <v>0</v>
      </c>
    </row>
    <row r="538" spans="1:20">
      <c r="A538" s="2" t="s">
        <v>1372</v>
      </c>
      <c r="B538" s="2" t="s">
        <v>1402</v>
      </c>
      <c r="C538" s="2" t="s">
        <v>146</v>
      </c>
      <c r="D538" s="16">
        <v>90</v>
      </c>
      <c r="E538" s="2" t="s">
        <v>1376</v>
      </c>
      <c r="F538" s="2" t="s">
        <v>1038</v>
      </c>
      <c r="G538" s="2" t="s">
        <v>1403</v>
      </c>
      <c r="H538" s="17">
        <v>94464</v>
      </c>
      <c r="I538" s="2"/>
      <c r="J538" s="2"/>
      <c r="K538" s="17">
        <v>94464</v>
      </c>
      <c r="L538" s="17">
        <v>10121.14</v>
      </c>
      <c r="M538" s="17">
        <v>84342.86</v>
      </c>
      <c r="N538" s="17">
        <v>94464</v>
      </c>
      <c r="O538" s="2"/>
      <c r="P538" s="2"/>
      <c r="Q538" s="2" t="s">
        <v>139</v>
      </c>
      <c r="R538" s="5">
        <f t="shared" si="24"/>
        <v>94464</v>
      </c>
      <c r="S538" s="5">
        <f t="shared" si="25"/>
        <v>94464</v>
      </c>
      <c r="T538" s="5">
        <f t="shared" si="26"/>
        <v>0</v>
      </c>
    </row>
    <row r="539" spans="1:20">
      <c r="A539" s="2" t="s">
        <v>1372</v>
      </c>
      <c r="B539" s="2" t="s">
        <v>1404</v>
      </c>
      <c r="C539" s="2" t="s">
        <v>162</v>
      </c>
      <c r="D539" s="16">
        <v>90</v>
      </c>
      <c r="E539" s="2" t="s">
        <v>1376</v>
      </c>
      <c r="F539" s="2" t="s">
        <v>1405</v>
      </c>
      <c r="G539" s="2" t="s">
        <v>1406</v>
      </c>
      <c r="H539" s="17">
        <v>80378</v>
      </c>
      <c r="I539" s="2"/>
      <c r="J539" s="2"/>
      <c r="K539" s="17">
        <v>80378</v>
      </c>
      <c r="L539" s="17">
        <v>8611.93</v>
      </c>
      <c r="M539" s="17">
        <v>71766.070000000007</v>
      </c>
      <c r="N539" s="17">
        <v>80378</v>
      </c>
      <c r="O539" s="2"/>
      <c r="P539" s="2"/>
      <c r="Q539" s="2" t="s">
        <v>139</v>
      </c>
      <c r="R539" s="5">
        <f t="shared" si="24"/>
        <v>80378</v>
      </c>
      <c r="S539" s="5">
        <f t="shared" si="25"/>
        <v>80378</v>
      </c>
      <c r="T539" s="5">
        <f t="shared" si="26"/>
        <v>0</v>
      </c>
    </row>
    <row r="540" spans="1:20">
      <c r="A540" s="2" t="s">
        <v>1372</v>
      </c>
      <c r="B540" s="2" t="s">
        <v>1407</v>
      </c>
      <c r="C540" s="2" t="s">
        <v>162</v>
      </c>
      <c r="D540" s="16">
        <v>90</v>
      </c>
      <c r="E540" s="2" t="s">
        <v>1376</v>
      </c>
      <c r="F540" s="2" t="s">
        <v>1405</v>
      </c>
      <c r="G540" s="2" t="s">
        <v>1408</v>
      </c>
      <c r="H540" s="17">
        <v>28800</v>
      </c>
      <c r="I540" s="2"/>
      <c r="J540" s="2"/>
      <c r="K540" s="17">
        <v>28800</v>
      </c>
      <c r="L540" s="17">
        <v>3085.71</v>
      </c>
      <c r="M540" s="17">
        <v>25714.29</v>
      </c>
      <c r="N540" s="17">
        <v>28800</v>
      </c>
      <c r="O540" s="2"/>
      <c r="P540" s="2"/>
      <c r="Q540" s="2" t="s">
        <v>139</v>
      </c>
      <c r="R540" s="5">
        <f t="shared" si="24"/>
        <v>28800</v>
      </c>
      <c r="S540" s="5">
        <f t="shared" si="25"/>
        <v>28800</v>
      </c>
      <c r="T540" s="5">
        <f t="shared" si="26"/>
        <v>0</v>
      </c>
    </row>
    <row r="541" spans="1:20">
      <c r="A541" s="2" t="s">
        <v>1372</v>
      </c>
      <c r="B541" s="2" t="s">
        <v>1409</v>
      </c>
      <c r="C541" s="2" t="s">
        <v>151</v>
      </c>
      <c r="D541" s="16">
        <v>60</v>
      </c>
      <c r="E541" s="2" t="s">
        <v>1373</v>
      </c>
      <c r="F541" s="2" t="s">
        <v>264</v>
      </c>
      <c r="G541" s="2" t="s">
        <v>1410</v>
      </c>
      <c r="H541" s="17">
        <v>11762</v>
      </c>
      <c r="I541" s="2"/>
      <c r="J541" s="2"/>
      <c r="K541" s="17">
        <v>11762</v>
      </c>
      <c r="L541" s="17">
        <v>1260.21</v>
      </c>
      <c r="M541" s="17">
        <v>10501.79</v>
      </c>
      <c r="N541" s="17">
        <v>11762</v>
      </c>
      <c r="O541" s="2"/>
      <c r="P541" s="2"/>
      <c r="Q541" s="2" t="s">
        <v>139</v>
      </c>
      <c r="R541" s="5">
        <f t="shared" si="24"/>
        <v>11762</v>
      </c>
      <c r="S541" s="5">
        <f t="shared" si="25"/>
        <v>11762</v>
      </c>
      <c r="T541" s="5">
        <f t="shared" si="26"/>
        <v>0</v>
      </c>
    </row>
    <row r="542" spans="1:20">
      <c r="A542" s="2" t="s">
        <v>1372</v>
      </c>
      <c r="B542" s="2" t="s">
        <v>1411</v>
      </c>
      <c r="C542" s="2" t="s">
        <v>104</v>
      </c>
      <c r="D542" s="16">
        <v>0</v>
      </c>
      <c r="E542" s="2" t="s">
        <v>1372</v>
      </c>
      <c r="F542" s="2" t="s">
        <v>277</v>
      </c>
      <c r="G542" s="2" t="s">
        <v>1412</v>
      </c>
      <c r="H542" s="17">
        <v>1815950</v>
      </c>
      <c r="I542" s="2"/>
      <c r="J542" s="2"/>
      <c r="K542" s="17">
        <v>1815950</v>
      </c>
      <c r="L542" s="17">
        <v>194566.07</v>
      </c>
      <c r="M542" s="17">
        <v>1621383.93</v>
      </c>
      <c r="N542" s="17">
        <v>1815950</v>
      </c>
      <c r="O542" s="2"/>
      <c r="P542" s="2"/>
      <c r="Q542" s="2" t="s">
        <v>69</v>
      </c>
      <c r="R542" s="5">
        <f t="shared" si="24"/>
        <v>1815950</v>
      </c>
      <c r="S542" s="5">
        <f t="shared" si="25"/>
        <v>1815950</v>
      </c>
      <c r="T542" s="5">
        <f t="shared" si="26"/>
        <v>0</v>
      </c>
    </row>
    <row r="543" spans="1:20">
      <c r="A543" s="2" t="s">
        <v>1372</v>
      </c>
      <c r="B543" s="2" t="s">
        <v>1413</v>
      </c>
      <c r="C543" s="2" t="s">
        <v>64</v>
      </c>
      <c r="D543" s="16">
        <v>30</v>
      </c>
      <c r="E543" s="2" t="s">
        <v>1389</v>
      </c>
      <c r="F543" s="2" t="s">
        <v>26</v>
      </c>
      <c r="G543" s="2" t="s">
        <v>1414</v>
      </c>
      <c r="H543" s="17">
        <v>352731.5</v>
      </c>
      <c r="I543" s="2"/>
      <c r="J543" s="2"/>
      <c r="K543" s="17">
        <v>352731.5</v>
      </c>
      <c r="L543" s="17">
        <v>37792.660000000003</v>
      </c>
      <c r="M543" s="17">
        <v>314938.84000000003</v>
      </c>
      <c r="N543" s="17">
        <v>352731.5</v>
      </c>
      <c r="O543" s="2"/>
      <c r="P543" s="2"/>
      <c r="Q543" s="2" t="s">
        <v>25</v>
      </c>
      <c r="R543" s="5">
        <f t="shared" si="24"/>
        <v>352731.5</v>
      </c>
      <c r="S543" s="5">
        <f t="shared" si="25"/>
        <v>352731.5</v>
      </c>
      <c r="T543" s="5">
        <f t="shared" si="26"/>
        <v>0</v>
      </c>
    </row>
    <row r="544" spans="1:20">
      <c r="A544" s="2" t="s">
        <v>1372</v>
      </c>
      <c r="B544" s="2" t="s">
        <v>1415</v>
      </c>
      <c r="C544" s="2" t="s">
        <v>64</v>
      </c>
      <c r="D544" s="16">
        <v>30</v>
      </c>
      <c r="E544" s="2" t="s">
        <v>1389</v>
      </c>
      <c r="F544" s="2" t="s">
        <v>26</v>
      </c>
      <c r="G544" s="2" t="s">
        <v>1416</v>
      </c>
      <c r="H544" s="17">
        <v>278419</v>
      </c>
      <c r="I544" s="2"/>
      <c r="J544" s="2"/>
      <c r="K544" s="17">
        <v>278419</v>
      </c>
      <c r="L544" s="17">
        <v>29830.61</v>
      </c>
      <c r="M544" s="17">
        <v>248588.39</v>
      </c>
      <c r="N544" s="17">
        <v>278419</v>
      </c>
      <c r="O544" s="2"/>
      <c r="P544" s="2"/>
      <c r="Q544" s="2" t="s">
        <v>25</v>
      </c>
      <c r="R544" s="5">
        <f t="shared" si="24"/>
        <v>278419</v>
      </c>
      <c r="S544" s="5">
        <f t="shared" si="25"/>
        <v>278419</v>
      </c>
      <c r="T544" s="5">
        <f t="shared" si="26"/>
        <v>0</v>
      </c>
    </row>
    <row r="545" spans="1:20">
      <c r="A545" s="2" t="s">
        <v>1372</v>
      </c>
      <c r="B545" s="2" t="s">
        <v>1417</v>
      </c>
      <c r="C545" s="2" t="s">
        <v>64</v>
      </c>
      <c r="D545" s="16">
        <v>30</v>
      </c>
      <c r="E545" s="2" t="s">
        <v>1389</v>
      </c>
      <c r="F545" s="2" t="s">
        <v>26</v>
      </c>
      <c r="G545" s="2" t="s">
        <v>1418</v>
      </c>
      <c r="H545" s="17">
        <v>872800</v>
      </c>
      <c r="I545" s="2"/>
      <c r="J545" s="2"/>
      <c r="K545" s="17">
        <v>872800</v>
      </c>
      <c r="L545" s="17">
        <v>93514.29</v>
      </c>
      <c r="M545" s="17">
        <v>779285.71</v>
      </c>
      <c r="N545" s="17">
        <v>872800</v>
      </c>
      <c r="O545" s="2"/>
      <c r="P545" s="2"/>
      <c r="Q545" s="2" t="s">
        <v>25</v>
      </c>
      <c r="R545" s="5">
        <f t="shared" si="24"/>
        <v>872800</v>
      </c>
      <c r="S545" s="5">
        <f t="shared" si="25"/>
        <v>872800</v>
      </c>
      <c r="T545" s="5">
        <f t="shared" si="26"/>
        <v>0</v>
      </c>
    </row>
    <row r="546" spans="1:20">
      <c r="A546" s="2" t="s">
        <v>1372</v>
      </c>
      <c r="B546" s="2" t="s">
        <v>1419</v>
      </c>
      <c r="C546" s="2" t="s">
        <v>64</v>
      </c>
      <c r="D546" s="16">
        <v>30</v>
      </c>
      <c r="E546" s="2" t="s">
        <v>1389</v>
      </c>
      <c r="F546" s="2" t="s">
        <v>26</v>
      </c>
      <c r="G546" s="2" t="s">
        <v>1420</v>
      </c>
      <c r="H546" s="17">
        <v>264274</v>
      </c>
      <c r="I546" s="2"/>
      <c r="J546" s="17">
        <v>35300</v>
      </c>
      <c r="K546" s="17">
        <f>299574-J546</f>
        <v>264274</v>
      </c>
      <c r="L546" s="17">
        <v>32097.21</v>
      </c>
      <c r="M546" s="17">
        <v>267476.78999999998</v>
      </c>
      <c r="N546" s="17">
        <v>299574</v>
      </c>
      <c r="O546" s="2"/>
      <c r="P546" s="2"/>
      <c r="Q546" s="2" t="s">
        <v>25</v>
      </c>
      <c r="R546" s="5">
        <f t="shared" si="24"/>
        <v>299574</v>
      </c>
      <c r="S546" s="5">
        <f t="shared" si="25"/>
        <v>299574</v>
      </c>
      <c r="T546" s="5">
        <f t="shared" si="26"/>
        <v>0</v>
      </c>
    </row>
    <row r="547" spans="1:20">
      <c r="A547" s="2" t="s">
        <v>1372</v>
      </c>
      <c r="B547" s="2" t="s">
        <v>1421</v>
      </c>
      <c r="C547" s="2" t="s">
        <v>68</v>
      </c>
      <c r="D547" s="16">
        <v>60</v>
      </c>
      <c r="E547" s="2" t="s">
        <v>1373</v>
      </c>
      <c r="F547" s="2" t="s">
        <v>1422</v>
      </c>
      <c r="G547" s="2" t="s">
        <v>1423</v>
      </c>
      <c r="H547" s="17">
        <v>652054</v>
      </c>
      <c r="I547" s="2"/>
      <c r="J547" s="2"/>
      <c r="K547" s="17">
        <v>652054</v>
      </c>
      <c r="L547" s="17">
        <v>69862.929999999993</v>
      </c>
      <c r="M547" s="17">
        <v>582191.06999999995</v>
      </c>
      <c r="N547" s="17">
        <v>652054</v>
      </c>
      <c r="O547" s="2"/>
      <c r="P547" s="2"/>
      <c r="Q547" s="2" t="s">
        <v>577</v>
      </c>
      <c r="R547" s="5">
        <f t="shared" si="24"/>
        <v>652054</v>
      </c>
      <c r="S547" s="5">
        <f t="shared" si="25"/>
        <v>652054</v>
      </c>
      <c r="T547" s="5">
        <f t="shared" si="26"/>
        <v>0</v>
      </c>
    </row>
    <row r="548" spans="1:20">
      <c r="A548" s="2" t="s">
        <v>1372</v>
      </c>
      <c r="B548" s="2" t="s">
        <v>1424</v>
      </c>
      <c r="C548" s="2" t="s">
        <v>68</v>
      </c>
      <c r="D548" s="16">
        <v>60</v>
      </c>
      <c r="E548" s="2" t="s">
        <v>1373</v>
      </c>
      <c r="F548" s="2" t="s">
        <v>1422</v>
      </c>
      <c r="G548" s="2" t="s">
        <v>1425</v>
      </c>
      <c r="H548" s="17">
        <v>446568</v>
      </c>
      <c r="I548" s="2"/>
      <c r="J548" s="2"/>
      <c r="K548" s="17">
        <v>446568</v>
      </c>
      <c r="L548" s="17">
        <v>47846.57</v>
      </c>
      <c r="M548" s="17">
        <v>398721.43</v>
      </c>
      <c r="N548" s="17">
        <v>446568</v>
      </c>
      <c r="O548" s="2"/>
      <c r="P548" s="2"/>
      <c r="Q548" s="2" t="s">
        <v>577</v>
      </c>
      <c r="R548" s="5">
        <f t="shared" si="24"/>
        <v>446568</v>
      </c>
      <c r="S548" s="5">
        <f t="shared" si="25"/>
        <v>446568</v>
      </c>
      <c r="T548" s="5">
        <f t="shared" si="26"/>
        <v>0</v>
      </c>
    </row>
    <row r="549" spans="1:20">
      <c r="A549" s="2" t="s">
        <v>1372</v>
      </c>
      <c r="B549" s="2" t="s">
        <v>1426</v>
      </c>
      <c r="C549" s="2" t="s">
        <v>237</v>
      </c>
      <c r="D549" s="16">
        <v>60</v>
      </c>
      <c r="E549" s="2" t="s">
        <v>1373</v>
      </c>
      <c r="F549" s="2" t="s">
        <v>760</v>
      </c>
      <c r="G549" s="2" t="s">
        <v>1427</v>
      </c>
      <c r="H549" s="17">
        <v>242400</v>
      </c>
      <c r="I549" s="2"/>
      <c r="J549" s="2"/>
      <c r="K549" s="17">
        <v>242400</v>
      </c>
      <c r="L549" s="17">
        <v>25971.43</v>
      </c>
      <c r="M549" s="17">
        <v>216428.57</v>
      </c>
      <c r="N549" s="17">
        <v>242400</v>
      </c>
      <c r="O549" s="2"/>
      <c r="P549" s="2"/>
      <c r="Q549" s="2" t="s">
        <v>759</v>
      </c>
      <c r="R549" s="5">
        <f t="shared" si="24"/>
        <v>242400</v>
      </c>
      <c r="S549" s="5">
        <f t="shared" si="25"/>
        <v>242400</v>
      </c>
      <c r="T549" s="5">
        <f t="shared" si="26"/>
        <v>0</v>
      </c>
    </row>
    <row r="550" spans="1:20">
      <c r="A550" s="2" t="s">
        <v>1372</v>
      </c>
      <c r="B550" s="2" t="s">
        <v>1428</v>
      </c>
      <c r="C550" s="2" t="s">
        <v>237</v>
      </c>
      <c r="D550" s="16">
        <v>60</v>
      </c>
      <c r="E550" s="2" t="s">
        <v>1373</v>
      </c>
      <c r="F550" s="2" t="s">
        <v>760</v>
      </c>
      <c r="G550" s="2" t="s">
        <v>1429</v>
      </c>
      <c r="H550" s="17">
        <v>242400</v>
      </c>
      <c r="I550" s="2"/>
      <c r="J550" s="2"/>
      <c r="K550" s="17">
        <v>242400</v>
      </c>
      <c r="L550" s="17">
        <v>25971.43</v>
      </c>
      <c r="M550" s="17">
        <v>216428.57</v>
      </c>
      <c r="N550" s="17">
        <v>242400</v>
      </c>
      <c r="O550" s="2"/>
      <c r="P550" s="2"/>
      <c r="Q550" s="2" t="s">
        <v>759</v>
      </c>
      <c r="R550" s="5">
        <f t="shared" si="24"/>
        <v>242400</v>
      </c>
      <c r="S550" s="5">
        <f t="shared" si="25"/>
        <v>242400</v>
      </c>
      <c r="T550" s="5">
        <f t="shared" si="26"/>
        <v>0</v>
      </c>
    </row>
    <row r="551" spans="1:20">
      <c r="A551" s="2" t="s">
        <v>1372</v>
      </c>
      <c r="B551" s="2" t="s">
        <v>1430</v>
      </c>
      <c r="C551" s="2" t="s">
        <v>60</v>
      </c>
      <c r="D551" s="16">
        <v>0</v>
      </c>
      <c r="E551" s="2" t="s">
        <v>1372</v>
      </c>
      <c r="F551" s="2" t="s">
        <v>61</v>
      </c>
      <c r="G551" s="2" t="s">
        <v>1431</v>
      </c>
      <c r="H551" s="17">
        <v>27000</v>
      </c>
      <c r="I551" s="19">
        <v>-540</v>
      </c>
      <c r="J551" s="2"/>
      <c r="K551" s="17">
        <v>26460</v>
      </c>
      <c r="L551" s="17">
        <v>2835</v>
      </c>
      <c r="M551" s="17">
        <v>23625</v>
      </c>
      <c r="N551" s="17">
        <v>26460</v>
      </c>
      <c r="O551" s="2"/>
      <c r="P551" s="2"/>
      <c r="Q551" s="2" t="s">
        <v>56</v>
      </c>
      <c r="R551" s="5">
        <f t="shared" si="24"/>
        <v>26460</v>
      </c>
      <c r="S551" s="5">
        <f t="shared" si="25"/>
        <v>26460</v>
      </c>
      <c r="T551" s="5">
        <f t="shared" si="26"/>
        <v>0</v>
      </c>
    </row>
    <row r="552" spans="1:20">
      <c r="A552" s="2" t="s">
        <v>1372</v>
      </c>
      <c r="B552" s="2" t="s">
        <v>1432</v>
      </c>
      <c r="C552" s="2" t="s">
        <v>29</v>
      </c>
      <c r="D552" s="16">
        <v>0</v>
      </c>
      <c r="E552" s="2" t="s">
        <v>1372</v>
      </c>
      <c r="F552" s="2" t="s">
        <v>31</v>
      </c>
      <c r="G552" s="2" t="s">
        <v>1433</v>
      </c>
      <c r="H552" s="17">
        <v>40960</v>
      </c>
      <c r="I552" s="2"/>
      <c r="J552" s="2"/>
      <c r="K552" s="17">
        <v>40960</v>
      </c>
      <c r="L552" s="17">
        <v>4388.57</v>
      </c>
      <c r="M552" s="17">
        <v>36571.43</v>
      </c>
      <c r="N552" s="17">
        <v>40960</v>
      </c>
      <c r="O552" s="2"/>
      <c r="P552" s="2"/>
      <c r="Q552" s="2" t="s">
        <v>30</v>
      </c>
      <c r="R552" s="5">
        <f t="shared" si="24"/>
        <v>40960</v>
      </c>
      <c r="S552" s="5">
        <f t="shared" si="25"/>
        <v>40960</v>
      </c>
      <c r="T552" s="5">
        <f t="shared" si="26"/>
        <v>0</v>
      </c>
    </row>
    <row r="553" spans="1:20">
      <c r="A553" s="2" t="s">
        <v>1372</v>
      </c>
      <c r="B553" s="2" t="s">
        <v>1434</v>
      </c>
      <c r="C553" s="2" t="s">
        <v>29</v>
      </c>
      <c r="D553" s="16">
        <v>0</v>
      </c>
      <c r="E553" s="2" t="s">
        <v>1372</v>
      </c>
      <c r="F553" s="2" t="s">
        <v>31</v>
      </c>
      <c r="G553" s="2" t="s">
        <v>1435</v>
      </c>
      <c r="H553" s="17">
        <v>3670</v>
      </c>
      <c r="I553" s="2"/>
      <c r="J553" s="2"/>
      <c r="K553" s="17">
        <v>3670</v>
      </c>
      <c r="L553" s="18">
        <v>393.21</v>
      </c>
      <c r="M553" s="17">
        <v>3276.79</v>
      </c>
      <c r="N553" s="17">
        <v>3670</v>
      </c>
      <c r="O553" s="2"/>
      <c r="P553" s="2"/>
      <c r="Q553" s="2" t="s">
        <v>30</v>
      </c>
      <c r="R553" s="5">
        <f t="shared" si="24"/>
        <v>3670</v>
      </c>
      <c r="S553" s="5">
        <f t="shared" si="25"/>
        <v>3670</v>
      </c>
      <c r="T553" s="5">
        <f t="shared" si="26"/>
        <v>0</v>
      </c>
    </row>
    <row r="554" spans="1:20">
      <c r="A554" s="2" t="s">
        <v>1372</v>
      </c>
      <c r="B554" s="2" t="s">
        <v>1436</v>
      </c>
      <c r="C554" s="2" t="s">
        <v>29</v>
      </c>
      <c r="D554" s="16">
        <v>0</v>
      </c>
      <c r="E554" s="2" t="s">
        <v>1372</v>
      </c>
      <c r="F554" s="2" t="s">
        <v>31</v>
      </c>
      <c r="G554" s="2" t="s">
        <v>1437</v>
      </c>
      <c r="H554" s="17">
        <v>7250</v>
      </c>
      <c r="I554" s="2"/>
      <c r="J554" s="2"/>
      <c r="K554" s="17">
        <v>7250</v>
      </c>
      <c r="L554" s="18">
        <v>776.79</v>
      </c>
      <c r="M554" s="17">
        <v>6473.21</v>
      </c>
      <c r="N554" s="17">
        <v>7250</v>
      </c>
      <c r="O554" s="2"/>
      <c r="P554" s="2"/>
      <c r="Q554" s="2" t="s">
        <v>30</v>
      </c>
      <c r="R554" s="5">
        <f t="shared" si="24"/>
        <v>7250</v>
      </c>
      <c r="S554" s="5">
        <f t="shared" si="25"/>
        <v>7250</v>
      </c>
      <c r="T554" s="5">
        <f t="shared" si="26"/>
        <v>0</v>
      </c>
    </row>
    <row r="555" spans="1:20">
      <c r="A555" s="2" t="s">
        <v>1372</v>
      </c>
      <c r="B555" s="2" t="s">
        <v>1438</v>
      </c>
      <c r="C555" s="2" t="s">
        <v>73</v>
      </c>
      <c r="D555" s="16">
        <v>30</v>
      </c>
      <c r="E555" s="2" t="s">
        <v>1389</v>
      </c>
      <c r="F555" s="2" t="s">
        <v>271</v>
      </c>
      <c r="G555" s="2" t="s">
        <v>1439</v>
      </c>
      <c r="H555" s="17">
        <v>33500</v>
      </c>
      <c r="I555" s="2"/>
      <c r="J555" s="2"/>
      <c r="K555" s="17">
        <v>33500</v>
      </c>
      <c r="L555" s="2"/>
      <c r="M555" s="17">
        <v>33500</v>
      </c>
      <c r="N555" s="17">
        <v>33500</v>
      </c>
      <c r="O555" s="2"/>
      <c r="P555" s="2"/>
      <c r="Q555" s="2" t="s">
        <v>270</v>
      </c>
      <c r="R555" s="5">
        <f t="shared" si="24"/>
        <v>33500</v>
      </c>
      <c r="S555" s="5">
        <f t="shared" si="25"/>
        <v>33500</v>
      </c>
      <c r="T555" s="5">
        <f t="shared" si="26"/>
        <v>0</v>
      </c>
    </row>
    <row r="556" spans="1:20">
      <c r="A556" s="2" t="s">
        <v>1372</v>
      </c>
      <c r="B556" s="2" t="s">
        <v>1440</v>
      </c>
      <c r="C556" s="2" t="s">
        <v>73</v>
      </c>
      <c r="D556" s="16">
        <v>30</v>
      </c>
      <c r="E556" s="2" t="s">
        <v>1389</v>
      </c>
      <c r="F556" s="2" t="s">
        <v>271</v>
      </c>
      <c r="G556" s="2" t="s">
        <v>1441</v>
      </c>
      <c r="H556" s="17">
        <v>20460</v>
      </c>
      <c r="I556" s="2"/>
      <c r="J556" s="2"/>
      <c r="K556" s="17">
        <v>20460</v>
      </c>
      <c r="L556" s="2"/>
      <c r="M556" s="17">
        <v>20460</v>
      </c>
      <c r="N556" s="17">
        <v>20460</v>
      </c>
      <c r="O556" s="2"/>
      <c r="P556" s="2"/>
      <c r="Q556" s="2" t="s">
        <v>270</v>
      </c>
      <c r="R556" s="5">
        <f t="shared" si="24"/>
        <v>20460</v>
      </c>
      <c r="S556" s="5">
        <f t="shared" si="25"/>
        <v>20460</v>
      </c>
      <c r="T556" s="5">
        <f t="shared" si="26"/>
        <v>0</v>
      </c>
    </row>
    <row r="557" spans="1:20">
      <c r="A557" s="2" t="s">
        <v>1372</v>
      </c>
      <c r="B557" s="2" t="s">
        <v>1442</v>
      </c>
      <c r="C557" s="2" t="s">
        <v>73</v>
      </c>
      <c r="D557" s="16">
        <v>30</v>
      </c>
      <c r="E557" s="2" t="s">
        <v>1389</v>
      </c>
      <c r="F557" s="2" t="s">
        <v>271</v>
      </c>
      <c r="G557" s="2" t="s">
        <v>1443</v>
      </c>
      <c r="H557" s="17">
        <v>1492</v>
      </c>
      <c r="I557" s="2"/>
      <c r="J557" s="2"/>
      <c r="K557" s="17">
        <v>1492</v>
      </c>
      <c r="L557" s="2"/>
      <c r="M557" s="17">
        <v>1492</v>
      </c>
      <c r="N557" s="17">
        <v>1492</v>
      </c>
      <c r="O557" s="2"/>
      <c r="P557" s="2"/>
      <c r="Q557" s="2" t="s">
        <v>270</v>
      </c>
      <c r="R557" s="5">
        <f t="shared" si="24"/>
        <v>1492</v>
      </c>
      <c r="S557" s="5">
        <f t="shared" si="25"/>
        <v>1492</v>
      </c>
      <c r="T557" s="5">
        <f t="shared" si="26"/>
        <v>0</v>
      </c>
    </row>
    <row r="558" spans="1:20">
      <c r="A558" s="2" t="s">
        <v>1372</v>
      </c>
      <c r="B558" s="2" t="s">
        <v>1444</v>
      </c>
      <c r="C558" s="2" t="s">
        <v>73</v>
      </c>
      <c r="D558" s="16">
        <v>30</v>
      </c>
      <c r="E558" s="2" t="s">
        <v>1389</v>
      </c>
      <c r="F558" s="2" t="s">
        <v>271</v>
      </c>
      <c r="G558" s="2" t="s">
        <v>1445</v>
      </c>
      <c r="H558" s="17">
        <v>67230</v>
      </c>
      <c r="I558" s="2"/>
      <c r="J558" s="2"/>
      <c r="K558" s="17">
        <v>67230</v>
      </c>
      <c r="L558" s="2"/>
      <c r="M558" s="17">
        <v>67230</v>
      </c>
      <c r="N558" s="17">
        <v>67230</v>
      </c>
      <c r="O558" s="2"/>
      <c r="P558" s="2"/>
      <c r="Q558" s="2" t="s">
        <v>270</v>
      </c>
      <c r="R558" s="5">
        <f t="shared" si="24"/>
        <v>67230</v>
      </c>
      <c r="S558" s="5">
        <f t="shared" si="25"/>
        <v>67230</v>
      </c>
      <c r="T558" s="5">
        <f t="shared" si="26"/>
        <v>0</v>
      </c>
    </row>
    <row r="559" spans="1:20">
      <c r="A559" s="2" t="s">
        <v>1372</v>
      </c>
      <c r="B559" s="2" t="s">
        <v>1446</v>
      </c>
      <c r="C559" s="2" t="s">
        <v>73</v>
      </c>
      <c r="D559" s="16">
        <v>30</v>
      </c>
      <c r="E559" s="2" t="s">
        <v>1389</v>
      </c>
      <c r="F559" s="2" t="s">
        <v>271</v>
      </c>
      <c r="G559" s="2" t="s">
        <v>1447</v>
      </c>
      <c r="H559" s="17">
        <v>14655</v>
      </c>
      <c r="I559" s="2"/>
      <c r="J559" s="2"/>
      <c r="K559" s="17">
        <v>14655</v>
      </c>
      <c r="L559" s="2"/>
      <c r="M559" s="17">
        <v>14655</v>
      </c>
      <c r="N559" s="17">
        <v>14655</v>
      </c>
      <c r="O559" s="2"/>
      <c r="P559" s="2"/>
      <c r="Q559" s="2" t="s">
        <v>270</v>
      </c>
      <c r="R559" s="5">
        <f t="shared" si="24"/>
        <v>14655</v>
      </c>
      <c r="S559" s="5">
        <f t="shared" si="25"/>
        <v>14655</v>
      </c>
      <c r="T559" s="5">
        <f t="shared" si="26"/>
        <v>0</v>
      </c>
    </row>
    <row r="560" spans="1:20">
      <c r="A560" s="2" t="s">
        <v>1372</v>
      </c>
      <c r="B560" s="2" t="s">
        <v>1448</v>
      </c>
      <c r="C560" s="2" t="s">
        <v>73</v>
      </c>
      <c r="D560" s="16">
        <v>30</v>
      </c>
      <c r="E560" s="2" t="s">
        <v>1389</v>
      </c>
      <c r="F560" s="2" t="s">
        <v>271</v>
      </c>
      <c r="G560" s="2" t="s">
        <v>1449</v>
      </c>
      <c r="H560" s="17">
        <v>2984</v>
      </c>
      <c r="I560" s="2"/>
      <c r="J560" s="2"/>
      <c r="K560" s="17">
        <v>2984</v>
      </c>
      <c r="L560" s="2"/>
      <c r="M560" s="17">
        <v>2984</v>
      </c>
      <c r="N560" s="17">
        <v>2984</v>
      </c>
      <c r="O560" s="2"/>
      <c r="P560" s="2"/>
      <c r="Q560" s="2" t="s">
        <v>270</v>
      </c>
      <c r="R560" s="5">
        <f t="shared" si="24"/>
        <v>2984</v>
      </c>
      <c r="S560" s="5">
        <f t="shared" si="25"/>
        <v>2984</v>
      </c>
      <c r="T560" s="5">
        <f t="shared" si="26"/>
        <v>0</v>
      </c>
    </row>
    <row r="561" spans="1:20">
      <c r="A561" s="2" t="s">
        <v>1372</v>
      </c>
      <c r="B561" s="2" t="s">
        <v>1450</v>
      </c>
      <c r="C561" s="2" t="s">
        <v>68</v>
      </c>
      <c r="D561" s="16">
        <v>60</v>
      </c>
      <c r="E561" s="2" t="s">
        <v>1373</v>
      </c>
      <c r="F561" s="2" t="s">
        <v>1025</v>
      </c>
      <c r="G561" s="2" t="s">
        <v>1451</v>
      </c>
      <c r="H561" s="17">
        <v>120150</v>
      </c>
      <c r="I561" s="2"/>
      <c r="J561" s="2"/>
      <c r="K561" s="17">
        <v>120150</v>
      </c>
      <c r="L561" s="17">
        <v>12873.21</v>
      </c>
      <c r="M561" s="17">
        <v>107276.79</v>
      </c>
      <c r="N561" s="17">
        <v>120150</v>
      </c>
      <c r="O561" s="2"/>
      <c r="P561" s="2"/>
      <c r="Q561" s="2" t="s">
        <v>69</v>
      </c>
      <c r="R561" s="5">
        <f t="shared" si="24"/>
        <v>120150</v>
      </c>
      <c r="S561" s="5">
        <f t="shared" si="25"/>
        <v>120150</v>
      </c>
      <c r="T561" s="5">
        <f t="shared" si="26"/>
        <v>0</v>
      </c>
    </row>
    <row r="562" spans="1:20">
      <c r="A562" s="2" t="s">
        <v>1372</v>
      </c>
      <c r="B562" s="2" t="s">
        <v>1452</v>
      </c>
      <c r="C562" s="2" t="s">
        <v>60</v>
      </c>
      <c r="D562" s="16">
        <v>0</v>
      </c>
      <c r="E562" s="2" t="s">
        <v>1372</v>
      </c>
      <c r="F562" s="2" t="s">
        <v>605</v>
      </c>
      <c r="G562" s="2" t="s">
        <v>1453</v>
      </c>
      <c r="H562" s="17">
        <v>90409.05</v>
      </c>
      <c r="I562" s="2"/>
      <c r="J562" s="2"/>
      <c r="K562" s="17">
        <v>90409.05</v>
      </c>
      <c r="L562" s="17">
        <v>9686.68</v>
      </c>
      <c r="M562" s="17">
        <v>80722.37</v>
      </c>
      <c r="N562" s="17">
        <v>90409.05</v>
      </c>
      <c r="O562" s="2"/>
      <c r="P562" s="2"/>
      <c r="Q562" s="2" t="s">
        <v>56</v>
      </c>
      <c r="R562" s="5">
        <f t="shared" si="24"/>
        <v>90409.05</v>
      </c>
      <c r="S562" s="5">
        <f t="shared" si="25"/>
        <v>90409.05</v>
      </c>
      <c r="T562" s="5">
        <f t="shared" si="26"/>
        <v>0</v>
      </c>
    </row>
    <row r="563" spans="1:20">
      <c r="A563" s="2" t="s">
        <v>1372</v>
      </c>
      <c r="B563" s="2" t="s">
        <v>1454</v>
      </c>
      <c r="C563" s="2" t="s">
        <v>60</v>
      </c>
      <c r="D563" s="16">
        <v>0</v>
      </c>
      <c r="E563" s="2" t="s">
        <v>1372</v>
      </c>
      <c r="F563" s="2" t="s">
        <v>605</v>
      </c>
      <c r="G563" s="2" t="s">
        <v>1455</v>
      </c>
      <c r="H563" s="17">
        <v>307545.40000000002</v>
      </c>
      <c r="I563" s="2"/>
      <c r="J563" s="2"/>
      <c r="K563" s="17">
        <v>307545.40000000002</v>
      </c>
      <c r="L563" s="17">
        <v>32951.29</v>
      </c>
      <c r="M563" s="17">
        <v>274594.11</v>
      </c>
      <c r="N563" s="17">
        <v>307545.40000000002</v>
      </c>
      <c r="O563" s="2"/>
      <c r="P563" s="2"/>
      <c r="Q563" s="2" t="s">
        <v>56</v>
      </c>
      <c r="R563" s="5">
        <f t="shared" si="24"/>
        <v>307545.40000000002</v>
      </c>
      <c r="S563" s="5">
        <f t="shared" si="25"/>
        <v>307545.40000000002</v>
      </c>
      <c r="T563" s="5">
        <f t="shared" si="26"/>
        <v>0</v>
      </c>
    </row>
    <row r="564" spans="1:20">
      <c r="A564" s="2" t="s">
        <v>1372</v>
      </c>
      <c r="B564" s="2" t="s">
        <v>1456</v>
      </c>
      <c r="C564" s="2" t="s">
        <v>681</v>
      </c>
      <c r="D564" s="16">
        <v>0</v>
      </c>
      <c r="E564" s="2" t="s">
        <v>1372</v>
      </c>
      <c r="F564" s="2" t="s">
        <v>682</v>
      </c>
      <c r="G564" s="2" t="s">
        <v>1457</v>
      </c>
      <c r="H564" s="17">
        <v>4970</v>
      </c>
      <c r="I564" s="2"/>
      <c r="J564" s="2"/>
      <c r="K564" s="17">
        <v>4970</v>
      </c>
      <c r="L564" s="18">
        <v>532.5</v>
      </c>
      <c r="M564" s="17">
        <v>4437.5</v>
      </c>
      <c r="N564" s="17">
        <v>4970</v>
      </c>
      <c r="O564" s="2"/>
      <c r="P564" s="2"/>
      <c r="Q564" s="2" t="s">
        <v>46</v>
      </c>
      <c r="R564" s="5">
        <f t="shared" si="24"/>
        <v>4970</v>
      </c>
      <c r="S564" s="5">
        <f t="shared" si="25"/>
        <v>4970</v>
      </c>
      <c r="T564" s="5">
        <f t="shared" si="26"/>
        <v>0</v>
      </c>
    </row>
    <row r="565" spans="1:20">
      <c r="A565" s="2" t="s">
        <v>1372</v>
      </c>
      <c r="B565" s="2" t="s">
        <v>1458</v>
      </c>
      <c r="C565" s="2" t="s">
        <v>681</v>
      </c>
      <c r="D565" s="16">
        <v>0</v>
      </c>
      <c r="E565" s="2" t="s">
        <v>1372</v>
      </c>
      <c r="F565" s="2" t="s">
        <v>682</v>
      </c>
      <c r="G565" s="2" t="s">
        <v>1459</v>
      </c>
      <c r="H565" s="17">
        <v>27968</v>
      </c>
      <c r="I565" s="2"/>
      <c r="J565" s="2"/>
      <c r="K565" s="17">
        <v>27968</v>
      </c>
      <c r="L565" s="17">
        <v>2996.57</v>
      </c>
      <c r="M565" s="17">
        <v>24971.43</v>
      </c>
      <c r="N565" s="17">
        <v>27968</v>
      </c>
      <c r="O565" s="2"/>
      <c r="P565" s="2"/>
      <c r="Q565" s="2" t="s">
        <v>46</v>
      </c>
      <c r="R565" s="5">
        <f t="shared" si="24"/>
        <v>27968</v>
      </c>
      <c r="S565" s="5">
        <f t="shared" si="25"/>
        <v>27968</v>
      </c>
      <c r="T565" s="5">
        <f t="shared" si="26"/>
        <v>0</v>
      </c>
    </row>
    <row r="566" spans="1:20">
      <c r="A566" s="2" t="s">
        <v>1461</v>
      </c>
      <c r="B566" s="2" t="s">
        <v>1460</v>
      </c>
      <c r="C566" s="2" t="s">
        <v>60</v>
      </c>
      <c r="D566" s="16">
        <v>0</v>
      </c>
      <c r="E566" s="2" t="s">
        <v>1461</v>
      </c>
      <c r="F566" s="2" t="s">
        <v>412</v>
      </c>
      <c r="G566" s="2" t="s">
        <v>1462</v>
      </c>
      <c r="H566" s="17">
        <v>35280</v>
      </c>
      <c r="I566" s="2"/>
      <c r="J566" s="2"/>
      <c r="K566" s="17">
        <v>35280</v>
      </c>
      <c r="L566" s="17">
        <v>3780</v>
      </c>
      <c r="M566" s="17">
        <v>31500</v>
      </c>
      <c r="N566" s="17">
        <v>35280</v>
      </c>
      <c r="O566" s="2"/>
      <c r="P566" s="2"/>
      <c r="Q566" s="2" t="s">
        <v>56</v>
      </c>
      <c r="R566" s="5">
        <f t="shared" si="24"/>
        <v>35280</v>
      </c>
      <c r="S566" s="5">
        <f t="shared" si="25"/>
        <v>35280</v>
      </c>
      <c r="T566" s="5">
        <f t="shared" si="26"/>
        <v>0</v>
      </c>
    </row>
    <row r="567" spans="1:20">
      <c r="A567" s="2" t="s">
        <v>1461</v>
      </c>
      <c r="B567" s="2" t="s">
        <v>1463</v>
      </c>
      <c r="C567" s="2" t="s">
        <v>681</v>
      </c>
      <c r="D567" s="16">
        <v>0</v>
      </c>
      <c r="E567" s="2" t="s">
        <v>1461</v>
      </c>
      <c r="F567" s="2" t="s">
        <v>1464</v>
      </c>
      <c r="G567" s="2" t="s">
        <v>1465</v>
      </c>
      <c r="H567" s="17">
        <v>31056</v>
      </c>
      <c r="I567" s="2"/>
      <c r="J567" s="2"/>
      <c r="K567" s="17">
        <v>31056</v>
      </c>
      <c r="L567" s="17">
        <v>3327.43</v>
      </c>
      <c r="M567" s="17">
        <v>27728.57</v>
      </c>
      <c r="N567" s="17">
        <v>31056</v>
      </c>
      <c r="O567" s="2"/>
      <c r="P567" s="2"/>
      <c r="Q567" s="2" t="s">
        <v>30</v>
      </c>
      <c r="R567" s="5">
        <f t="shared" si="24"/>
        <v>31056</v>
      </c>
      <c r="S567" s="5">
        <f t="shared" si="25"/>
        <v>31056</v>
      </c>
      <c r="T567" s="5">
        <f t="shared" si="26"/>
        <v>0</v>
      </c>
    </row>
    <row r="568" spans="1:20">
      <c r="A568" s="2" t="s">
        <v>1467</v>
      </c>
      <c r="B568" s="2" t="s">
        <v>1466</v>
      </c>
      <c r="C568" s="2" t="s">
        <v>98</v>
      </c>
      <c r="D568" s="16">
        <v>0</v>
      </c>
      <c r="E568" s="2" t="s">
        <v>1467</v>
      </c>
      <c r="F568" s="2" t="s">
        <v>99</v>
      </c>
      <c r="G568" s="2" t="s">
        <v>1468</v>
      </c>
      <c r="H568" s="17">
        <v>174050</v>
      </c>
      <c r="I568" s="19">
        <v>-5221.5</v>
      </c>
      <c r="J568" s="2"/>
      <c r="K568" s="17">
        <v>168828.5</v>
      </c>
      <c r="L568" s="17">
        <v>18088.77</v>
      </c>
      <c r="M568" s="17">
        <v>150739.73000000001</v>
      </c>
      <c r="N568" s="17">
        <v>168828.5</v>
      </c>
      <c r="O568" s="2"/>
      <c r="P568" s="2"/>
      <c r="Q568" s="2" t="s">
        <v>69</v>
      </c>
      <c r="R568" s="5">
        <f t="shared" si="24"/>
        <v>168828.5</v>
      </c>
      <c r="S568" s="5">
        <f t="shared" si="25"/>
        <v>168828.5</v>
      </c>
      <c r="T568" s="5">
        <f t="shared" si="26"/>
        <v>0</v>
      </c>
    </row>
    <row r="569" spans="1:20">
      <c r="A569" s="2" t="s">
        <v>1467</v>
      </c>
      <c r="B569" s="2" t="s">
        <v>1469</v>
      </c>
      <c r="C569" s="2" t="s">
        <v>18</v>
      </c>
      <c r="D569" s="16">
        <v>0</v>
      </c>
      <c r="E569" s="2" t="s">
        <v>1467</v>
      </c>
      <c r="F569" s="2" t="s">
        <v>1470</v>
      </c>
      <c r="G569" s="2" t="s">
        <v>1471</v>
      </c>
      <c r="H569" s="17">
        <v>107922</v>
      </c>
      <c r="I569" s="2"/>
      <c r="J569" s="17">
        <v>7500</v>
      </c>
      <c r="K569" s="17">
        <f>115422-J569</f>
        <v>107922</v>
      </c>
      <c r="L569" s="17">
        <v>12366.64</v>
      </c>
      <c r="M569" s="17">
        <v>103055.36</v>
      </c>
      <c r="N569" s="17">
        <v>115422</v>
      </c>
      <c r="O569" s="17" t="s">
        <v>1768</v>
      </c>
      <c r="P569" s="2"/>
      <c r="Q569" s="2" t="s">
        <v>25</v>
      </c>
      <c r="R569" s="5">
        <f t="shared" si="24"/>
        <v>115422</v>
      </c>
      <c r="S569" s="5">
        <f t="shared" si="25"/>
        <v>115422</v>
      </c>
      <c r="T569" s="5">
        <f t="shared" si="26"/>
        <v>0</v>
      </c>
    </row>
    <row r="570" spans="1:20">
      <c r="A570" s="2" t="s">
        <v>1467</v>
      </c>
      <c r="B570" s="2" t="s">
        <v>1472</v>
      </c>
      <c r="C570" s="2" t="s">
        <v>29</v>
      </c>
      <c r="D570" s="16">
        <v>0</v>
      </c>
      <c r="E570" s="2" t="s">
        <v>1467</v>
      </c>
      <c r="F570" s="2" t="s">
        <v>51</v>
      </c>
      <c r="G570" s="2" t="s">
        <v>1473</v>
      </c>
      <c r="H570" s="17">
        <v>30168.18</v>
      </c>
      <c r="I570" s="2"/>
      <c r="J570" s="17">
        <v>30168.18</v>
      </c>
      <c r="K570" s="2">
        <v>0</v>
      </c>
      <c r="L570" s="17">
        <v>3232.31</v>
      </c>
      <c r="M570" s="17">
        <v>26935.87</v>
      </c>
      <c r="N570" s="17">
        <v>30168.18</v>
      </c>
      <c r="O570" s="2" t="s">
        <v>1767</v>
      </c>
      <c r="P570" s="2"/>
      <c r="Q570" s="2" t="s">
        <v>50</v>
      </c>
      <c r="R570" s="5">
        <f t="shared" si="24"/>
        <v>30168.18</v>
      </c>
      <c r="S570" s="5">
        <f t="shared" si="25"/>
        <v>30168.18</v>
      </c>
      <c r="T570" s="5">
        <f t="shared" si="26"/>
        <v>0</v>
      </c>
    </row>
    <row r="571" spans="1:20">
      <c r="A571" s="2" t="s">
        <v>1467</v>
      </c>
      <c r="B571" s="2" t="s">
        <v>1474</v>
      </c>
      <c r="C571" s="2" t="s">
        <v>29</v>
      </c>
      <c r="D571" s="16">
        <v>0</v>
      </c>
      <c r="E571" s="2" t="s">
        <v>1467</v>
      </c>
      <c r="F571" s="2" t="s">
        <v>218</v>
      </c>
      <c r="G571" s="2" t="s">
        <v>1475</v>
      </c>
      <c r="H571" s="17">
        <v>166560</v>
      </c>
      <c r="I571" s="19">
        <v>-4996.8</v>
      </c>
      <c r="J571" s="2"/>
      <c r="K571" s="17">
        <v>161563.20000000001</v>
      </c>
      <c r="L571" s="17">
        <v>17310.34</v>
      </c>
      <c r="M571" s="17">
        <v>144252.85999999999</v>
      </c>
      <c r="N571" s="17">
        <v>161563.20000000001</v>
      </c>
      <c r="O571" s="2"/>
      <c r="P571" s="2"/>
      <c r="Q571" s="2" t="s">
        <v>30</v>
      </c>
      <c r="R571" s="5">
        <f t="shared" si="24"/>
        <v>161563.20000000001</v>
      </c>
      <c r="S571" s="5">
        <f t="shared" si="25"/>
        <v>161563.20000000001</v>
      </c>
      <c r="T571" s="5">
        <f t="shared" si="26"/>
        <v>0</v>
      </c>
    </row>
    <row r="572" spans="1:20">
      <c r="A572" s="2" t="s">
        <v>1467</v>
      </c>
      <c r="B572" s="2" t="s">
        <v>1476</v>
      </c>
      <c r="C572" s="2" t="s">
        <v>29</v>
      </c>
      <c r="D572" s="16">
        <v>0</v>
      </c>
      <c r="E572" s="2" t="s">
        <v>1467</v>
      </c>
      <c r="F572" s="2" t="s">
        <v>218</v>
      </c>
      <c r="G572" s="2" t="s">
        <v>1477</v>
      </c>
      <c r="H572" s="17">
        <v>41756</v>
      </c>
      <c r="I572" s="19">
        <v>-1252.68</v>
      </c>
      <c r="J572" s="2"/>
      <c r="K572" s="17">
        <v>40503.32</v>
      </c>
      <c r="L572" s="17">
        <v>4339.6400000000003</v>
      </c>
      <c r="M572" s="17">
        <v>36163.68</v>
      </c>
      <c r="N572" s="17">
        <v>40503.32</v>
      </c>
      <c r="O572" s="2"/>
      <c r="P572" s="2"/>
      <c r="Q572" s="2" t="s">
        <v>30</v>
      </c>
      <c r="R572" s="5">
        <f t="shared" si="24"/>
        <v>40503.32</v>
      </c>
      <c r="S572" s="5">
        <f t="shared" si="25"/>
        <v>40503.32</v>
      </c>
      <c r="T572" s="5">
        <f t="shared" si="26"/>
        <v>0</v>
      </c>
    </row>
    <row r="573" spans="1:20">
      <c r="A573" s="2" t="s">
        <v>1467</v>
      </c>
      <c r="B573" s="2" t="s">
        <v>1478</v>
      </c>
      <c r="C573" s="2" t="s">
        <v>162</v>
      </c>
      <c r="D573" s="16">
        <v>90</v>
      </c>
      <c r="E573" s="2" t="s">
        <v>1479</v>
      </c>
      <c r="F573" s="2" t="s">
        <v>313</v>
      </c>
      <c r="G573" s="2" t="s">
        <v>1480</v>
      </c>
      <c r="H573" s="17">
        <v>112896</v>
      </c>
      <c r="I573" s="2"/>
      <c r="J573" s="2"/>
      <c r="K573" s="17">
        <v>112896</v>
      </c>
      <c r="L573" s="17">
        <v>12096</v>
      </c>
      <c r="M573" s="17">
        <v>100800</v>
      </c>
      <c r="N573" s="17">
        <v>112896</v>
      </c>
      <c r="O573" s="2"/>
      <c r="P573" s="2"/>
      <c r="Q573" s="2" t="s">
        <v>312</v>
      </c>
      <c r="R573" s="5">
        <f t="shared" si="24"/>
        <v>112896</v>
      </c>
      <c r="S573" s="5">
        <f t="shared" si="25"/>
        <v>112896</v>
      </c>
      <c r="T573" s="5">
        <f t="shared" si="26"/>
        <v>0</v>
      </c>
    </row>
    <row r="574" spans="1:20">
      <c r="A574" s="2" t="s">
        <v>1467</v>
      </c>
      <c r="B574" s="2" t="s">
        <v>1481</v>
      </c>
      <c r="C574" s="2" t="s">
        <v>60</v>
      </c>
      <c r="D574" s="16">
        <v>0</v>
      </c>
      <c r="E574" s="2" t="s">
        <v>1467</v>
      </c>
      <c r="F574" s="2" t="s">
        <v>996</v>
      </c>
      <c r="G574" s="2" t="s">
        <v>1482</v>
      </c>
      <c r="H574" s="17">
        <v>175280</v>
      </c>
      <c r="I574" s="2"/>
      <c r="J574" s="2"/>
      <c r="K574" s="17">
        <v>175280</v>
      </c>
      <c r="L574" s="17">
        <v>18780</v>
      </c>
      <c r="M574" s="17">
        <v>156500</v>
      </c>
      <c r="N574" s="17">
        <v>175280</v>
      </c>
      <c r="O574" s="2"/>
      <c r="P574" s="2"/>
      <c r="Q574" s="2" t="s">
        <v>56</v>
      </c>
      <c r="R574" s="5">
        <f t="shared" si="24"/>
        <v>175280</v>
      </c>
      <c r="S574" s="5">
        <f t="shared" si="25"/>
        <v>175280</v>
      </c>
      <c r="T574" s="5">
        <f t="shared" si="26"/>
        <v>0</v>
      </c>
    </row>
    <row r="575" spans="1:20">
      <c r="A575" s="2" t="s">
        <v>1467</v>
      </c>
      <c r="B575" s="2" t="s">
        <v>1483</v>
      </c>
      <c r="C575" s="2" t="s">
        <v>167</v>
      </c>
      <c r="D575" s="16">
        <v>90</v>
      </c>
      <c r="E575" s="2" t="s">
        <v>1479</v>
      </c>
      <c r="F575" s="2" t="s">
        <v>168</v>
      </c>
      <c r="G575" s="2" t="s">
        <v>1484</v>
      </c>
      <c r="H575" s="17">
        <v>69380</v>
      </c>
      <c r="I575" s="2"/>
      <c r="J575" s="2"/>
      <c r="K575" s="17">
        <v>69380</v>
      </c>
      <c r="L575" s="17">
        <v>7433.57</v>
      </c>
      <c r="M575" s="17">
        <v>61946.43</v>
      </c>
      <c r="N575" s="17">
        <v>69380</v>
      </c>
      <c r="O575" s="2"/>
      <c r="P575" s="2"/>
      <c r="Q575" s="2" t="s">
        <v>56</v>
      </c>
      <c r="R575" s="5">
        <f t="shared" si="24"/>
        <v>69380</v>
      </c>
      <c r="S575" s="5">
        <f t="shared" si="25"/>
        <v>69380</v>
      </c>
      <c r="T575" s="5">
        <f t="shared" si="26"/>
        <v>0</v>
      </c>
    </row>
    <row r="576" spans="1:20">
      <c r="A576" s="2" t="s">
        <v>1467</v>
      </c>
      <c r="B576" s="2" t="s">
        <v>1485</v>
      </c>
      <c r="C576" s="2" t="s">
        <v>29</v>
      </c>
      <c r="D576" s="16">
        <v>0</v>
      </c>
      <c r="E576" s="2" t="s">
        <v>1467</v>
      </c>
      <c r="F576" s="2" t="s">
        <v>31</v>
      </c>
      <c r="G576" s="2" t="s">
        <v>1486</v>
      </c>
      <c r="H576" s="17">
        <v>93896</v>
      </c>
      <c r="I576" s="2"/>
      <c r="J576" s="2"/>
      <c r="K576" s="17">
        <v>93896</v>
      </c>
      <c r="L576" s="17">
        <v>10060.290000000001</v>
      </c>
      <c r="M576" s="17">
        <v>83835.710000000006</v>
      </c>
      <c r="N576" s="17">
        <v>93896</v>
      </c>
      <c r="O576" s="2"/>
      <c r="P576" s="2"/>
      <c r="Q576" s="2" t="s">
        <v>30</v>
      </c>
      <c r="R576" s="5">
        <f t="shared" si="24"/>
        <v>93896</v>
      </c>
      <c r="S576" s="5">
        <f t="shared" si="25"/>
        <v>93896</v>
      </c>
      <c r="T576" s="5">
        <f t="shared" si="26"/>
        <v>0</v>
      </c>
    </row>
    <row r="577" spans="1:20">
      <c r="A577" s="2" t="s">
        <v>1467</v>
      </c>
      <c r="B577" s="2" t="s">
        <v>1487</v>
      </c>
      <c r="C577" s="2" t="s">
        <v>29</v>
      </c>
      <c r="D577" s="16">
        <v>0</v>
      </c>
      <c r="E577" s="2" t="s">
        <v>1467</v>
      </c>
      <c r="F577" s="2" t="s">
        <v>31</v>
      </c>
      <c r="G577" s="2" t="s">
        <v>1488</v>
      </c>
      <c r="H577" s="17">
        <v>3492</v>
      </c>
      <c r="I577" s="2"/>
      <c r="J577" s="2"/>
      <c r="K577" s="17">
        <v>3492</v>
      </c>
      <c r="L577" s="18">
        <v>374.14</v>
      </c>
      <c r="M577" s="17">
        <v>3117.86</v>
      </c>
      <c r="N577" s="17">
        <v>3492</v>
      </c>
      <c r="O577" s="2"/>
      <c r="P577" s="2"/>
      <c r="Q577" s="2" t="s">
        <v>30</v>
      </c>
      <c r="R577" s="5">
        <f t="shared" si="24"/>
        <v>3492</v>
      </c>
      <c r="S577" s="5">
        <f t="shared" si="25"/>
        <v>3492</v>
      </c>
      <c r="T577" s="5">
        <f t="shared" si="26"/>
        <v>0</v>
      </c>
    </row>
    <row r="578" spans="1:20">
      <c r="A578" s="2" t="s">
        <v>1467</v>
      </c>
      <c r="B578" s="2" t="s">
        <v>1489</v>
      </c>
      <c r="C578" s="2" t="s">
        <v>29</v>
      </c>
      <c r="D578" s="16">
        <v>0</v>
      </c>
      <c r="E578" s="2" t="s">
        <v>1467</v>
      </c>
      <c r="F578" s="2" t="s">
        <v>31</v>
      </c>
      <c r="G578" s="2" t="s">
        <v>1490</v>
      </c>
      <c r="H578" s="17">
        <v>124548</v>
      </c>
      <c r="I578" s="2"/>
      <c r="J578" s="2"/>
      <c r="K578" s="17">
        <v>124548</v>
      </c>
      <c r="L578" s="17">
        <v>13344.43</v>
      </c>
      <c r="M578" s="17">
        <v>111203.57</v>
      </c>
      <c r="N578" s="17">
        <v>124548</v>
      </c>
      <c r="O578" s="2"/>
      <c r="P578" s="2"/>
      <c r="Q578" s="2" t="s">
        <v>30</v>
      </c>
      <c r="R578" s="5">
        <f t="shared" si="24"/>
        <v>124548</v>
      </c>
      <c r="S578" s="5">
        <f t="shared" si="25"/>
        <v>124548</v>
      </c>
      <c r="T578" s="5">
        <f t="shared" si="26"/>
        <v>0</v>
      </c>
    </row>
    <row r="579" spans="1:20">
      <c r="A579" s="2" t="s">
        <v>1467</v>
      </c>
      <c r="B579" s="2" t="s">
        <v>1491</v>
      </c>
      <c r="C579" s="2" t="s">
        <v>73</v>
      </c>
      <c r="D579" s="16">
        <v>30</v>
      </c>
      <c r="E579" s="2" t="s">
        <v>1492</v>
      </c>
      <c r="F579" s="2" t="s">
        <v>812</v>
      </c>
      <c r="G579" s="2" t="s">
        <v>1493</v>
      </c>
      <c r="H579" s="17">
        <v>217400</v>
      </c>
      <c r="I579" s="2"/>
      <c r="J579" s="2"/>
      <c r="K579" s="17">
        <v>217400</v>
      </c>
      <c r="L579" s="17">
        <v>23292.86</v>
      </c>
      <c r="M579" s="17">
        <v>194107.14</v>
      </c>
      <c r="N579" s="17">
        <v>217400</v>
      </c>
      <c r="O579" s="2"/>
      <c r="P579" s="2"/>
      <c r="Q579" s="2" t="s">
        <v>56</v>
      </c>
      <c r="R579" s="5">
        <f t="shared" si="24"/>
        <v>217400</v>
      </c>
      <c r="S579" s="5">
        <f t="shared" si="25"/>
        <v>217400</v>
      </c>
      <c r="T579" s="5">
        <f t="shared" si="26"/>
        <v>0</v>
      </c>
    </row>
    <row r="580" spans="1:20">
      <c r="A580" s="2" t="s">
        <v>1467</v>
      </c>
      <c r="B580" s="2" t="s">
        <v>1494</v>
      </c>
      <c r="C580" s="2" t="s">
        <v>237</v>
      </c>
      <c r="D580" s="16">
        <v>60</v>
      </c>
      <c r="E580" s="2" t="s">
        <v>1495</v>
      </c>
      <c r="F580" s="2" t="s">
        <v>821</v>
      </c>
      <c r="G580" s="2" t="s">
        <v>1496</v>
      </c>
      <c r="H580" s="17">
        <v>35008</v>
      </c>
      <c r="I580" s="2"/>
      <c r="J580" s="2"/>
      <c r="K580" s="17">
        <v>35008</v>
      </c>
      <c r="L580" s="17">
        <v>3750.86</v>
      </c>
      <c r="M580" s="17">
        <v>31257.14</v>
      </c>
      <c r="N580" s="17">
        <v>35008</v>
      </c>
      <c r="O580" s="2"/>
      <c r="P580" s="2"/>
      <c r="Q580" s="2" t="s">
        <v>139</v>
      </c>
      <c r="R580" s="5">
        <f t="shared" si="24"/>
        <v>35008</v>
      </c>
      <c r="S580" s="5">
        <f t="shared" si="25"/>
        <v>35008</v>
      </c>
      <c r="T580" s="5">
        <f t="shared" si="26"/>
        <v>0</v>
      </c>
    </row>
    <row r="581" spans="1:20">
      <c r="A581" s="2" t="s">
        <v>1467</v>
      </c>
      <c r="B581" s="2" t="s">
        <v>1497</v>
      </c>
      <c r="C581" s="2" t="s">
        <v>237</v>
      </c>
      <c r="D581" s="16">
        <v>60</v>
      </c>
      <c r="E581" s="2" t="s">
        <v>1495</v>
      </c>
      <c r="F581" s="2" t="s">
        <v>821</v>
      </c>
      <c r="G581" s="2" t="s">
        <v>1498</v>
      </c>
      <c r="H581" s="17">
        <v>17400</v>
      </c>
      <c r="I581" s="2"/>
      <c r="J581" s="2"/>
      <c r="K581" s="17">
        <v>17400</v>
      </c>
      <c r="L581" s="17">
        <v>1864.29</v>
      </c>
      <c r="M581" s="17">
        <v>15535.71</v>
      </c>
      <c r="N581" s="17">
        <v>17400</v>
      </c>
      <c r="O581" s="2"/>
      <c r="P581" s="2"/>
      <c r="Q581" s="2" t="s">
        <v>139</v>
      </c>
      <c r="R581" s="5">
        <f t="shared" si="24"/>
        <v>17400</v>
      </c>
      <c r="S581" s="5">
        <f t="shared" si="25"/>
        <v>17400</v>
      </c>
      <c r="T581" s="5">
        <f t="shared" si="26"/>
        <v>0</v>
      </c>
    </row>
    <row r="582" spans="1:20">
      <c r="A582" s="2" t="s">
        <v>1467</v>
      </c>
      <c r="B582" s="2" t="s">
        <v>1499</v>
      </c>
      <c r="C582" s="2" t="s">
        <v>237</v>
      </c>
      <c r="D582" s="16">
        <v>60</v>
      </c>
      <c r="E582" s="2" t="s">
        <v>1495</v>
      </c>
      <c r="F582" s="2" t="s">
        <v>821</v>
      </c>
      <c r="G582" s="2" t="s">
        <v>1500</v>
      </c>
      <c r="H582" s="17">
        <v>26320</v>
      </c>
      <c r="I582" s="2"/>
      <c r="J582" s="2"/>
      <c r="K582" s="17">
        <v>26320</v>
      </c>
      <c r="L582" s="17">
        <v>2820</v>
      </c>
      <c r="M582" s="17">
        <v>23500</v>
      </c>
      <c r="N582" s="17">
        <v>26320</v>
      </c>
      <c r="O582" s="2"/>
      <c r="P582" s="2"/>
      <c r="Q582" s="2" t="s">
        <v>139</v>
      </c>
      <c r="R582" s="5">
        <f t="shared" ref="R582:R638" si="27">+J582+K582</f>
        <v>26320</v>
      </c>
      <c r="S582" s="5">
        <f t="shared" ref="S582:S638" si="28">+N582</f>
        <v>26320</v>
      </c>
      <c r="T582" s="5">
        <f t="shared" ref="T582:T638" si="29">+R582-S582</f>
        <v>0</v>
      </c>
    </row>
    <row r="583" spans="1:20">
      <c r="A583" s="2" t="s">
        <v>1467</v>
      </c>
      <c r="B583" s="2" t="s">
        <v>1501</v>
      </c>
      <c r="C583" s="2" t="s">
        <v>237</v>
      </c>
      <c r="D583" s="16">
        <v>60</v>
      </c>
      <c r="E583" s="2" t="s">
        <v>1495</v>
      </c>
      <c r="F583" s="2" t="s">
        <v>821</v>
      </c>
      <c r="G583" s="2" t="s">
        <v>1502</v>
      </c>
      <c r="H583" s="17">
        <v>12105</v>
      </c>
      <c r="I583" s="2"/>
      <c r="J583" s="2"/>
      <c r="K583" s="17">
        <v>12105</v>
      </c>
      <c r="L583" s="17">
        <v>1296.96</v>
      </c>
      <c r="M583" s="17">
        <v>10808.04</v>
      </c>
      <c r="N583" s="17">
        <v>12105</v>
      </c>
      <c r="O583" s="2"/>
      <c r="P583" s="2"/>
      <c r="Q583" s="2" t="s">
        <v>139</v>
      </c>
      <c r="R583" s="5">
        <f t="shared" si="27"/>
        <v>12105</v>
      </c>
      <c r="S583" s="5">
        <f t="shared" si="28"/>
        <v>12105</v>
      </c>
      <c r="T583" s="5">
        <f t="shared" si="29"/>
        <v>0</v>
      </c>
    </row>
    <row r="584" spans="1:20">
      <c r="A584" s="2" t="s">
        <v>1467</v>
      </c>
      <c r="B584" s="2" t="s">
        <v>1503</v>
      </c>
      <c r="C584" s="2" t="s">
        <v>237</v>
      </c>
      <c r="D584" s="16">
        <v>60</v>
      </c>
      <c r="E584" s="2" t="s">
        <v>1495</v>
      </c>
      <c r="F584" s="2" t="s">
        <v>821</v>
      </c>
      <c r="G584" s="2" t="s">
        <v>1504</v>
      </c>
      <c r="H584" s="17">
        <v>6725</v>
      </c>
      <c r="I584" s="2"/>
      <c r="J584" s="2"/>
      <c r="K584" s="17">
        <v>6725</v>
      </c>
      <c r="L584" s="18">
        <v>720.54</v>
      </c>
      <c r="M584" s="17">
        <v>6004.46</v>
      </c>
      <c r="N584" s="17">
        <v>6725</v>
      </c>
      <c r="O584" s="2"/>
      <c r="P584" s="2"/>
      <c r="Q584" s="2" t="s">
        <v>139</v>
      </c>
      <c r="R584" s="5">
        <f t="shared" si="27"/>
        <v>6725</v>
      </c>
      <c r="S584" s="5">
        <f t="shared" si="28"/>
        <v>6725</v>
      </c>
      <c r="T584" s="5">
        <f t="shared" si="29"/>
        <v>0</v>
      </c>
    </row>
    <row r="585" spans="1:20">
      <c r="A585" s="2" t="s">
        <v>1467</v>
      </c>
      <c r="B585" s="2" t="s">
        <v>1505</v>
      </c>
      <c r="C585" s="2" t="s">
        <v>237</v>
      </c>
      <c r="D585" s="16">
        <v>60</v>
      </c>
      <c r="E585" s="2" t="s">
        <v>1495</v>
      </c>
      <c r="F585" s="2" t="s">
        <v>821</v>
      </c>
      <c r="G585" s="2" t="s">
        <v>1506</v>
      </c>
      <c r="H585" s="17">
        <v>150337</v>
      </c>
      <c r="I585" s="2"/>
      <c r="J585" s="2"/>
      <c r="K585" s="17">
        <v>150337</v>
      </c>
      <c r="L585" s="17">
        <v>16107.54</v>
      </c>
      <c r="M585" s="17">
        <v>134229.46</v>
      </c>
      <c r="N585" s="17">
        <v>150337</v>
      </c>
      <c r="O585" s="2"/>
      <c r="P585" s="2"/>
      <c r="Q585" s="2" t="s">
        <v>139</v>
      </c>
      <c r="R585" s="5">
        <f t="shared" si="27"/>
        <v>150337</v>
      </c>
      <c r="S585" s="5">
        <f t="shared" si="28"/>
        <v>150337</v>
      </c>
      <c r="T585" s="5">
        <f t="shared" si="29"/>
        <v>0</v>
      </c>
    </row>
    <row r="586" spans="1:20">
      <c r="A586" s="2" t="s">
        <v>1467</v>
      </c>
      <c r="B586" s="2" t="s">
        <v>1507</v>
      </c>
      <c r="C586" s="2" t="s">
        <v>29</v>
      </c>
      <c r="D586" s="16">
        <v>0</v>
      </c>
      <c r="E586" s="2" t="s">
        <v>1467</v>
      </c>
      <c r="F586" s="2" t="s">
        <v>31</v>
      </c>
      <c r="G586" s="2" t="s">
        <v>1508</v>
      </c>
      <c r="H586" s="17">
        <v>24000</v>
      </c>
      <c r="I586" s="2"/>
      <c r="J586" s="2"/>
      <c r="K586" s="17">
        <v>24000</v>
      </c>
      <c r="L586" s="17">
        <v>2571.4299999999998</v>
      </c>
      <c r="M586" s="17">
        <v>21428.57</v>
      </c>
      <c r="N586" s="17">
        <v>24000</v>
      </c>
      <c r="O586" s="2"/>
      <c r="P586" s="2"/>
      <c r="Q586" s="2" t="s">
        <v>30</v>
      </c>
      <c r="R586" s="5">
        <f t="shared" si="27"/>
        <v>24000</v>
      </c>
      <c r="S586" s="5">
        <f t="shared" si="28"/>
        <v>24000</v>
      </c>
      <c r="T586" s="5">
        <f t="shared" si="29"/>
        <v>0</v>
      </c>
    </row>
    <row r="587" spans="1:20">
      <c r="A587" s="2" t="s">
        <v>1467</v>
      </c>
      <c r="B587" s="2" t="s">
        <v>1509</v>
      </c>
      <c r="C587" s="2" t="s">
        <v>29</v>
      </c>
      <c r="D587" s="16">
        <v>0</v>
      </c>
      <c r="E587" s="2" t="s">
        <v>1467</v>
      </c>
      <c r="F587" s="2" t="s">
        <v>31</v>
      </c>
      <c r="G587" s="2" t="s">
        <v>1510</v>
      </c>
      <c r="H587" s="17">
        <v>77690</v>
      </c>
      <c r="I587" s="2"/>
      <c r="J587" s="2"/>
      <c r="K587" s="17">
        <v>77690</v>
      </c>
      <c r="L587" s="17">
        <v>8323.93</v>
      </c>
      <c r="M587" s="17">
        <v>69366.070000000007</v>
      </c>
      <c r="N587" s="17">
        <v>77690</v>
      </c>
      <c r="O587" s="2"/>
      <c r="P587" s="2"/>
      <c r="Q587" s="2" t="s">
        <v>30</v>
      </c>
      <c r="R587" s="5">
        <f t="shared" si="27"/>
        <v>77690</v>
      </c>
      <c r="S587" s="5">
        <f t="shared" si="28"/>
        <v>77690</v>
      </c>
      <c r="T587" s="5">
        <f t="shared" si="29"/>
        <v>0</v>
      </c>
    </row>
    <row r="588" spans="1:20">
      <c r="A588" s="2" t="s">
        <v>1467</v>
      </c>
      <c r="B588" s="2" t="s">
        <v>1511</v>
      </c>
      <c r="C588" s="2" t="s">
        <v>29</v>
      </c>
      <c r="D588" s="16">
        <v>0</v>
      </c>
      <c r="E588" s="2" t="s">
        <v>1467</v>
      </c>
      <c r="F588" s="2" t="s">
        <v>31</v>
      </c>
      <c r="G588" s="2" t="s">
        <v>1512</v>
      </c>
      <c r="H588" s="17">
        <v>2080</v>
      </c>
      <c r="I588" s="2"/>
      <c r="J588" s="2"/>
      <c r="K588" s="17">
        <v>2080</v>
      </c>
      <c r="L588" s="18">
        <v>222.86</v>
      </c>
      <c r="M588" s="17">
        <v>1857.14</v>
      </c>
      <c r="N588" s="17">
        <v>2080</v>
      </c>
      <c r="O588" s="2"/>
      <c r="P588" s="2"/>
      <c r="Q588" s="2" t="s">
        <v>30</v>
      </c>
      <c r="R588" s="5">
        <f t="shared" si="27"/>
        <v>2080</v>
      </c>
      <c r="S588" s="5">
        <f t="shared" si="28"/>
        <v>2080</v>
      </c>
      <c r="T588" s="5">
        <f t="shared" si="29"/>
        <v>0</v>
      </c>
    </row>
    <row r="589" spans="1:20">
      <c r="A589" s="2" t="s">
        <v>1467</v>
      </c>
      <c r="B589" s="2" t="s">
        <v>1513</v>
      </c>
      <c r="C589" s="2" t="s">
        <v>29</v>
      </c>
      <c r="D589" s="16">
        <v>0</v>
      </c>
      <c r="E589" s="2" t="s">
        <v>1467</v>
      </c>
      <c r="F589" s="2" t="s">
        <v>31</v>
      </c>
      <c r="G589" s="2" t="s">
        <v>1514</v>
      </c>
      <c r="H589" s="17">
        <v>2400</v>
      </c>
      <c r="I589" s="2"/>
      <c r="J589" s="2"/>
      <c r="K589" s="17">
        <v>2400</v>
      </c>
      <c r="L589" s="18">
        <v>257.14</v>
      </c>
      <c r="M589" s="17">
        <v>2142.86</v>
      </c>
      <c r="N589" s="17">
        <v>2400</v>
      </c>
      <c r="O589" s="2"/>
      <c r="P589" s="2"/>
      <c r="Q589" s="2" t="s">
        <v>30</v>
      </c>
      <c r="R589" s="5">
        <f t="shared" si="27"/>
        <v>2400</v>
      </c>
      <c r="S589" s="5">
        <f t="shared" si="28"/>
        <v>2400</v>
      </c>
      <c r="T589" s="5">
        <f t="shared" si="29"/>
        <v>0</v>
      </c>
    </row>
    <row r="590" spans="1:20">
      <c r="A590" s="2" t="s">
        <v>1467</v>
      </c>
      <c r="B590" s="2" t="s">
        <v>1515</v>
      </c>
      <c r="C590" s="2" t="s">
        <v>60</v>
      </c>
      <c r="D590" s="16">
        <v>0</v>
      </c>
      <c r="E590" s="2" t="s">
        <v>1467</v>
      </c>
      <c r="F590" s="2" t="s">
        <v>61</v>
      </c>
      <c r="G590" s="2" t="s">
        <v>1516</v>
      </c>
      <c r="H590" s="17">
        <v>25770</v>
      </c>
      <c r="I590" s="19">
        <v>-515.4</v>
      </c>
      <c r="J590" s="2"/>
      <c r="K590" s="17">
        <v>25254.6</v>
      </c>
      <c r="L590" s="17">
        <v>2705.85</v>
      </c>
      <c r="M590" s="17">
        <v>22548.75</v>
      </c>
      <c r="N590" s="17">
        <v>25254.6</v>
      </c>
      <c r="O590" s="2"/>
      <c r="P590" s="2"/>
      <c r="Q590" s="2" t="s">
        <v>56</v>
      </c>
      <c r="R590" s="5">
        <f t="shared" si="27"/>
        <v>25254.6</v>
      </c>
      <c r="S590" s="5">
        <f t="shared" si="28"/>
        <v>25254.6</v>
      </c>
      <c r="T590" s="5">
        <f t="shared" si="29"/>
        <v>0</v>
      </c>
    </row>
    <row r="591" spans="1:20">
      <c r="A591" s="2" t="s">
        <v>1467</v>
      </c>
      <c r="B591" s="2" t="s">
        <v>1517</v>
      </c>
      <c r="C591" s="2" t="s">
        <v>151</v>
      </c>
      <c r="D591" s="16">
        <v>60</v>
      </c>
      <c r="E591" s="2" t="s">
        <v>1495</v>
      </c>
      <c r="F591" s="2" t="s">
        <v>1518</v>
      </c>
      <c r="G591" s="2" t="s">
        <v>1519</v>
      </c>
      <c r="H591" s="17">
        <v>159600</v>
      </c>
      <c r="I591" s="2"/>
      <c r="J591" s="2"/>
      <c r="K591" s="17">
        <v>159600</v>
      </c>
      <c r="L591" s="17">
        <v>17100</v>
      </c>
      <c r="M591" s="17">
        <v>142500</v>
      </c>
      <c r="N591" s="17">
        <v>159600</v>
      </c>
      <c r="O591" s="2"/>
      <c r="P591" s="2"/>
      <c r="Q591" s="2" t="s">
        <v>69</v>
      </c>
      <c r="R591" s="5">
        <f t="shared" si="27"/>
        <v>159600</v>
      </c>
      <c r="S591" s="5">
        <f t="shared" si="28"/>
        <v>159600</v>
      </c>
      <c r="T591" s="5">
        <f t="shared" si="29"/>
        <v>0</v>
      </c>
    </row>
    <row r="592" spans="1:20">
      <c r="A592" s="2" t="s">
        <v>1467</v>
      </c>
      <c r="B592" s="2" t="s">
        <v>1520</v>
      </c>
      <c r="C592" s="2" t="s">
        <v>60</v>
      </c>
      <c r="D592" s="16">
        <v>0</v>
      </c>
      <c r="E592" s="2" t="s">
        <v>1467</v>
      </c>
      <c r="F592" s="2" t="s">
        <v>605</v>
      </c>
      <c r="G592" s="2" t="s">
        <v>1521</v>
      </c>
      <c r="H592" s="17">
        <v>305999.76</v>
      </c>
      <c r="I592" s="2"/>
      <c r="J592" s="2"/>
      <c r="K592" s="17">
        <v>305999.76</v>
      </c>
      <c r="L592" s="17">
        <v>32785.69</v>
      </c>
      <c r="M592" s="17">
        <v>273214.07</v>
      </c>
      <c r="N592" s="17">
        <v>305999.76</v>
      </c>
      <c r="O592" s="2"/>
      <c r="P592" s="2"/>
      <c r="Q592" s="2" t="s">
        <v>56</v>
      </c>
      <c r="R592" s="5">
        <f t="shared" si="27"/>
        <v>305999.76</v>
      </c>
      <c r="S592" s="5">
        <f t="shared" si="28"/>
        <v>305999.76</v>
      </c>
      <c r="T592" s="5">
        <f t="shared" si="29"/>
        <v>0</v>
      </c>
    </row>
    <row r="593" spans="1:20">
      <c r="A593" s="2" t="s">
        <v>1467</v>
      </c>
      <c r="B593" s="2" t="s">
        <v>1522</v>
      </c>
      <c r="C593" s="2" t="s">
        <v>162</v>
      </c>
      <c r="D593" s="16">
        <v>90</v>
      </c>
      <c r="E593" s="2" t="s">
        <v>1479</v>
      </c>
      <c r="F593" s="2" t="s">
        <v>763</v>
      </c>
      <c r="G593" s="2" t="s">
        <v>1523</v>
      </c>
      <c r="H593" s="17">
        <v>736428</v>
      </c>
      <c r="I593" s="2"/>
      <c r="J593" s="2"/>
      <c r="K593" s="17">
        <v>736428</v>
      </c>
      <c r="L593" s="17">
        <v>78903</v>
      </c>
      <c r="M593" s="17">
        <v>657525</v>
      </c>
      <c r="N593" s="17">
        <v>736428</v>
      </c>
      <c r="O593" s="2"/>
      <c r="P593" s="2"/>
      <c r="Q593" s="2" t="s">
        <v>759</v>
      </c>
      <c r="R593" s="5">
        <f t="shared" si="27"/>
        <v>736428</v>
      </c>
      <c r="S593" s="5">
        <f t="shared" si="28"/>
        <v>736428</v>
      </c>
      <c r="T593" s="5">
        <f t="shared" si="29"/>
        <v>0</v>
      </c>
    </row>
    <row r="594" spans="1:20">
      <c r="A594" s="2" t="s">
        <v>1467</v>
      </c>
      <c r="B594" s="2" t="s">
        <v>1524</v>
      </c>
      <c r="C594" s="2" t="s">
        <v>162</v>
      </c>
      <c r="D594" s="16">
        <v>90</v>
      </c>
      <c r="E594" s="2" t="s">
        <v>1479</v>
      </c>
      <c r="F594" s="2" t="s">
        <v>399</v>
      </c>
      <c r="G594" s="2" t="s">
        <v>1525</v>
      </c>
      <c r="H594" s="17">
        <v>27447</v>
      </c>
      <c r="I594" s="2"/>
      <c r="J594" s="2"/>
      <c r="K594" s="17">
        <v>27447</v>
      </c>
      <c r="L594" s="17">
        <v>2940.75</v>
      </c>
      <c r="M594" s="17">
        <v>24506.25</v>
      </c>
      <c r="N594" s="17">
        <v>27447</v>
      </c>
      <c r="O594" s="2"/>
      <c r="P594" s="2"/>
      <c r="Q594" s="2" t="s">
        <v>204</v>
      </c>
      <c r="R594" s="5">
        <f t="shared" si="27"/>
        <v>27447</v>
      </c>
      <c r="S594" s="5">
        <f t="shared" si="28"/>
        <v>27447</v>
      </c>
      <c r="T594" s="5">
        <f t="shared" si="29"/>
        <v>0</v>
      </c>
    </row>
    <row r="595" spans="1:20">
      <c r="A595" s="2" t="s">
        <v>1467</v>
      </c>
      <c r="B595" s="2" t="s">
        <v>1526</v>
      </c>
      <c r="C595" s="2" t="s">
        <v>162</v>
      </c>
      <c r="D595" s="16">
        <v>90</v>
      </c>
      <c r="E595" s="2" t="s">
        <v>1479</v>
      </c>
      <c r="F595" s="2" t="s">
        <v>399</v>
      </c>
      <c r="G595" s="2" t="s">
        <v>1527</v>
      </c>
      <c r="H595" s="17">
        <v>54544</v>
      </c>
      <c r="I595" s="2"/>
      <c r="J595" s="2"/>
      <c r="K595" s="17">
        <v>54544</v>
      </c>
      <c r="L595" s="17">
        <v>5844</v>
      </c>
      <c r="M595" s="17">
        <v>48700</v>
      </c>
      <c r="N595" s="17">
        <v>54544</v>
      </c>
      <c r="O595" s="2"/>
      <c r="P595" s="2"/>
      <c r="Q595" s="2" t="s">
        <v>204</v>
      </c>
      <c r="R595" s="5">
        <f t="shared" si="27"/>
        <v>54544</v>
      </c>
      <c r="S595" s="5">
        <f t="shared" si="28"/>
        <v>54544</v>
      </c>
      <c r="T595" s="5">
        <f t="shared" si="29"/>
        <v>0</v>
      </c>
    </row>
    <row r="596" spans="1:20">
      <c r="A596" s="2" t="s">
        <v>1467</v>
      </c>
      <c r="B596" s="2" t="s">
        <v>1528</v>
      </c>
      <c r="C596" s="2" t="s">
        <v>162</v>
      </c>
      <c r="D596" s="16">
        <v>90</v>
      </c>
      <c r="E596" s="2" t="s">
        <v>1479</v>
      </c>
      <c r="F596" s="2" t="s">
        <v>399</v>
      </c>
      <c r="G596" s="2" t="s">
        <v>1529</v>
      </c>
      <c r="H596" s="17">
        <v>26775</v>
      </c>
      <c r="I596" s="2"/>
      <c r="J596" s="2"/>
      <c r="K596" s="17">
        <v>26775</v>
      </c>
      <c r="L596" s="17">
        <v>2868.75</v>
      </c>
      <c r="M596" s="17">
        <v>23906.25</v>
      </c>
      <c r="N596" s="17">
        <v>26775</v>
      </c>
      <c r="O596" s="2"/>
      <c r="P596" s="2"/>
      <c r="Q596" s="2" t="s">
        <v>204</v>
      </c>
      <c r="R596" s="5">
        <f t="shared" si="27"/>
        <v>26775</v>
      </c>
      <c r="S596" s="5">
        <f t="shared" si="28"/>
        <v>26775</v>
      </c>
      <c r="T596" s="5">
        <f t="shared" si="29"/>
        <v>0</v>
      </c>
    </row>
    <row r="597" spans="1:20">
      <c r="A597" s="2" t="s">
        <v>1467</v>
      </c>
      <c r="B597" s="2" t="s">
        <v>1530</v>
      </c>
      <c r="C597" s="2" t="s">
        <v>60</v>
      </c>
      <c r="D597" s="16">
        <v>0</v>
      </c>
      <c r="E597" s="2" t="s">
        <v>1467</v>
      </c>
      <c r="F597" s="2" t="s">
        <v>61</v>
      </c>
      <c r="G597" s="2" t="s">
        <v>1531</v>
      </c>
      <c r="H597" s="17">
        <v>25770</v>
      </c>
      <c r="I597" s="19">
        <v>-515.4</v>
      </c>
      <c r="J597" s="2"/>
      <c r="K597" s="17">
        <v>25254.6</v>
      </c>
      <c r="L597" s="17">
        <v>2705.85</v>
      </c>
      <c r="M597" s="17">
        <v>22548.75</v>
      </c>
      <c r="N597" s="17">
        <v>25254.6</v>
      </c>
      <c r="O597" s="2"/>
      <c r="P597" s="2"/>
      <c r="Q597" s="2" t="s">
        <v>56</v>
      </c>
      <c r="R597" s="5">
        <f t="shared" si="27"/>
        <v>25254.6</v>
      </c>
      <c r="S597" s="5">
        <f t="shared" si="28"/>
        <v>25254.6</v>
      </c>
      <c r="T597" s="5">
        <f t="shared" si="29"/>
        <v>0</v>
      </c>
    </row>
    <row r="598" spans="1:20">
      <c r="A598" s="2" t="s">
        <v>1467</v>
      </c>
      <c r="B598" s="2" t="s">
        <v>1532</v>
      </c>
      <c r="C598" s="2" t="s">
        <v>151</v>
      </c>
      <c r="D598" s="16">
        <v>60</v>
      </c>
      <c r="E598" s="2" t="s">
        <v>1495</v>
      </c>
      <c r="F598" s="2" t="s">
        <v>678</v>
      </c>
      <c r="G598" s="2" t="s">
        <v>1533</v>
      </c>
      <c r="H598" s="17">
        <v>26000</v>
      </c>
      <c r="I598" s="2"/>
      <c r="J598" s="2"/>
      <c r="K598" s="17">
        <v>26000</v>
      </c>
      <c r="L598" s="17">
        <v>2785.71</v>
      </c>
      <c r="M598" s="17">
        <v>23214.29</v>
      </c>
      <c r="N598" s="17">
        <v>26000</v>
      </c>
      <c r="O598" s="2"/>
      <c r="P598" s="2"/>
      <c r="Q598" s="2" t="s">
        <v>19</v>
      </c>
      <c r="R598" s="5">
        <f t="shared" si="27"/>
        <v>26000</v>
      </c>
      <c r="S598" s="5">
        <f t="shared" si="28"/>
        <v>26000</v>
      </c>
      <c r="T598" s="5">
        <f t="shared" si="29"/>
        <v>0</v>
      </c>
    </row>
    <row r="599" spans="1:20">
      <c r="A599" s="2" t="s">
        <v>1467</v>
      </c>
      <c r="B599" s="2" t="s">
        <v>1534</v>
      </c>
      <c r="C599" s="2" t="s">
        <v>29</v>
      </c>
      <c r="D599" s="16">
        <v>0</v>
      </c>
      <c r="E599" s="2" t="s">
        <v>1467</v>
      </c>
      <c r="F599" s="2" t="s">
        <v>155</v>
      </c>
      <c r="G599" s="2" t="s">
        <v>1535</v>
      </c>
      <c r="H599" s="17">
        <v>67200</v>
      </c>
      <c r="I599" s="2"/>
      <c r="J599" s="2"/>
      <c r="K599" s="17">
        <v>67200</v>
      </c>
      <c r="L599" s="17">
        <v>7200</v>
      </c>
      <c r="M599" s="17">
        <v>60000</v>
      </c>
      <c r="N599" s="17">
        <v>67200</v>
      </c>
      <c r="O599" s="2"/>
      <c r="P599" s="2"/>
      <c r="Q599" s="2" t="s">
        <v>30</v>
      </c>
      <c r="R599" s="5">
        <f t="shared" si="27"/>
        <v>67200</v>
      </c>
      <c r="S599" s="5">
        <f t="shared" si="28"/>
        <v>67200</v>
      </c>
      <c r="T599" s="5">
        <f t="shared" si="29"/>
        <v>0</v>
      </c>
    </row>
    <row r="600" spans="1:20">
      <c r="A600" s="2" t="s">
        <v>1467</v>
      </c>
      <c r="B600" s="2" t="s">
        <v>1536</v>
      </c>
      <c r="C600" s="2" t="s">
        <v>29</v>
      </c>
      <c r="D600" s="16">
        <v>0</v>
      </c>
      <c r="E600" s="2" t="s">
        <v>1467</v>
      </c>
      <c r="F600" s="2" t="s">
        <v>31</v>
      </c>
      <c r="G600" s="2" t="s">
        <v>1537</v>
      </c>
      <c r="H600" s="17">
        <v>112032</v>
      </c>
      <c r="I600" s="2"/>
      <c r="J600" s="2"/>
      <c r="K600" s="17">
        <v>112032</v>
      </c>
      <c r="L600" s="17">
        <v>12003.43</v>
      </c>
      <c r="M600" s="17">
        <v>100028.57</v>
      </c>
      <c r="N600" s="17">
        <v>112032</v>
      </c>
      <c r="O600" s="2"/>
      <c r="P600" s="2"/>
      <c r="Q600" s="2" t="s">
        <v>30</v>
      </c>
      <c r="R600" s="5">
        <f t="shared" si="27"/>
        <v>112032</v>
      </c>
      <c r="S600" s="5">
        <f t="shared" si="28"/>
        <v>112032</v>
      </c>
      <c r="T600" s="5">
        <f t="shared" si="29"/>
        <v>0</v>
      </c>
    </row>
    <row r="601" spans="1:20">
      <c r="A601" s="2" t="s">
        <v>1467</v>
      </c>
      <c r="B601" s="2" t="s">
        <v>1538</v>
      </c>
      <c r="C601" s="2" t="s">
        <v>29</v>
      </c>
      <c r="D601" s="16">
        <v>0</v>
      </c>
      <c r="E601" s="2" t="s">
        <v>1467</v>
      </c>
      <c r="F601" s="2" t="s">
        <v>155</v>
      </c>
      <c r="G601" s="2" t="s">
        <v>1539</v>
      </c>
      <c r="H601" s="17">
        <v>13775</v>
      </c>
      <c r="I601" s="2"/>
      <c r="J601" s="2"/>
      <c r="K601" s="17">
        <v>13775</v>
      </c>
      <c r="L601" s="17">
        <v>1475.89</v>
      </c>
      <c r="M601" s="17">
        <v>12299.11</v>
      </c>
      <c r="N601" s="17">
        <v>13775</v>
      </c>
      <c r="O601" s="2"/>
      <c r="P601" s="2"/>
      <c r="Q601" s="2" t="s">
        <v>30</v>
      </c>
      <c r="R601" s="5">
        <f t="shared" si="27"/>
        <v>13775</v>
      </c>
      <c r="S601" s="5">
        <f t="shared" si="28"/>
        <v>13775</v>
      </c>
      <c r="T601" s="5">
        <f t="shared" si="29"/>
        <v>0</v>
      </c>
    </row>
    <row r="602" spans="1:20">
      <c r="A602" s="2" t="s">
        <v>1467</v>
      </c>
      <c r="B602" s="2" t="s">
        <v>1540</v>
      </c>
      <c r="C602" s="2" t="s">
        <v>29</v>
      </c>
      <c r="D602" s="16">
        <v>0</v>
      </c>
      <c r="E602" s="2" t="s">
        <v>1467</v>
      </c>
      <c r="F602" s="2" t="s">
        <v>31</v>
      </c>
      <c r="G602" s="2" t="s">
        <v>1541</v>
      </c>
      <c r="H602" s="17">
        <v>47600</v>
      </c>
      <c r="I602" s="2"/>
      <c r="J602" s="2"/>
      <c r="K602" s="17">
        <v>47600</v>
      </c>
      <c r="L602" s="17">
        <v>5100</v>
      </c>
      <c r="M602" s="17">
        <v>42500</v>
      </c>
      <c r="N602" s="17">
        <v>47600</v>
      </c>
      <c r="O602" s="2"/>
      <c r="P602" s="2"/>
      <c r="Q602" s="2" t="s">
        <v>30</v>
      </c>
      <c r="R602" s="5">
        <f t="shared" si="27"/>
        <v>47600</v>
      </c>
      <c r="S602" s="5">
        <f t="shared" si="28"/>
        <v>47600</v>
      </c>
      <c r="T602" s="5">
        <f t="shared" si="29"/>
        <v>0</v>
      </c>
    </row>
    <row r="603" spans="1:20">
      <c r="A603" s="2" t="s">
        <v>1467</v>
      </c>
      <c r="B603" s="2" t="s">
        <v>1542</v>
      </c>
      <c r="C603" s="2" t="s">
        <v>29</v>
      </c>
      <c r="D603" s="16">
        <v>0</v>
      </c>
      <c r="E603" s="2" t="s">
        <v>1467</v>
      </c>
      <c r="F603" s="2" t="s">
        <v>155</v>
      </c>
      <c r="G603" s="2" t="s">
        <v>1543</v>
      </c>
      <c r="H603" s="17">
        <v>22175</v>
      </c>
      <c r="I603" s="2"/>
      <c r="J603" s="2"/>
      <c r="K603" s="17">
        <v>22175</v>
      </c>
      <c r="L603" s="17">
        <v>2375.89</v>
      </c>
      <c r="M603" s="17">
        <v>19799.11</v>
      </c>
      <c r="N603" s="17">
        <v>22175</v>
      </c>
      <c r="O603" s="2"/>
      <c r="P603" s="2"/>
      <c r="Q603" s="2" t="s">
        <v>30</v>
      </c>
      <c r="R603" s="5">
        <f t="shared" si="27"/>
        <v>22175</v>
      </c>
      <c r="S603" s="5">
        <f t="shared" si="28"/>
        <v>22175</v>
      </c>
      <c r="T603" s="5">
        <f t="shared" si="29"/>
        <v>0</v>
      </c>
    </row>
    <row r="604" spans="1:20">
      <c r="A604" s="2" t="s">
        <v>1467</v>
      </c>
      <c r="B604" s="2" t="s">
        <v>1544</v>
      </c>
      <c r="C604" s="2" t="s">
        <v>29</v>
      </c>
      <c r="D604" s="16">
        <v>0</v>
      </c>
      <c r="E604" s="2" t="s">
        <v>1467</v>
      </c>
      <c r="F604" s="2" t="s">
        <v>31</v>
      </c>
      <c r="G604" s="2" t="s">
        <v>1545</v>
      </c>
      <c r="H604" s="17">
        <v>12600</v>
      </c>
      <c r="I604" s="2"/>
      <c r="J604" s="2"/>
      <c r="K604" s="17">
        <v>12600</v>
      </c>
      <c r="L604" s="17">
        <v>1350</v>
      </c>
      <c r="M604" s="17">
        <v>11250</v>
      </c>
      <c r="N604" s="17">
        <v>12600</v>
      </c>
      <c r="O604" s="2"/>
      <c r="P604" s="2"/>
      <c r="Q604" s="2" t="s">
        <v>30</v>
      </c>
      <c r="R604" s="5">
        <f t="shared" si="27"/>
        <v>12600</v>
      </c>
      <c r="S604" s="5">
        <f t="shared" si="28"/>
        <v>12600</v>
      </c>
      <c r="T604" s="5">
        <f t="shared" si="29"/>
        <v>0</v>
      </c>
    </row>
    <row r="605" spans="1:20">
      <c r="A605" s="2" t="s">
        <v>1467</v>
      </c>
      <c r="B605" s="2" t="s">
        <v>1546</v>
      </c>
      <c r="C605" s="2" t="s">
        <v>29</v>
      </c>
      <c r="D605" s="16">
        <v>0</v>
      </c>
      <c r="E605" s="2" t="s">
        <v>1467</v>
      </c>
      <c r="F605" s="2" t="s">
        <v>31</v>
      </c>
      <c r="G605" s="2" t="s">
        <v>1547</v>
      </c>
      <c r="H605" s="17">
        <v>2600</v>
      </c>
      <c r="I605" s="2"/>
      <c r="J605" s="2"/>
      <c r="K605" s="17">
        <v>2600</v>
      </c>
      <c r="L605" s="18">
        <v>278.57</v>
      </c>
      <c r="M605" s="17">
        <v>2321.4299999999998</v>
      </c>
      <c r="N605" s="17">
        <v>2600</v>
      </c>
      <c r="O605" s="2"/>
      <c r="P605" s="2"/>
      <c r="Q605" s="2" t="s">
        <v>30</v>
      </c>
      <c r="R605" s="5">
        <f t="shared" si="27"/>
        <v>2600</v>
      </c>
      <c r="S605" s="5">
        <f t="shared" si="28"/>
        <v>2600</v>
      </c>
      <c r="T605" s="5">
        <f t="shared" si="29"/>
        <v>0</v>
      </c>
    </row>
    <row r="606" spans="1:20">
      <c r="A606" s="2" t="s">
        <v>1467</v>
      </c>
      <c r="B606" s="2" t="s">
        <v>1548</v>
      </c>
      <c r="C606" s="2" t="s">
        <v>29</v>
      </c>
      <c r="D606" s="16">
        <v>0</v>
      </c>
      <c r="E606" s="2" t="s">
        <v>1467</v>
      </c>
      <c r="F606" s="2" t="s">
        <v>31</v>
      </c>
      <c r="G606" s="2" t="s">
        <v>1549</v>
      </c>
      <c r="H606" s="17">
        <v>32250</v>
      </c>
      <c r="I606" s="2"/>
      <c r="J606" s="2"/>
      <c r="K606" s="17">
        <v>32250</v>
      </c>
      <c r="L606" s="17">
        <v>3455.36</v>
      </c>
      <c r="M606" s="17">
        <v>28794.639999999999</v>
      </c>
      <c r="N606" s="17">
        <v>32250</v>
      </c>
      <c r="O606" s="2"/>
      <c r="P606" s="2"/>
      <c r="Q606" s="2" t="s">
        <v>30</v>
      </c>
      <c r="R606" s="5">
        <f t="shared" si="27"/>
        <v>32250</v>
      </c>
      <c r="S606" s="5">
        <f t="shared" si="28"/>
        <v>32250</v>
      </c>
      <c r="T606" s="5">
        <f t="shared" si="29"/>
        <v>0</v>
      </c>
    </row>
    <row r="607" spans="1:20">
      <c r="A607" s="2" t="s">
        <v>1467</v>
      </c>
      <c r="B607" s="2" t="s">
        <v>1550</v>
      </c>
      <c r="C607" s="2" t="s">
        <v>68</v>
      </c>
      <c r="D607" s="16">
        <v>60</v>
      </c>
      <c r="E607" s="2" t="s">
        <v>1495</v>
      </c>
      <c r="F607" s="2" t="s">
        <v>70</v>
      </c>
      <c r="G607" s="2" t="s">
        <v>1551</v>
      </c>
      <c r="H607" s="17">
        <v>2419200</v>
      </c>
      <c r="I607" s="2"/>
      <c r="J607" s="2"/>
      <c r="K607" s="17">
        <v>2419200</v>
      </c>
      <c r="L607" s="17">
        <v>259200</v>
      </c>
      <c r="M607" s="17">
        <v>2160000</v>
      </c>
      <c r="N607" s="17">
        <v>2419200</v>
      </c>
      <c r="O607" s="2"/>
      <c r="P607" s="2"/>
      <c r="Q607" s="2" t="s">
        <v>69</v>
      </c>
      <c r="R607" s="5">
        <f t="shared" si="27"/>
        <v>2419200</v>
      </c>
      <c r="S607" s="5">
        <f t="shared" si="28"/>
        <v>2419200</v>
      </c>
      <c r="T607" s="5">
        <f t="shared" si="29"/>
        <v>0</v>
      </c>
    </row>
    <row r="608" spans="1:20">
      <c r="A608" s="2" t="s">
        <v>1553</v>
      </c>
      <c r="B608" s="2" t="s">
        <v>1552</v>
      </c>
      <c r="C608" s="2" t="s">
        <v>167</v>
      </c>
      <c r="D608" s="16">
        <v>90</v>
      </c>
      <c r="E608" s="2" t="s">
        <v>1554</v>
      </c>
      <c r="F608" s="2" t="s">
        <v>168</v>
      </c>
      <c r="G608" s="2" t="s">
        <v>1555</v>
      </c>
      <c r="H608" s="17">
        <v>776544</v>
      </c>
      <c r="I608" s="2"/>
      <c r="J608" s="2"/>
      <c r="K608" s="17">
        <v>776544</v>
      </c>
      <c r="L608" s="17">
        <v>83201.14</v>
      </c>
      <c r="M608" s="17">
        <v>693342.86</v>
      </c>
      <c r="N608" s="17">
        <v>776544</v>
      </c>
      <c r="O608" s="2"/>
      <c r="P608" s="2"/>
      <c r="Q608" s="2" t="s">
        <v>56</v>
      </c>
      <c r="R608" s="5">
        <f t="shared" si="27"/>
        <v>776544</v>
      </c>
      <c r="S608" s="5">
        <f t="shared" si="28"/>
        <v>776544</v>
      </c>
      <c r="T608" s="5">
        <f t="shared" si="29"/>
        <v>0</v>
      </c>
    </row>
    <row r="609" spans="1:20">
      <c r="A609" s="2" t="s">
        <v>1553</v>
      </c>
      <c r="B609" s="2" t="s">
        <v>1556</v>
      </c>
      <c r="C609" s="2" t="s">
        <v>151</v>
      </c>
      <c r="D609" s="16">
        <v>60</v>
      </c>
      <c r="E609" s="2" t="s">
        <v>1557</v>
      </c>
      <c r="F609" s="2" t="s">
        <v>1518</v>
      </c>
      <c r="G609" s="2" t="s">
        <v>1558</v>
      </c>
      <c r="H609" s="17">
        <v>231000</v>
      </c>
      <c r="I609" s="2"/>
      <c r="J609" s="2"/>
      <c r="K609" s="17">
        <v>231000</v>
      </c>
      <c r="L609" s="17">
        <v>24750</v>
      </c>
      <c r="M609" s="17">
        <v>206250</v>
      </c>
      <c r="N609" s="17">
        <v>231000</v>
      </c>
      <c r="O609" s="2"/>
      <c r="P609" s="2"/>
      <c r="Q609" s="2" t="s">
        <v>69</v>
      </c>
      <c r="R609" s="5">
        <f t="shared" si="27"/>
        <v>231000</v>
      </c>
      <c r="S609" s="5">
        <f t="shared" si="28"/>
        <v>231000</v>
      </c>
      <c r="T609" s="5">
        <f t="shared" si="29"/>
        <v>0</v>
      </c>
    </row>
    <row r="610" spans="1:20">
      <c r="A610" s="2" t="s">
        <v>1553</v>
      </c>
      <c r="B610" s="2" t="s">
        <v>1559</v>
      </c>
      <c r="C610" s="2" t="s">
        <v>146</v>
      </c>
      <c r="D610" s="16">
        <v>90</v>
      </c>
      <c r="E610" s="2" t="s">
        <v>1554</v>
      </c>
      <c r="F610" s="2" t="s">
        <v>1560</v>
      </c>
      <c r="G610" s="2" t="s">
        <v>1561</v>
      </c>
      <c r="H610" s="17">
        <v>272703</v>
      </c>
      <c r="I610" s="2"/>
      <c r="J610" s="2"/>
      <c r="K610" s="17">
        <v>272703</v>
      </c>
      <c r="L610" s="17">
        <v>29218.18</v>
      </c>
      <c r="M610" s="17">
        <v>243484.82</v>
      </c>
      <c r="N610" s="17">
        <v>272703</v>
      </c>
      <c r="O610" s="2"/>
      <c r="P610" s="2"/>
      <c r="Q610" s="2" t="s">
        <v>139</v>
      </c>
      <c r="R610" s="5">
        <f t="shared" si="27"/>
        <v>272703</v>
      </c>
      <c r="S610" s="5">
        <f t="shared" si="28"/>
        <v>272703</v>
      </c>
      <c r="T610" s="5">
        <f t="shared" si="29"/>
        <v>0</v>
      </c>
    </row>
    <row r="611" spans="1:20">
      <c r="A611" s="2" t="s">
        <v>1553</v>
      </c>
      <c r="B611" s="2" t="s">
        <v>1562</v>
      </c>
      <c r="C611" s="2" t="s">
        <v>1563</v>
      </c>
      <c r="D611" s="16">
        <v>45</v>
      </c>
      <c r="E611" s="2" t="s">
        <v>692</v>
      </c>
      <c r="F611" s="2" t="s">
        <v>1564</v>
      </c>
      <c r="G611" s="2" t="s">
        <v>1565</v>
      </c>
      <c r="H611" s="17">
        <v>164075</v>
      </c>
      <c r="I611" s="2"/>
      <c r="J611" s="2"/>
      <c r="K611" s="17">
        <v>164075</v>
      </c>
      <c r="L611" s="17">
        <v>17579.46</v>
      </c>
      <c r="M611" s="17">
        <v>146495.54</v>
      </c>
      <c r="N611" s="17">
        <v>164075</v>
      </c>
      <c r="O611" s="2"/>
      <c r="P611" s="2"/>
      <c r="Q611" s="2" t="s">
        <v>139</v>
      </c>
      <c r="R611" s="5">
        <f t="shared" si="27"/>
        <v>164075</v>
      </c>
      <c r="S611" s="5">
        <f t="shared" si="28"/>
        <v>164075</v>
      </c>
      <c r="T611" s="5">
        <f t="shared" si="29"/>
        <v>0</v>
      </c>
    </row>
    <row r="612" spans="1:20">
      <c r="A612" s="2" t="s">
        <v>1553</v>
      </c>
      <c r="B612" s="2" t="s">
        <v>1566</v>
      </c>
      <c r="C612" s="2" t="s">
        <v>151</v>
      </c>
      <c r="D612" s="16">
        <v>60</v>
      </c>
      <c r="E612" s="2" t="s">
        <v>1557</v>
      </c>
      <c r="F612" s="2" t="s">
        <v>187</v>
      </c>
      <c r="G612" s="2" t="s">
        <v>1567</v>
      </c>
      <c r="H612" s="17">
        <v>24544</v>
      </c>
      <c r="I612" s="2"/>
      <c r="J612" s="2"/>
      <c r="K612" s="17">
        <v>24544</v>
      </c>
      <c r="L612" s="17">
        <v>2629.71</v>
      </c>
      <c r="M612" s="17">
        <v>21914.29</v>
      </c>
      <c r="N612" s="17">
        <v>24544</v>
      </c>
      <c r="O612" s="2"/>
      <c r="P612" s="2"/>
      <c r="Q612" s="2" t="s">
        <v>36</v>
      </c>
      <c r="R612" s="5">
        <f t="shared" si="27"/>
        <v>24544</v>
      </c>
      <c r="S612" s="5">
        <f t="shared" si="28"/>
        <v>24544</v>
      </c>
      <c r="T612" s="5">
        <f t="shared" si="29"/>
        <v>0</v>
      </c>
    </row>
    <row r="613" spans="1:20">
      <c r="A613" s="2" t="s">
        <v>1553</v>
      </c>
      <c r="B613" s="2" t="s">
        <v>1568</v>
      </c>
      <c r="C613" s="2" t="s">
        <v>369</v>
      </c>
      <c r="D613" s="16">
        <v>30</v>
      </c>
      <c r="E613" s="2" t="s">
        <v>1569</v>
      </c>
      <c r="F613" s="2" t="s">
        <v>371</v>
      </c>
      <c r="G613" s="2" t="s">
        <v>1570</v>
      </c>
      <c r="H613" s="17">
        <v>96530</v>
      </c>
      <c r="I613" s="2"/>
      <c r="J613" s="2"/>
      <c r="K613" s="17">
        <v>96530</v>
      </c>
      <c r="L613" s="17">
        <v>10342.5</v>
      </c>
      <c r="M613" s="17">
        <v>86187.5</v>
      </c>
      <c r="N613" s="17">
        <v>96530</v>
      </c>
      <c r="O613" s="2"/>
      <c r="P613" s="2"/>
      <c r="Q613" s="2" t="s">
        <v>139</v>
      </c>
      <c r="R613" s="5">
        <f t="shared" si="27"/>
        <v>96530</v>
      </c>
      <c r="S613" s="5">
        <f t="shared" si="28"/>
        <v>96530</v>
      </c>
      <c r="T613" s="5">
        <f t="shared" si="29"/>
        <v>0</v>
      </c>
    </row>
    <row r="614" spans="1:20">
      <c r="A614" s="2" t="s">
        <v>1553</v>
      </c>
      <c r="B614" s="2" t="s">
        <v>1571</v>
      </c>
      <c r="C614" s="2" t="s">
        <v>369</v>
      </c>
      <c r="D614" s="16">
        <v>30</v>
      </c>
      <c r="E614" s="2" t="s">
        <v>1569</v>
      </c>
      <c r="F614" s="2" t="s">
        <v>371</v>
      </c>
      <c r="G614" s="2" t="s">
        <v>1572</v>
      </c>
      <c r="H614" s="17">
        <v>138347</v>
      </c>
      <c r="I614" s="2"/>
      <c r="J614" s="2"/>
      <c r="K614" s="17">
        <v>138347</v>
      </c>
      <c r="L614" s="17">
        <v>14822.89</v>
      </c>
      <c r="M614" s="17">
        <v>123524.11</v>
      </c>
      <c r="N614" s="17">
        <v>138347</v>
      </c>
      <c r="O614" s="2"/>
      <c r="P614" s="2"/>
      <c r="Q614" s="2" t="s">
        <v>139</v>
      </c>
      <c r="R614" s="5">
        <f t="shared" si="27"/>
        <v>138347</v>
      </c>
      <c r="S614" s="5">
        <f t="shared" si="28"/>
        <v>138347</v>
      </c>
      <c r="T614" s="5">
        <f t="shared" si="29"/>
        <v>0</v>
      </c>
    </row>
    <row r="615" spans="1:20">
      <c r="A615" s="2" t="s">
        <v>1553</v>
      </c>
      <c r="B615" s="2" t="s">
        <v>1573</v>
      </c>
      <c r="C615" s="2" t="s">
        <v>18</v>
      </c>
      <c r="D615" s="16">
        <v>0</v>
      </c>
      <c r="E615" s="2" t="s">
        <v>1553</v>
      </c>
      <c r="F615" s="2" t="s">
        <v>70</v>
      </c>
      <c r="G615" s="2" t="s">
        <v>1574</v>
      </c>
      <c r="H615" s="17">
        <v>24540</v>
      </c>
      <c r="I615" s="2"/>
      <c r="J615" s="2"/>
      <c r="K615" s="17">
        <v>24540</v>
      </c>
      <c r="L615" s="17">
        <v>2629.29</v>
      </c>
      <c r="M615" s="17">
        <v>21910.71</v>
      </c>
      <c r="N615" s="17">
        <v>24540</v>
      </c>
      <c r="O615" s="2"/>
      <c r="P615" s="2"/>
      <c r="Q615" s="2" t="s">
        <v>270</v>
      </c>
      <c r="R615" s="5">
        <f t="shared" si="27"/>
        <v>24540</v>
      </c>
      <c r="S615" s="5">
        <f t="shared" si="28"/>
        <v>24540</v>
      </c>
      <c r="T615" s="5">
        <f t="shared" si="29"/>
        <v>0</v>
      </c>
    </row>
    <row r="616" spans="1:20">
      <c r="A616" s="2" t="s">
        <v>1553</v>
      </c>
      <c r="B616" s="2" t="s">
        <v>1575</v>
      </c>
      <c r="C616" s="2" t="s">
        <v>658</v>
      </c>
      <c r="D616" s="16">
        <v>60</v>
      </c>
      <c r="E616" s="2" t="s">
        <v>1557</v>
      </c>
      <c r="F616" s="2" t="s">
        <v>787</v>
      </c>
      <c r="G616" s="2" t="s">
        <v>1576</v>
      </c>
      <c r="H616" s="17">
        <v>45666</v>
      </c>
      <c r="I616" s="2"/>
      <c r="J616" s="2"/>
      <c r="K616" s="17">
        <v>45666</v>
      </c>
      <c r="L616" s="17">
        <v>4892.79</v>
      </c>
      <c r="M616" s="17">
        <v>40773.21</v>
      </c>
      <c r="N616" s="17">
        <v>45666</v>
      </c>
      <c r="O616" s="2"/>
      <c r="P616" s="2"/>
      <c r="Q616" s="2" t="s">
        <v>46</v>
      </c>
      <c r="R616" s="5">
        <f t="shared" si="27"/>
        <v>45666</v>
      </c>
      <c r="S616" s="5">
        <f t="shared" si="28"/>
        <v>45666</v>
      </c>
      <c r="T616" s="5">
        <f t="shared" si="29"/>
        <v>0</v>
      </c>
    </row>
    <row r="617" spans="1:20">
      <c r="A617" s="2" t="s">
        <v>1553</v>
      </c>
      <c r="B617" s="2" t="s">
        <v>1577</v>
      </c>
      <c r="C617" s="2" t="s">
        <v>73</v>
      </c>
      <c r="D617" s="16">
        <v>30</v>
      </c>
      <c r="E617" s="2" t="s">
        <v>1569</v>
      </c>
      <c r="F617" s="2" t="s">
        <v>812</v>
      </c>
      <c r="G617" s="2" t="s">
        <v>1578</v>
      </c>
      <c r="H617" s="17">
        <v>33964</v>
      </c>
      <c r="I617" s="2"/>
      <c r="J617" s="2"/>
      <c r="K617" s="17">
        <v>33964</v>
      </c>
      <c r="L617" s="17">
        <v>3639</v>
      </c>
      <c r="M617" s="17">
        <v>30325</v>
      </c>
      <c r="N617" s="17">
        <v>33964</v>
      </c>
      <c r="O617" s="2"/>
      <c r="P617" s="2"/>
      <c r="Q617" s="2" t="s">
        <v>56</v>
      </c>
      <c r="R617" s="5">
        <f t="shared" si="27"/>
        <v>33964</v>
      </c>
      <c r="S617" s="5">
        <f t="shared" si="28"/>
        <v>33964</v>
      </c>
      <c r="T617" s="5">
        <f t="shared" si="29"/>
        <v>0</v>
      </c>
    </row>
    <row r="618" spans="1:20">
      <c r="A618" s="2" t="s">
        <v>1553</v>
      </c>
      <c r="B618" s="2" t="s">
        <v>1579</v>
      </c>
      <c r="C618" s="2" t="s">
        <v>146</v>
      </c>
      <c r="D618" s="16">
        <v>90</v>
      </c>
      <c r="E618" s="2" t="s">
        <v>1554</v>
      </c>
      <c r="F618" s="2" t="s">
        <v>1580</v>
      </c>
      <c r="G618" s="2" t="s">
        <v>1581</v>
      </c>
      <c r="H618" s="17">
        <v>2105000</v>
      </c>
      <c r="I618" s="2"/>
      <c r="J618" s="2"/>
      <c r="K618" s="17">
        <v>2105000</v>
      </c>
      <c r="L618" s="17">
        <v>225535.71</v>
      </c>
      <c r="M618" s="17">
        <v>1879464.29</v>
      </c>
      <c r="N618" s="17">
        <v>2105000</v>
      </c>
      <c r="O618" s="2"/>
      <c r="P618" s="2"/>
      <c r="Q618" s="2" t="s">
        <v>759</v>
      </c>
      <c r="R618" s="5">
        <f t="shared" si="27"/>
        <v>2105000</v>
      </c>
      <c r="S618" s="5">
        <f t="shared" si="28"/>
        <v>2105000</v>
      </c>
      <c r="T618" s="5">
        <f t="shared" si="29"/>
        <v>0</v>
      </c>
    </row>
    <row r="619" spans="1:20">
      <c r="A619" s="2" t="s">
        <v>1553</v>
      </c>
      <c r="B619" s="2" t="s">
        <v>1582</v>
      </c>
      <c r="C619" s="2" t="s">
        <v>146</v>
      </c>
      <c r="D619" s="16">
        <v>90</v>
      </c>
      <c r="E619" s="2" t="s">
        <v>1554</v>
      </c>
      <c r="F619" s="2" t="s">
        <v>1580</v>
      </c>
      <c r="G619" s="2" t="s">
        <v>1583</v>
      </c>
      <c r="H619" s="17">
        <v>1496900</v>
      </c>
      <c r="I619" s="2"/>
      <c r="J619" s="2"/>
      <c r="K619" s="17">
        <v>1496900</v>
      </c>
      <c r="L619" s="17">
        <v>160382.14000000001</v>
      </c>
      <c r="M619" s="17">
        <v>1336517.8600000001</v>
      </c>
      <c r="N619" s="17">
        <v>1496900</v>
      </c>
      <c r="O619" s="2"/>
      <c r="P619" s="2"/>
      <c r="Q619" s="2" t="s">
        <v>759</v>
      </c>
      <c r="R619" s="5">
        <f t="shared" si="27"/>
        <v>1496900</v>
      </c>
      <c r="S619" s="5">
        <f t="shared" si="28"/>
        <v>1496900</v>
      </c>
      <c r="T619" s="5">
        <f t="shared" si="29"/>
        <v>0</v>
      </c>
    </row>
    <row r="620" spans="1:20">
      <c r="A620" s="2" t="s">
        <v>1553</v>
      </c>
      <c r="B620" s="2" t="s">
        <v>1584</v>
      </c>
      <c r="C620" s="2" t="s">
        <v>23</v>
      </c>
      <c r="D620" s="16">
        <v>30</v>
      </c>
      <c r="E620" s="2" t="s">
        <v>1569</v>
      </c>
      <c r="F620" s="2" t="s">
        <v>224</v>
      </c>
      <c r="G620" s="2" t="s">
        <v>1585</v>
      </c>
      <c r="H620" s="17">
        <v>57200</v>
      </c>
      <c r="I620" s="2"/>
      <c r="J620" s="2"/>
      <c r="K620" s="17">
        <v>57200</v>
      </c>
      <c r="L620" s="17">
        <v>6128.57</v>
      </c>
      <c r="M620" s="17">
        <v>51071.43</v>
      </c>
      <c r="N620" s="17">
        <v>57200</v>
      </c>
      <c r="O620" s="2"/>
      <c r="P620" s="2"/>
      <c r="Q620" s="2" t="s">
        <v>180</v>
      </c>
      <c r="R620" s="5">
        <f t="shared" si="27"/>
        <v>57200</v>
      </c>
      <c r="S620" s="5">
        <f t="shared" si="28"/>
        <v>57200</v>
      </c>
      <c r="T620" s="5">
        <f t="shared" si="29"/>
        <v>0</v>
      </c>
    </row>
    <row r="621" spans="1:20">
      <c r="A621" s="2" t="s">
        <v>1553</v>
      </c>
      <c r="B621" s="2" t="s">
        <v>1586</v>
      </c>
      <c r="C621" s="2" t="s">
        <v>64</v>
      </c>
      <c r="D621" s="16">
        <v>30</v>
      </c>
      <c r="E621" s="2" t="s">
        <v>1569</v>
      </c>
      <c r="F621" s="2" t="s">
        <v>26</v>
      </c>
      <c r="G621" s="2" t="s">
        <v>1420</v>
      </c>
      <c r="H621" s="17">
        <v>264274</v>
      </c>
      <c r="I621" s="2"/>
      <c r="J621" s="17">
        <v>35300</v>
      </c>
      <c r="K621" s="17">
        <f>299574-J621</f>
        <v>264274</v>
      </c>
      <c r="L621" s="17">
        <v>32097.21</v>
      </c>
      <c r="M621" s="17">
        <v>267476.78999999998</v>
      </c>
      <c r="N621" s="17">
        <v>299574</v>
      </c>
      <c r="O621" s="2"/>
      <c r="P621" s="2"/>
      <c r="Q621" s="2" t="s">
        <v>25</v>
      </c>
      <c r="R621" s="5">
        <f t="shared" si="27"/>
        <v>299574</v>
      </c>
      <c r="S621" s="5">
        <f t="shared" si="28"/>
        <v>299574</v>
      </c>
      <c r="T621" s="5">
        <f t="shared" si="29"/>
        <v>0</v>
      </c>
    </row>
    <row r="622" spans="1:20">
      <c r="A622" s="2" t="s">
        <v>1553</v>
      </c>
      <c r="B622" s="2" t="s">
        <v>1587</v>
      </c>
      <c r="C622" s="2" t="s">
        <v>23</v>
      </c>
      <c r="D622" s="16">
        <v>30</v>
      </c>
      <c r="E622" s="2" t="s">
        <v>1569</v>
      </c>
      <c r="F622" s="2" t="s">
        <v>224</v>
      </c>
      <c r="G622" s="2" t="s">
        <v>1588</v>
      </c>
      <c r="H622" s="17">
        <v>45800</v>
      </c>
      <c r="I622" s="2"/>
      <c r="J622" s="2"/>
      <c r="K622" s="17">
        <v>45800</v>
      </c>
      <c r="L622" s="17">
        <v>4907.1400000000003</v>
      </c>
      <c r="M622" s="17">
        <v>40892.86</v>
      </c>
      <c r="N622" s="17">
        <v>45800</v>
      </c>
      <c r="O622" s="2"/>
      <c r="P622" s="2"/>
      <c r="Q622" s="2" t="s">
        <v>180</v>
      </c>
      <c r="R622" s="5">
        <f t="shared" si="27"/>
        <v>45800</v>
      </c>
      <c r="S622" s="5">
        <f t="shared" si="28"/>
        <v>45800</v>
      </c>
      <c r="T622" s="5">
        <f t="shared" si="29"/>
        <v>0</v>
      </c>
    </row>
    <row r="623" spans="1:20">
      <c r="A623" s="2" t="s">
        <v>1553</v>
      </c>
      <c r="B623" s="2" t="s">
        <v>1589</v>
      </c>
      <c r="C623" s="2" t="s">
        <v>34</v>
      </c>
      <c r="D623" s="16">
        <v>60</v>
      </c>
      <c r="E623" s="2" t="s">
        <v>1557</v>
      </c>
      <c r="F623" s="2" t="s">
        <v>287</v>
      </c>
      <c r="G623" s="2" t="s">
        <v>1590</v>
      </c>
      <c r="H623" s="17">
        <v>110500</v>
      </c>
      <c r="I623" s="2"/>
      <c r="J623" s="2"/>
      <c r="K623" s="17">
        <v>110500</v>
      </c>
      <c r="L623" s="17">
        <v>11839.29</v>
      </c>
      <c r="M623" s="17">
        <v>98660.71</v>
      </c>
      <c r="N623" s="17">
        <v>110500</v>
      </c>
      <c r="O623" s="2"/>
      <c r="P623" s="2"/>
      <c r="Q623" s="2" t="s">
        <v>19</v>
      </c>
      <c r="R623" s="5">
        <f t="shared" si="27"/>
        <v>110500</v>
      </c>
      <c r="S623" s="5">
        <f t="shared" si="28"/>
        <v>110500</v>
      </c>
      <c r="T623" s="5">
        <f t="shared" si="29"/>
        <v>0</v>
      </c>
    </row>
    <row r="624" spans="1:20">
      <c r="A624" s="2" t="s">
        <v>1553</v>
      </c>
      <c r="B624" s="2" t="s">
        <v>1591</v>
      </c>
      <c r="C624" s="2" t="s">
        <v>60</v>
      </c>
      <c r="D624" s="16">
        <v>0</v>
      </c>
      <c r="E624" s="2" t="s">
        <v>1553</v>
      </c>
      <c r="F624" s="2" t="s">
        <v>406</v>
      </c>
      <c r="G624" s="2" t="s">
        <v>1592</v>
      </c>
      <c r="H624" s="17">
        <v>728000</v>
      </c>
      <c r="I624" s="19">
        <v>-21840</v>
      </c>
      <c r="J624" s="2"/>
      <c r="K624" s="17">
        <v>706160</v>
      </c>
      <c r="L624" s="17">
        <v>75660</v>
      </c>
      <c r="M624" s="17">
        <v>630500</v>
      </c>
      <c r="N624" s="17">
        <v>706160</v>
      </c>
      <c r="O624" s="2"/>
      <c r="P624" s="2"/>
      <c r="Q624" s="2" t="s">
        <v>30</v>
      </c>
      <c r="R624" s="5">
        <f t="shared" si="27"/>
        <v>706160</v>
      </c>
      <c r="S624" s="5">
        <f t="shared" si="28"/>
        <v>706160</v>
      </c>
      <c r="T624" s="5">
        <f t="shared" si="29"/>
        <v>0</v>
      </c>
    </row>
    <row r="625" spans="1:20">
      <c r="A625" s="2" t="s">
        <v>1553</v>
      </c>
      <c r="B625" s="2" t="s">
        <v>1593</v>
      </c>
      <c r="C625" s="2" t="s">
        <v>29</v>
      </c>
      <c r="D625" s="16">
        <v>0</v>
      </c>
      <c r="E625" s="2" t="s">
        <v>1553</v>
      </c>
      <c r="F625" s="2" t="s">
        <v>218</v>
      </c>
      <c r="G625" s="2" t="s">
        <v>1594</v>
      </c>
      <c r="H625" s="17">
        <v>517172</v>
      </c>
      <c r="I625" s="19">
        <v>-15515.16</v>
      </c>
      <c r="J625" s="2"/>
      <c r="K625" s="17">
        <v>501656.84</v>
      </c>
      <c r="L625" s="17">
        <v>53748.95</v>
      </c>
      <c r="M625" s="17">
        <v>447907.89</v>
      </c>
      <c r="N625" s="17">
        <v>501656.84</v>
      </c>
      <c r="O625" s="2"/>
      <c r="P625" s="2"/>
      <c r="Q625" s="2" t="s">
        <v>30</v>
      </c>
      <c r="R625" s="5">
        <f t="shared" si="27"/>
        <v>501656.84</v>
      </c>
      <c r="S625" s="5">
        <f t="shared" si="28"/>
        <v>501656.84</v>
      </c>
      <c r="T625" s="5">
        <f t="shared" si="29"/>
        <v>0</v>
      </c>
    </row>
    <row r="626" spans="1:20">
      <c r="A626" s="2" t="s">
        <v>1553</v>
      </c>
      <c r="B626" s="2" t="s">
        <v>1595</v>
      </c>
      <c r="C626" s="2" t="s">
        <v>29</v>
      </c>
      <c r="D626" s="16">
        <v>0</v>
      </c>
      <c r="E626" s="2" t="s">
        <v>1553</v>
      </c>
      <c r="F626" s="2" t="s">
        <v>218</v>
      </c>
      <c r="G626" s="2" t="s">
        <v>1596</v>
      </c>
      <c r="H626" s="17">
        <v>152454</v>
      </c>
      <c r="I626" s="19">
        <v>-4573.62</v>
      </c>
      <c r="J626" s="2"/>
      <c r="K626" s="17">
        <v>147880.38</v>
      </c>
      <c r="L626" s="17">
        <v>15844.33</v>
      </c>
      <c r="M626" s="17">
        <v>132036.04999999999</v>
      </c>
      <c r="N626" s="17">
        <v>147880.38</v>
      </c>
      <c r="O626" s="2"/>
      <c r="P626" s="2"/>
      <c r="Q626" s="2" t="s">
        <v>30</v>
      </c>
      <c r="R626" s="5">
        <f t="shared" si="27"/>
        <v>147880.38</v>
      </c>
      <c r="S626" s="5">
        <f t="shared" si="28"/>
        <v>147880.38</v>
      </c>
      <c r="T626" s="5">
        <f t="shared" si="29"/>
        <v>0</v>
      </c>
    </row>
    <row r="627" spans="1:20">
      <c r="A627" s="2" t="s">
        <v>1553</v>
      </c>
      <c r="B627" s="2" t="s">
        <v>1597</v>
      </c>
      <c r="C627" s="2" t="s">
        <v>73</v>
      </c>
      <c r="D627" s="16">
        <v>30</v>
      </c>
      <c r="E627" s="2" t="s">
        <v>1569</v>
      </c>
      <c r="F627" s="2" t="s">
        <v>812</v>
      </c>
      <c r="G627" s="2" t="s">
        <v>1598</v>
      </c>
      <c r="H627" s="17">
        <v>246330</v>
      </c>
      <c r="I627" s="2"/>
      <c r="J627" s="2"/>
      <c r="K627" s="17">
        <v>246330</v>
      </c>
      <c r="L627" s="17">
        <v>26392.5</v>
      </c>
      <c r="M627" s="17">
        <v>219937.5</v>
      </c>
      <c r="N627" s="17">
        <v>246330</v>
      </c>
      <c r="O627" s="2"/>
      <c r="P627" s="2"/>
      <c r="Q627" s="2" t="s">
        <v>56</v>
      </c>
      <c r="R627" s="5">
        <f t="shared" si="27"/>
        <v>246330</v>
      </c>
      <c r="S627" s="5">
        <f t="shared" si="28"/>
        <v>246330</v>
      </c>
      <c r="T627" s="5">
        <f t="shared" si="29"/>
        <v>0</v>
      </c>
    </row>
    <row r="628" spans="1:20">
      <c r="A628" s="2" t="s">
        <v>1553</v>
      </c>
      <c r="B628" s="2" t="s">
        <v>1599</v>
      </c>
      <c r="C628" s="2" t="s">
        <v>60</v>
      </c>
      <c r="D628" s="16">
        <v>0</v>
      </c>
      <c r="E628" s="2" t="s">
        <v>1553</v>
      </c>
      <c r="F628" s="2" t="s">
        <v>196</v>
      </c>
      <c r="G628" s="2" t="s">
        <v>1600</v>
      </c>
      <c r="H628" s="17">
        <v>20090</v>
      </c>
      <c r="I628" s="2"/>
      <c r="J628" s="2"/>
      <c r="K628" s="17">
        <v>20090</v>
      </c>
      <c r="L628" s="17">
        <v>2152.5</v>
      </c>
      <c r="M628" s="17">
        <v>17937.5</v>
      </c>
      <c r="N628" s="17">
        <v>20090</v>
      </c>
      <c r="O628" s="2"/>
      <c r="P628" s="2"/>
      <c r="Q628" s="2" t="s">
        <v>56</v>
      </c>
      <c r="R628" s="5">
        <f t="shared" si="27"/>
        <v>20090</v>
      </c>
      <c r="S628" s="5">
        <f t="shared" si="28"/>
        <v>20090</v>
      </c>
      <c r="T628" s="5">
        <f t="shared" si="29"/>
        <v>0</v>
      </c>
    </row>
    <row r="629" spans="1:20">
      <c r="A629" s="2" t="s">
        <v>1553</v>
      </c>
      <c r="B629" s="2" t="s">
        <v>1601</v>
      </c>
      <c r="C629" s="2" t="s">
        <v>60</v>
      </c>
      <c r="D629" s="16">
        <v>0</v>
      </c>
      <c r="E629" s="2" t="s">
        <v>1553</v>
      </c>
      <c r="F629" s="2" t="s">
        <v>196</v>
      </c>
      <c r="G629" s="2" t="s">
        <v>1602</v>
      </c>
      <c r="H629" s="17">
        <v>60268</v>
      </c>
      <c r="I629" s="2"/>
      <c r="J629" s="2"/>
      <c r="K629" s="17">
        <v>60268</v>
      </c>
      <c r="L629" s="17">
        <v>6457.29</v>
      </c>
      <c r="M629" s="17">
        <v>53810.71</v>
      </c>
      <c r="N629" s="17">
        <v>60268</v>
      </c>
      <c r="O629" s="2"/>
      <c r="P629" s="2"/>
      <c r="Q629" s="2" t="s">
        <v>56</v>
      </c>
      <c r="R629" s="5">
        <f t="shared" si="27"/>
        <v>60268</v>
      </c>
      <c r="S629" s="5">
        <f t="shared" si="28"/>
        <v>60268</v>
      </c>
      <c r="T629" s="5">
        <f t="shared" si="29"/>
        <v>0</v>
      </c>
    </row>
    <row r="630" spans="1:20">
      <c r="A630" s="2" t="s">
        <v>1553</v>
      </c>
      <c r="B630" s="2" t="s">
        <v>1603</v>
      </c>
      <c r="C630" s="2" t="s">
        <v>54</v>
      </c>
      <c r="D630" s="16">
        <v>90</v>
      </c>
      <c r="E630" s="2" t="s">
        <v>1554</v>
      </c>
      <c r="F630" s="2" t="s">
        <v>937</v>
      </c>
      <c r="G630" s="2" t="s">
        <v>1604</v>
      </c>
      <c r="H630" s="17">
        <v>537500</v>
      </c>
      <c r="I630" s="2"/>
      <c r="J630" s="2"/>
      <c r="K630" s="17">
        <v>537500</v>
      </c>
      <c r="L630" s="17">
        <v>57589.29</v>
      </c>
      <c r="M630" s="17">
        <v>479910.71</v>
      </c>
      <c r="N630" s="17">
        <v>537500</v>
      </c>
      <c r="O630" s="2"/>
      <c r="P630" s="2"/>
      <c r="Q630" s="2" t="s">
        <v>19</v>
      </c>
      <c r="R630" s="5">
        <f t="shared" si="27"/>
        <v>537500</v>
      </c>
      <c r="S630" s="5">
        <f t="shared" si="28"/>
        <v>537500</v>
      </c>
      <c r="T630" s="5">
        <f t="shared" si="29"/>
        <v>0</v>
      </c>
    </row>
    <row r="631" spans="1:20">
      <c r="A631" s="2" t="s">
        <v>1553</v>
      </c>
      <c r="B631" s="2" t="s">
        <v>1605</v>
      </c>
      <c r="C631" s="2" t="s">
        <v>18</v>
      </c>
      <c r="D631" s="16">
        <v>0</v>
      </c>
      <c r="E631" s="2" t="s">
        <v>1553</v>
      </c>
      <c r="F631" s="2" t="s">
        <v>581</v>
      </c>
      <c r="G631" s="2" t="s">
        <v>1606</v>
      </c>
      <c r="H631" s="17">
        <v>353460</v>
      </c>
      <c r="I631" s="2"/>
      <c r="J631" s="2"/>
      <c r="K631" s="17">
        <v>353460</v>
      </c>
      <c r="L631" s="17">
        <v>37870.71</v>
      </c>
      <c r="M631" s="17">
        <v>315589.28999999998</v>
      </c>
      <c r="N631" s="17">
        <v>353460</v>
      </c>
      <c r="O631" s="2"/>
      <c r="P631" s="2"/>
      <c r="Q631" s="2" t="s">
        <v>30</v>
      </c>
      <c r="R631" s="5">
        <f t="shared" si="27"/>
        <v>353460</v>
      </c>
      <c r="S631" s="5">
        <f t="shared" si="28"/>
        <v>353460</v>
      </c>
      <c r="T631" s="5">
        <f t="shared" si="29"/>
        <v>0</v>
      </c>
    </row>
    <row r="632" spans="1:20">
      <c r="A632" s="2" t="s">
        <v>1553</v>
      </c>
      <c r="B632" s="2" t="s">
        <v>1607</v>
      </c>
      <c r="C632" s="2" t="s">
        <v>18</v>
      </c>
      <c r="D632" s="16">
        <v>0</v>
      </c>
      <c r="E632" s="2" t="s">
        <v>1553</v>
      </c>
      <c r="F632" s="2" t="s">
        <v>581</v>
      </c>
      <c r="G632" s="2" t="s">
        <v>1608</v>
      </c>
      <c r="H632" s="17">
        <v>1011060</v>
      </c>
      <c r="I632" s="2"/>
      <c r="J632" s="2"/>
      <c r="K632" s="17">
        <v>1011060</v>
      </c>
      <c r="L632" s="17">
        <v>108327.86</v>
      </c>
      <c r="M632" s="17">
        <v>902732.14</v>
      </c>
      <c r="N632" s="17">
        <v>1011060</v>
      </c>
      <c r="O632" s="2"/>
      <c r="P632" s="2"/>
      <c r="Q632" s="2" t="s">
        <v>30</v>
      </c>
      <c r="R632" s="5">
        <f t="shared" si="27"/>
        <v>1011060</v>
      </c>
      <c r="S632" s="5">
        <f t="shared" si="28"/>
        <v>1011060</v>
      </c>
      <c r="T632" s="5">
        <f t="shared" si="29"/>
        <v>0</v>
      </c>
    </row>
    <row r="633" spans="1:20">
      <c r="A633" s="2" t="s">
        <v>1553</v>
      </c>
      <c r="B633" s="2" t="s">
        <v>1609</v>
      </c>
      <c r="C633" s="2" t="s">
        <v>18</v>
      </c>
      <c r="D633" s="16">
        <v>0</v>
      </c>
      <c r="E633" s="2" t="s">
        <v>1553</v>
      </c>
      <c r="F633" s="2" t="s">
        <v>581</v>
      </c>
      <c r="G633" s="2" t="s">
        <v>1610</v>
      </c>
      <c r="H633" s="17">
        <v>16440</v>
      </c>
      <c r="I633" s="2"/>
      <c r="J633" s="2"/>
      <c r="K633" s="17">
        <v>16440</v>
      </c>
      <c r="L633" s="17">
        <v>1761.43</v>
      </c>
      <c r="M633" s="17">
        <v>14678.57</v>
      </c>
      <c r="N633" s="17">
        <v>16440</v>
      </c>
      <c r="O633" s="2"/>
      <c r="P633" s="2"/>
      <c r="Q633" s="2" t="s">
        <v>30</v>
      </c>
      <c r="R633" s="5">
        <f t="shared" si="27"/>
        <v>16440</v>
      </c>
      <c r="S633" s="5">
        <f t="shared" si="28"/>
        <v>16440</v>
      </c>
      <c r="T633" s="5">
        <f t="shared" si="29"/>
        <v>0</v>
      </c>
    </row>
    <row r="634" spans="1:20">
      <c r="A634" s="2" t="s">
        <v>1553</v>
      </c>
      <c r="B634" s="2" t="s">
        <v>1611</v>
      </c>
      <c r="C634" s="2" t="s">
        <v>369</v>
      </c>
      <c r="D634" s="16">
        <v>30</v>
      </c>
      <c r="E634" s="2" t="s">
        <v>1569</v>
      </c>
      <c r="F634" s="2" t="s">
        <v>371</v>
      </c>
      <c r="G634" s="2" t="s">
        <v>1612</v>
      </c>
      <c r="H634" s="17">
        <v>20540</v>
      </c>
      <c r="I634" s="2"/>
      <c r="J634" s="2"/>
      <c r="K634" s="17">
        <v>20540</v>
      </c>
      <c r="L634" s="17">
        <v>2200.71</v>
      </c>
      <c r="M634" s="17">
        <v>18339.29</v>
      </c>
      <c r="N634" s="17">
        <v>20540</v>
      </c>
      <c r="O634" s="2"/>
      <c r="P634" s="2"/>
      <c r="Q634" s="2" t="s">
        <v>139</v>
      </c>
      <c r="R634" s="5">
        <f t="shared" si="27"/>
        <v>20540</v>
      </c>
      <c r="S634" s="5">
        <f t="shared" si="28"/>
        <v>20540</v>
      </c>
      <c r="T634" s="5">
        <f t="shared" si="29"/>
        <v>0</v>
      </c>
    </row>
    <row r="635" spans="1:20">
      <c r="A635" s="2" t="s">
        <v>1553</v>
      </c>
      <c r="B635" s="2" t="s">
        <v>1613</v>
      </c>
      <c r="C635" s="2" t="s">
        <v>1011</v>
      </c>
      <c r="D635" s="16">
        <v>60</v>
      </c>
      <c r="E635" s="2" t="s">
        <v>1557</v>
      </c>
      <c r="F635" s="2" t="s">
        <v>1614</v>
      </c>
      <c r="G635" s="2" t="s">
        <v>1615</v>
      </c>
      <c r="H635" s="17">
        <v>163920</v>
      </c>
      <c r="I635" s="2"/>
      <c r="J635" s="2"/>
      <c r="K635" s="17">
        <v>163920</v>
      </c>
      <c r="L635" s="17">
        <v>17562.86</v>
      </c>
      <c r="M635" s="17">
        <v>146357.14000000001</v>
      </c>
      <c r="N635" s="17">
        <v>163920</v>
      </c>
      <c r="O635" s="2"/>
      <c r="P635" s="2"/>
      <c r="Q635" s="2" t="s">
        <v>204</v>
      </c>
      <c r="R635" s="5">
        <f t="shared" si="27"/>
        <v>163920</v>
      </c>
      <c r="S635" s="5">
        <f t="shared" si="28"/>
        <v>163920</v>
      </c>
      <c r="T635" s="5">
        <f t="shared" si="29"/>
        <v>0</v>
      </c>
    </row>
    <row r="636" spans="1:20">
      <c r="A636" s="2" t="s">
        <v>1553</v>
      </c>
      <c r="B636" s="2" t="s">
        <v>1616</v>
      </c>
      <c r="C636" s="2" t="s">
        <v>1011</v>
      </c>
      <c r="D636" s="16">
        <v>60</v>
      </c>
      <c r="E636" s="2" t="s">
        <v>1557</v>
      </c>
      <c r="F636" s="2" t="s">
        <v>1614</v>
      </c>
      <c r="G636" s="2" t="s">
        <v>1617</v>
      </c>
      <c r="H636" s="17">
        <v>280978</v>
      </c>
      <c r="I636" s="2"/>
      <c r="J636" s="2"/>
      <c r="K636" s="17">
        <v>280978</v>
      </c>
      <c r="L636" s="17">
        <v>30104.79</v>
      </c>
      <c r="M636" s="17">
        <v>250873.21</v>
      </c>
      <c r="N636" s="17">
        <v>280978</v>
      </c>
      <c r="O636" s="2"/>
      <c r="P636" s="2"/>
      <c r="Q636" s="2" t="s">
        <v>204</v>
      </c>
      <c r="R636" s="5">
        <f t="shared" si="27"/>
        <v>280978</v>
      </c>
      <c r="S636" s="5">
        <f t="shared" si="28"/>
        <v>280978</v>
      </c>
      <c r="T636" s="5">
        <f t="shared" si="29"/>
        <v>0</v>
      </c>
    </row>
    <row r="637" spans="1:20">
      <c r="A637" s="2" t="s">
        <v>1553</v>
      </c>
      <c r="B637" s="2" t="s">
        <v>1618</v>
      </c>
      <c r="C637" s="2" t="s">
        <v>151</v>
      </c>
      <c r="D637" s="16">
        <v>60</v>
      </c>
      <c r="E637" s="2" t="s">
        <v>1557</v>
      </c>
      <c r="F637" s="2" t="s">
        <v>152</v>
      </c>
      <c r="G637" s="2" t="s">
        <v>1619</v>
      </c>
      <c r="H637" s="17">
        <v>21504</v>
      </c>
      <c r="I637" s="2"/>
      <c r="J637" s="2"/>
      <c r="K637" s="17">
        <v>21504</v>
      </c>
      <c r="L637" s="17">
        <v>2304</v>
      </c>
      <c r="M637" s="17">
        <v>19200</v>
      </c>
      <c r="N637" s="17">
        <v>21504</v>
      </c>
      <c r="O637" s="2"/>
      <c r="P637" s="2"/>
      <c r="Q637" s="2" t="s">
        <v>56</v>
      </c>
      <c r="R637" s="5">
        <f t="shared" si="27"/>
        <v>21504</v>
      </c>
      <c r="S637" s="5">
        <f t="shared" si="28"/>
        <v>21504</v>
      </c>
      <c r="T637" s="5">
        <f t="shared" si="29"/>
        <v>0</v>
      </c>
    </row>
    <row r="638" spans="1:20">
      <c r="A638" s="2" t="s">
        <v>1553</v>
      </c>
      <c r="B638" s="2" t="s">
        <v>1620</v>
      </c>
      <c r="C638" s="2" t="s">
        <v>68</v>
      </c>
      <c r="D638" s="16">
        <v>60</v>
      </c>
      <c r="E638" s="2" t="s">
        <v>1557</v>
      </c>
      <c r="F638" s="2" t="s">
        <v>70</v>
      </c>
      <c r="G638" s="2" t="s">
        <v>1621</v>
      </c>
      <c r="H638" s="17">
        <v>2419200</v>
      </c>
      <c r="I638" s="2"/>
      <c r="J638" s="2"/>
      <c r="K638" s="17">
        <v>2419200</v>
      </c>
      <c r="L638" s="17">
        <v>259200</v>
      </c>
      <c r="M638" s="17">
        <v>2160000</v>
      </c>
      <c r="N638" s="17">
        <v>2419200</v>
      </c>
      <c r="O638" s="2"/>
      <c r="P638" s="2"/>
      <c r="Q638" s="2" t="s">
        <v>69</v>
      </c>
      <c r="R638" s="5">
        <f t="shared" si="27"/>
        <v>2419200</v>
      </c>
      <c r="S638" s="5">
        <f t="shared" si="28"/>
        <v>2419200</v>
      </c>
      <c r="T638" s="5">
        <f t="shared" si="29"/>
        <v>0</v>
      </c>
    </row>
    <row r="639" spans="1:20">
      <c r="D639" s="6"/>
      <c r="F639" s="25" t="s">
        <v>1776</v>
      </c>
      <c r="G639" s="26"/>
      <c r="H639" s="27"/>
      <c r="I639" s="26"/>
      <c r="J639" s="28">
        <f>SUM(J5:J638)</f>
        <v>376155.62</v>
      </c>
      <c r="K639" s="28">
        <f>SUM(K5:K638)</f>
        <v>154526133.58999997</v>
      </c>
      <c r="L639" s="5"/>
      <c r="M639" s="5"/>
      <c r="N639" s="28">
        <f>SUM(N5:N638)</f>
        <v>154902289.21000001</v>
      </c>
    </row>
    <row r="640" spans="1:20">
      <c r="D640" s="6"/>
      <c r="H640" s="5"/>
      <c r="K640" s="5"/>
      <c r="L640" s="5"/>
      <c r="M640" s="5"/>
      <c r="N640" s="5"/>
    </row>
    <row r="641" spans="1:17">
      <c r="D641" s="6"/>
      <c r="H641" s="5"/>
      <c r="K641" s="5"/>
      <c r="L641" s="5"/>
      <c r="M641" s="5"/>
      <c r="N641" s="5"/>
    </row>
    <row r="642" spans="1:17">
      <c r="D642" s="6"/>
      <c r="H642" s="5"/>
      <c r="K642" s="5"/>
      <c r="L642" s="5"/>
      <c r="M642" s="5"/>
      <c r="N642" s="5"/>
    </row>
    <row r="643" spans="1:17">
      <c r="D643" s="6"/>
      <c r="H643" s="5"/>
      <c r="K643" s="5"/>
      <c r="L643" s="5"/>
      <c r="M643" s="5"/>
      <c r="N643" s="5"/>
    </row>
    <row r="644" spans="1:17">
      <c r="D644" s="6"/>
      <c r="H644" s="5"/>
      <c r="K644" s="5"/>
      <c r="L644" s="5"/>
      <c r="M644" s="5"/>
      <c r="N644" s="5"/>
    </row>
    <row r="645" spans="1:17">
      <c r="D645" s="6"/>
      <c r="H645" s="5"/>
      <c r="K645" s="5"/>
      <c r="L645" s="5"/>
      <c r="M645" s="5"/>
      <c r="N645" s="5"/>
    </row>
    <row r="646" spans="1:17">
      <c r="D646" s="6"/>
      <c r="H646" s="5"/>
      <c r="K646" s="5"/>
      <c r="L646" s="5"/>
      <c r="M646" s="5"/>
      <c r="N646" s="5"/>
    </row>
    <row r="647" spans="1:17">
      <c r="D647" s="6"/>
      <c r="H647" s="5"/>
      <c r="K647" s="5"/>
      <c r="L647" s="5"/>
      <c r="M647" s="5"/>
      <c r="N647" s="5"/>
    </row>
    <row r="648" spans="1:17">
      <c r="D648" s="6"/>
      <c r="H648" s="5"/>
      <c r="K648" s="5"/>
      <c r="L648" s="5"/>
      <c r="M648" s="5"/>
      <c r="N648" s="5"/>
    </row>
    <row r="649" spans="1:17">
      <c r="D649" s="6"/>
      <c r="H649" s="5"/>
      <c r="K649" s="5"/>
      <c r="L649" s="5"/>
      <c r="M649" s="5"/>
      <c r="N649" s="5"/>
    </row>
    <row r="650" spans="1:17">
      <c r="D650" s="6"/>
      <c r="H650" s="5"/>
      <c r="K650" s="5"/>
      <c r="L650" s="5"/>
      <c r="M650" s="5"/>
      <c r="N650" s="5"/>
    </row>
    <row r="651" spans="1:17">
      <c r="D651" s="6"/>
      <c r="H651" s="5"/>
      <c r="K651" s="5"/>
      <c r="L651" s="5"/>
      <c r="M651" s="5"/>
      <c r="N651" s="5"/>
    </row>
    <row r="652" spans="1:17">
      <c r="D652" s="6"/>
      <c r="H652" s="5"/>
      <c r="K652" s="5"/>
      <c r="L652" s="5"/>
      <c r="M652" s="5"/>
      <c r="N652" s="5"/>
    </row>
    <row r="653" spans="1:17">
      <c r="A653" t="s">
        <v>93</v>
      </c>
      <c r="B653" t="s">
        <v>1622</v>
      </c>
      <c r="C653" t="s">
        <v>146</v>
      </c>
      <c r="D653" s="6">
        <v>90</v>
      </c>
      <c r="E653" t="s">
        <v>147</v>
      </c>
      <c r="F653" t="s">
        <v>589</v>
      </c>
      <c r="G653" t="s">
        <v>1623</v>
      </c>
      <c r="H653" s="4">
        <v>-1.25</v>
      </c>
      <c r="K653" s="4">
        <v>-1.25</v>
      </c>
      <c r="M653" s="4">
        <v>-1.25</v>
      </c>
      <c r="N653" s="4">
        <v>-1.25</v>
      </c>
      <c r="Q653" t="s">
        <v>69</v>
      </c>
    </row>
    <row r="654" spans="1:17">
      <c r="A654" t="s">
        <v>448</v>
      </c>
      <c r="B654" t="s">
        <v>1624</v>
      </c>
      <c r="C654" t="s">
        <v>146</v>
      </c>
      <c r="D654" s="6">
        <v>90</v>
      </c>
      <c r="E654" t="s">
        <v>479</v>
      </c>
      <c r="F654" t="s">
        <v>589</v>
      </c>
      <c r="G654" t="s">
        <v>1625</v>
      </c>
      <c r="H654" s="4">
        <v>-0.14000000000000001</v>
      </c>
      <c r="K654" s="4">
        <v>-0.14000000000000001</v>
      </c>
      <c r="M654" s="4">
        <v>-0.14000000000000001</v>
      </c>
      <c r="N654" s="4">
        <v>-0.14000000000000001</v>
      </c>
      <c r="Q654" t="s">
        <v>139</v>
      </c>
    </row>
    <row r="655" spans="1:17">
      <c r="A655" t="s">
        <v>505</v>
      </c>
      <c r="B655" t="s">
        <v>1626</v>
      </c>
      <c r="C655" t="s">
        <v>243</v>
      </c>
      <c r="D655" s="6">
        <v>30</v>
      </c>
      <c r="E655" t="s">
        <v>518</v>
      </c>
      <c r="F655" t="s">
        <v>1405</v>
      </c>
      <c r="G655" t="s">
        <v>1627</v>
      </c>
      <c r="H655" s="4">
        <v>-0.99</v>
      </c>
      <c r="K655" s="4">
        <v>-0.99</v>
      </c>
      <c r="M655" s="4">
        <v>-0.99</v>
      </c>
      <c r="N655" s="4">
        <v>-0.99</v>
      </c>
      <c r="Q655" t="s">
        <v>139</v>
      </c>
    </row>
    <row r="656" spans="1:17">
      <c r="A656" t="s">
        <v>505</v>
      </c>
      <c r="B656" t="s">
        <v>1628</v>
      </c>
      <c r="C656" t="s">
        <v>73</v>
      </c>
      <c r="D656" s="6">
        <v>30</v>
      </c>
      <c r="E656" t="s">
        <v>518</v>
      </c>
      <c r="F656" t="s">
        <v>267</v>
      </c>
      <c r="G656" t="s">
        <v>1629</v>
      </c>
      <c r="H656" s="4">
        <v>-134200</v>
      </c>
      <c r="K656" s="4">
        <v>-134200</v>
      </c>
      <c r="L656" s="4">
        <v>-14378.57</v>
      </c>
      <c r="M656" s="4">
        <v>-119821.43</v>
      </c>
      <c r="N656" s="4">
        <v>-134200</v>
      </c>
      <c r="Q656" t="s">
        <v>139</v>
      </c>
    </row>
    <row r="657" spans="1:17">
      <c r="A657" t="s">
        <v>505</v>
      </c>
      <c r="B657" t="s">
        <v>1630</v>
      </c>
      <c r="C657" t="s">
        <v>104</v>
      </c>
      <c r="D657" s="6">
        <v>0</v>
      </c>
      <c r="E657" t="s">
        <v>505</v>
      </c>
      <c r="F657" t="s">
        <v>490</v>
      </c>
      <c r="G657" t="s">
        <v>1631</v>
      </c>
      <c r="H657" s="4">
        <v>-0.54</v>
      </c>
      <c r="K657" s="4">
        <v>-0.54</v>
      </c>
      <c r="M657" s="4">
        <v>-0.54</v>
      </c>
      <c r="N657" s="4">
        <v>-0.54</v>
      </c>
      <c r="Q657" t="s">
        <v>19</v>
      </c>
    </row>
    <row r="658" spans="1:17">
      <c r="A658" t="s">
        <v>596</v>
      </c>
      <c r="B658" t="s">
        <v>1632</v>
      </c>
      <c r="C658" t="s">
        <v>151</v>
      </c>
      <c r="D658" s="6">
        <v>60</v>
      </c>
      <c r="E658" t="s">
        <v>613</v>
      </c>
      <c r="F658" t="s">
        <v>1633</v>
      </c>
      <c r="G658" t="s">
        <v>1634</v>
      </c>
      <c r="H658" s="4">
        <v>-2</v>
      </c>
      <c r="K658" s="4">
        <v>-2</v>
      </c>
      <c r="M658" s="4">
        <v>-2</v>
      </c>
      <c r="N658" s="4">
        <v>-2</v>
      </c>
      <c r="Q658" t="s">
        <v>30</v>
      </c>
    </row>
    <row r="659" spans="1:17">
      <c r="A659" t="s">
        <v>596</v>
      </c>
      <c r="B659" t="s">
        <v>1635</v>
      </c>
      <c r="C659" t="s">
        <v>79</v>
      </c>
      <c r="D659" s="6">
        <v>30</v>
      </c>
      <c r="E659" t="s">
        <v>619</v>
      </c>
      <c r="F659" t="s">
        <v>1636</v>
      </c>
      <c r="G659" t="s">
        <v>1637</v>
      </c>
      <c r="H659" s="4">
        <v>-637070</v>
      </c>
      <c r="K659" s="4">
        <v>-637070</v>
      </c>
      <c r="L659" s="4">
        <v>-68257.5</v>
      </c>
      <c r="M659" s="4">
        <v>-568812.5</v>
      </c>
      <c r="N659" s="4">
        <v>-637070</v>
      </c>
      <c r="Q659" t="s">
        <v>105</v>
      </c>
    </row>
    <row r="660" spans="1:17">
      <c r="A660" t="s">
        <v>596</v>
      </c>
      <c r="B660" t="s">
        <v>1638</v>
      </c>
      <c r="C660" t="s">
        <v>79</v>
      </c>
      <c r="D660" s="6">
        <v>30</v>
      </c>
      <c r="E660" t="s">
        <v>619</v>
      </c>
      <c r="F660" t="s">
        <v>1636</v>
      </c>
      <c r="G660" t="s">
        <v>1639</v>
      </c>
      <c r="H660" s="4">
        <v>-115297</v>
      </c>
      <c r="K660" s="4">
        <v>-115297</v>
      </c>
      <c r="L660" s="4">
        <v>-12353.25</v>
      </c>
      <c r="M660" s="4">
        <v>-102943.75</v>
      </c>
      <c r="N660" s="4">
        <v>-115297</v>
      </c>
      <c r="Q660" t="s">
        <v>69</v>
      </c>
    </row>
    <row r="661" spans="1:17">
      <c r="A661" t="s">
        <v>596</v>
      </c>
      <c r="B661" t="s">
        <v>1640</v>
      </c>
      <c r="C661" t="s">
        <v>79</v>
      </c>
      <c r="D661" s="6">
        <v>30</v>
      </c>
      <c r="E661" t="s">
        <v>619</v>
      </c>
      <c r="F661" t="s">
        <v>1636</v>
      </c>
      <c r="G661" t="s">
        <v>1641</v>
      </c>
      <c r="H661" s="4">
        <v>-663000</v>
      </c>
      <c r="K661" s="4">
        <v>-663000</v>
      </c>
      <c r="L661" s="4">
        <v>-71035.710000000006</v>
      </c>
      <c r="M661" s="4">
        <v>-591964.29</v>
      </c>
      <c r="N661" s="4">
        <v>-663000</v>
      </c>
      <c r="Q661" t="s">
        <v>69</v>
      </c>
    </row>
    <row r="662" spans="1:17">
      <c r="A662" t="s">
        <v>596</v>
      </c>
      <c r="B662" t="s">
        <v>1642</v>
      </c>
      <c r="C662" t="s">
        <v>79</v>
      </c>
      <c r="D662" s="6">
        <v>30</v>
      </c>
      <c r="E662" t="s">
        <v>619</v>
      </c>
      <c r="F662" t="s">
        <v>1636</v>
      </c>
      <c r="G662" t="s">
        <v>1643</v>
      </c>
      <c r="H662" s="4">
        <v>-343200</v>
      </c>
      <c r="K662" s="4">
        <v>-343200</v>
      </c>
      <c r="L662" s="4">
        <v>-36771.43</v>
      </c>
      <c r="M662" s="4">
        <v>-306428.57</v>
      </c>
      <c r="N662" s="4">
        <v>-343200</v>
      </c>
      <c r="Q662" t="s">
        <v>69</v>
      </c>
    </row>
    <row r="663" spans="1:17">
      <c r="A663" t="s">
        <v>596</v>
      </c>
      <c r="B663" t="s">
        <v>1644</v>
      </c>
      <c r="C663" t="s">
        <v>79</v>
      </c>
      <c r="D663" s="6">
        <v>30</v>
      </c>
      <c r="E663" t="s">
        <v>619</v>
      </c>
      <c r="F663" t="s">
        <v>1636</v>
      </c>
      <c r="G663" t="s">
        <v>1645</v>
      </c>
      <c r="H663" s="4">
        <v>-53150</v>
      </c>
      <c r="K663" s="4">
        <v>-53150</v>
      </c>
      <c r="L663" s="4">
        <v>-5694.64</v>
      </c>
      <c r="M663" s="4">
        <v>-47455.360000000001</v>
      </c>
      <c r="N663" s="4">
        <v>-53150</v>
      </c>
      <c r="Q663" t="s">
        <v>69</v>
      </c>
    </row>
    <row r="664" spans="1:17">
      <c r="A664" t="s">
        <v>596</v>
      </c>
      <c r="B664" t="s">
        <v>1646</v>
      </c>
      <c r="C664" t="s">
        <v>79</v>
      </c>
      <c r="D664" s="6">
        <v>30</v>
      </c>
      <c r="E664" t="s">
        <v>619</v>
      </c>
      <c r="F664" t="s">
        <v>1636</v>
      </c>
      <c r="G664" t="s">
        <v>1647</v>
      </c>
      <c r="H664" s="4">
        <v>-66750</v>
      </c>
      <c r="K664" s="4">
        <v>-66750</v>
      </c>
      <c r="L664" s="4">
        <v>-7151.79</v>
      </c>
      <c r="M664" s="4">
        <v>-59598.21</v>
      </c>
      <c r="N664" s="4">
        <v>-66750</v>
      </c>
      <c r="Q664" t="s">
        <v>69</v>
      </c>
    </row>
    <row r="665" spans="1:17">
      <c r="A665" t="s">
        <v>596</v>
      </c>
      <c r="B665" t="s">
        <v>1648</v>
      </c>
      <c r="C665" t="s">
        <v>79</v>
      </c>
      <c r="D665" s="6">
        <v>30</v>
      </c>
      <c r="E665" t="s">
        <v>619</v>
      </c>
      <c r="F665" t="s">
        <v>1636</v>
      </c>
      <c r="G665" t="s">
        <v>1649</v>
      </c>
      <c r="H665" s="4">
        <v>-122650</v>
      </c>
      <c r="K665" s="4">
        <v>-122650</v>
      </c>
      <c r="L665" s="4">
        <v>-13141.07</v>
      </c>
      <c r="M665" s="4">
        <v>-109508.93</v>
      </c>
      <c r="N665" s="4">
        <v>-122650</v>
      </c>
      <c r="Q665" t="s">
        <v>69</v>
      </c>
    </row>
    <row r="666" spans="1:17">
      <c r="A666" t="s">
        <v>1651</v>
      </c>
      <c r="B666" t="s">
        <v>1650</v>
      </c>
      <c r="C666" t="s">
        <v>60</v>
      </c>
      <c r="D666" s="6">
        <v>0</v>
      </c>
      <c r="E666" t="s">
        <v>1651</v>
      </c>
      <c r="F666" t="s">
        <v>1127</v>
      </c>
      <c r="G666" t="s">
        <v>1652</v>
      </c>
      <c r="H666" s="4">
        <v>-0.4</v>
      </c>
      <c r="K666" s="4">
        <v>-0.4</v>
      </c>
      <c r="M666" s="4">
        <v>-0.4</v>
      </c>
      <c r="N666" s="4">
        <v>-0.4</v>
      </c>
      <c r="Q666" t="s">
        <v>69</v>
      </c>
    </row>
    <row r="667" spans="1:17">
      <c r="A667" t="s">
        <v>689</v>
      </c>
      <c r="B667" t="s">
        <v>1653</v>
      </c>
      <c r="C667" t="s">
        <v>60</v>
      </c>
      <c r="D667" s="6">
        <v>0</v>
      </c>
      <c r="E667" t="s">
        <v>689</v>
      </c>
      <c r="F667" t="s">
        <v>790</v>
      </c>
      <c r="G667" t="s">
        <v>1654</v>
      </c>
      <c r="H667" s="4">
        <v>-0.2</v>
      </c>
      <c r="K667" s="4">
        <v>-0.2</v>
      </c>
      <c r="M667" s="4">
        <v>-0.2</v>
      </c>
      <c r="N667" s="4">
        <v>-0.2</v>
      </c>
      <c r="Q667" t="s">
        <v>56</v>
      </c>
    </row>
    <row r="668" spans="1:17">
      <c r="A668" t="s">
        <v>1117</v>
      </c>
      <c r="B668" t="s">
        <v>1655</v>
      </c>
      <c r="C668" t="s">
        <v>34</v>
      </c>
      <c r="D668" s="6">
        <v>60</v>
      </c>
      <c r="E668" t="s">
        <v>1139</v>
      </c>
      <c r="F668" t="s">
        <v>330</v>
      </c>
      <c r="G668" t="s">
        <v>1656</v>
      </c>
      <c r="H668" s="4">
        <v>-0.36</v>
      </c>
      <c r="K668" s="4">
        <v>-0.36</v>
      </c>
      <c r="M668" s="4">
        <v>-0.36</v>
      </c>
      <c r="N668" s="4">
        <v>-0.36</v>
      </c>
      <c r="Q668" t="s">
        <v>56</v>
      </c>
    </row>
    <row r="669" spans="1:17">
      <c r="A669" t="s">
        <v>1217</v>
      </c>
      <c r="B669" t="s">
        <v>1657</v>
      </c>
      <c r="C669" t="s">
        <v>146</v>
      </c>
      <c r="D669" s="6">
        <v>90</v>
      </c>
      <c r="E669" t="s">
        <v>1235</v>
      </c>
      <c r="F669" t="s">
        <v>1658</v>
      </c>
      <c r="G669" t="s">
        <v>1659</v>
      </c>
      <c r="H669" s="4">
        <v>-0.43</v>
      </c>
      <c r="K669" s="4">
        <v>-0.43</v>
      </c>
      <c r="M669" s="4">
        <v>-0.43</v>
      </c>
      <c r="N669" s="4">
        <v>-0.43</v>
      </c>
      <c r="Q669" t="s">
        <v>329</v>
      </c>
    </row>
    <row r="670" spans="1:17">
      <c r="A670" t="s">
        <v>1553</v>
      </c>
      <c r="B670" t="s">
        <v>1660</v>
      </c>
      <c r="C670" t="s">
        <v>18</v>
      </c>
      <c r="D670" s="6">
        <v>0</v>
      </c>
      <c r="E670" t="s">
        <v>1553</v>
      </c>
      <c r="F670" t="s">
        <v>1122</v>
      </c>
      <c r="G670" t="s">
        <v>1661</v>
      </c>
      <c r="H670" s="4">
        <v>-0.04</v>
      </c>
      <c r="K670" s="4">
        <v>-0.04</v>
      </c>
      <c r="M670" s="4">
        <v>-0.04</v>
      </c>
      <c r="N670" s="4">
        <v>-0.04</v>
      </c>
      <c r="Q670" t="s">
        <v>50</v>
      </c>
    </row>
    <row r="671" spans="1:17">
      <c r="A671" t="s">
        <v>1553</v>
      </c>
      <c r="B671" t="s">
        <v>1662</v>
      </c>
      <c r="C671" t="s">
        <v>104</v>
      </c>
      <c r="D671" s="6">
        <v>0</v>
      </c>
      <c r="E671" t="s">
        <v>1553</v>
      </c>
      <c r="F671" t="s">
        <v>490</v>
      </c>
      <c r="G671" t="s">
        <v>1663</v>
      </c>
      <c r="H671" s="4">
        <v>-0.54</v>
      </c>
      <c r="K671" s="4">
        <v>-0.54</v>
      </c>
      <c r="M671" s="4">
        <v>-0.54</v>
      </c>
      <c r="N671" s="4">
        <v>-0.54</v>
      </c>
      <c r="Q671" t="s">
        <v>46</v>
      </c>
    </row>
    <row r="672" spans="1:17">
      <c r="A672" t="s">
        <v>1553</v>
      </c>
      <c r="B672" t="s">
        <v>1664</v>
      </c>
      <c r="C672" t="s">
        <v>23</v>
      </c>
      <c r="D672" s="6">
        <v>30</v>
      </c>
      <c r="E672" t="s">
        <v>1569</v>
      </c>
      <c r="F672" t="s">
        <v>1665</v>
      </c>
      <c r="G672" t="s">
        <v>1666</v>
      </c>
      <c r="H672" s="4">
        <v>-0.69</v>
      </c>
      <c r="K672" s="4">
        <v>-0.69</v>
      </c>
      <c r="M672" s="4">
        <v>-0.69</v>
      </c>
      <c r="N672" s="4">
        <v>-0.69</v>
      </c>
      <c r="Q672" t="s">
        <v>30</v>
      </c>
    </row>
    <row r="673" spans="1:17">
      <c r="A673" t="s">
        <v>1553</v>
      </c>
      <c r="B673" t="s">
        <v>1667</v>
      </c>
      <c r="C673" t="s">
        <v>60</v>
      </c>
      <c r="D673" s="6">
        <v>0</v>
      </c>
      <c r="E673" t="s">
        <v>1553</v>
      </c>
      <c r="F673" t="s">
        <v>1668</v>
      </c>
      <c r="G673" t="s">
        <v>1669</v>
      </c>
      <c r="H673" s="4">
        <v>-0.02</v>
      </c>
      <c r="K673" s="4">
        <v>-0.02</v>
      </c>
      <c r="M673" s="4">
        <v>-0.02</v>
      </c>
      <c r="N673" s="4">
        <v>-0.02</v>
      </c>
      <c r="Q673" t="s">
        <v>180</v>
      </c>
    </row>
    <row r="674" spans="1:17">
      <c r="A674" t="s">
        <v>1553</v>
      </c>
      <c r="B674" t="s">
        <v>1670</v>
      </c>
      <c r="C674" t="s">
        <v>104</v>
      </c>
      <c r="D674" s="6">
        <v>0</v>
      </c>
      <c r="E674" t="s">
        <v>1553</v>
      </c>
      <c r="F674" t="s">
        <v>40</v>
      </c>
      <c r="G674" t="s">
        <v>1671</v>
      </c>
      <c r="H674" s="4">
        <v>-1</v>
      </c>
      <c r="K674" s="4">
        <v>-1</v>
      </c>
      <c r="M674" s="4">
        <v>-1</v>
      </c>
      <c r="N674" s="4">
        <v>-1</v>
      </c>
      <c r="Q674" t="s">
        <v>56</v>
      </c>
    </row>
    <row r="675" spans="1:17">
      <c r="A675" t="s">
        <v>1553</v>
      </c>
      <c r="B675" t="s">
        <v>1672</v>
      </c>
      <c r="C675" t="s">
        <v>60</v>
      </c>
      <c r="D675" s="6">
        <v>0</v>
      </c>
      <c r="E675" t="s">
        <v>1553</v>
      </c>
      <c r="F675" t="s">
        <v>1097</v>
      </c>
      <c r="G675" t="s">
        <v>1673</v>
      </c>
      <c r="H675" s="4">
        <v>-0.5</v>
      </c>
      <c r="K675" s="4">
        <v>-0.5</v>
      </c>
      <c r="M675" s="4">
        <v>-0.5</v>
      </c>
      <c r="N675" s="4">
        <v>-0.5</v>
      </c>
      <c r="Q675" t="s">
        <v>30</v>
      </c>
    </row>
    <row r="676" spans="1:17">
      <c r="A676" t="s">
        <v>93</v>
      </c>
      <c r="B676" t="s">
        <v>1674</v>
      </c>
      <c r="C676" t="s">
        <v>237</v>
      </c>
      <c r="D676" s="6">
        <v>60</v>
      </c>
      <c r="E676" t="s">
        <v>136</v>
      </c>
      <c r="F676" t="s">
        <v>303</v>
      </c>
      <c r="G676" t="s">
        <v>1675</v>
      </c>
      <c r="H676" s="4">
        <v>-108810.63</v>
      </c>
      <c r="K676" s="4">
        <v>-108810.63</v>
      </c>
      <c r="L676" s="4">
        <v>-97152.35</v>
      </c>
      <c r="M676" s="4">
        <v>-11658.28</v>
      </c>
      <c r="N676" s="4">
        <v>-108810.63</v>
      </c>
      <c r="Q676" t="s">
        <v>139</v>
      </c>
    </row>
    <row r="677" spans="1:17">
      <c r="A677" t="s">
        <v>368</v>
      </c>
      <c r="B677" t="s">
        <v>1676</v>
      </c>
      <c r="C677" t="s">
        <v>60</v>
      </c>
      <c r="D677" s="6">
        <v>0</v>
      </c>
      <c r="E677" t="s">
        <v>368</v>
      </c>
      <c r="F677" t="s">
        <v>412</v>
      </c>
      <c r="G677" t="s">
        <v>1677</v>
      </c>
      <c r="H677" s="4">
        <v>-153648</v>
      </c>
      <c r="K677" s="4">
        <v>-153648</v>
      </c>
      <c r="L677" s="4">
        <v>-16462.29</v>
      </c>
      <c r="M677" s="4">
        <v>-137185.71</v>
      </c>
      <c r="N677" s="4">
        <v>-153648</v>
      </c>
      <c r="Q677" t="s">
        <v>69</v>
      </c>
    </row>
    <row r="678" spans="1:17">
      <c r="A678" t="s">
        <v>596</v>
      </c>
      <c r="B678" t="s">
        <v>1678</v>
      </c>
      <c r="C678" t="s">
        <v>162</v>
      </c>
      <c r="D678" s="6">
        <v>90</v>
      </c>
      <c r="E678" t="s">
        <v>597</v>
      </c>
      <c r="F678" t="s">
        <v>543</v>
      </c>
      <c r="G678" t="s">
        <v>1679</v>
      </c>
      <c r="H678" s="4">
        <v>-93820</v>
      </c>
      <c r="K678" s="4">
        <v>-93820</v>
      </c>
      <c r="L678" s="4">
        <v>-10052.14</v>
      </c>
      <c r="M678" s="4">
        <v>-83767.86</v>
      </c>
      <c r="N678" s="4">
        <v>-93820</v>
      </c>
      <c r="Q678" t="s">
        <v>56</v>
      </c>
    </row>
    <row r="679" spans="1:17">
      <c r="A679" t="s">
        <v>596</v>
      </c>
      <c r="B679" t="s">
        <v>1680</v>
      </c>
      <c r="C679" t="s">
        <v>29</v>
      </c>
      <c r="D679" s="6">
        <v>0</v>
      </c>
      <c r="E679" t="s">
        <v>596</v>
      </c>
      <c r="F679" t="s">
        <v>40</v>
      </c>
      <c r="G679" t="s">
        <v>1681</v>
      </c>
      <c r="H679" s="4">
        <v>-1008800</v>
      </c>
      <c r="K679" s="4">
        <v>-1008800</v>
      </c>
      <c r="L679" s="4">
        <v>-108085.71</v>
      </c>
      <c r="M679" s="4">
        <v>-900714.29</v>
      </c>
      <c r="N679" s="4">
        <v>-1008800</v>
      </c>
      <c r="Q679" t="s">
        <v>19</v>
      </c>
    </row>
    <row r="680" spans="1:17">
      <c r="A680" t="s">
        <v>596</v>
      </c>
      <c r="B680" t="s">
        <v>1682</v>
      </c>
      <c r="C680" t="s">
        <v>29</v>
      </c>
      <c r="D680" s="6">
        <v>0</v>
      </c>
      <c r="E680" t="s">
        <v>596</v>
      </c>
      <c r="F680" t="s">
        <v>40</v>
      </c>
      <c r="G680" t="s">
        <v>1683</v>
      </c>
      <c r="H680" s="4">
        <v>-70000</v>
      </c>
      <c r="K680" s="4">
        <v>-70000</v>
      </c>
      <c r="L680" s="4">
        <v>-7500</v>
      </c>
      <c r="M680" s="4">
        <v>-62500</v>
      </c>
      <c r="N680" s="4">
        <v>-70000</v>
      </c>
      <c r="Q680" t="s">
        <v>30</v>
      </c>
    </row>
    <row r="681" spans="1:17">
      <c r="A681" t="s">
        <v>637</v>
      </c>
      <c r="B681" t="s">
        <v>1684</v>
      </c>
      <c r="C681" t="s">
        <v>162</v>
      </c>
      <c r="D681" s="6">
        <v>90</v>
      </c>
      <c r="E681" t="s">
        <v>655</v>
      </c>
      <c r="F681" t="s">
        <v>672</v>
      </c>
      <c r="G681" t="s">
        <v>1685</v>
      </c>
      <c r="H681" s="4">
        <v>-11760</v>
      </c>
      <c r="K681" s="4">
        <v>-11760</v>
      </c>
      <c r="L681" s="4">
        <v>-1260</v>
      </c>
      <c r="M681" s="4">
        <v>-10500</v>
      </c>
      <c r="N681" s="4">
        <v>-11760</v>
      </c>
      <c r="Q681" t="s">
        <v>30</v>
      </c>
    </row>
    <row r="682" spans="1:17">
      <c r="A682" t="s">
        <v>637</v>
      </c>
      <c r="B682" t="s">
        <v>1686</v>
      </c>
      <c r="C682" t="s">
        <v>146</v>
      </c>
      <c r="D682" s="6">
        <v>90</v>
      </c>
      <c r="E682" t="s">
        <v>655</v>
      </c>
      <c r="F682" t="s">
        <v>1687</v>
      </c>
      <c r="G682" t="s">
        <v>1688</v>
      </c>
      <c r="H682" s="4">
        <v>-44226</v>
      </c>
      <c r="K682" s="4">
        <v>-44226</v>
      </c>
      <c r="L682" s="4">
        <v>-4738.5</v>
      </c>
      <c r="M682" s="4">
        <v>-39487.5</v>
      </c>
      <c r="N682" s="4">
        <v>-44226</v>
      </c>
      <c r="Q682" t="s">
        <v>19</v>
      </c>
    </row>
    <row r="683" spans="1:17">
      <c r="A683" t="s">
        <v>1651</v>
      </c>
      <c r="B683" t="s">
        <v>1689</v>
      </c>
      <c r="C683" t="s">
        <v>237</v>
      </c>
      <c r="D683" s="6">
        <v>60</v>
      </c>
      <c r="E683" t="s">
        <v>1690</v>
      </c>
      <c r="F683" t="s">
        <v>303</v>
      </c>
      <c r="G683" t="s">
        <v>1691</v>
      </c>
      <c r="H683" s="4">
        <v>-45284.47</v>
      </c>
      <c r="K683" s="4">
        <v>-45284.47</v>
      </c>
      <c r="L683" s="4">
        <v>-4851.91</v>
      </c>
      <c r="M683" s="4">
        <v>-40432.559999999998</v>
      </c>
      <c r="N683" s="4">
        <v>-45284.47</v>
      </c>
      <c r="Q683" t="s">
        <v>69</v>
      </c>
    </row>
    <row r="684" spans="1:17">
      <c r="A684" t="s">
        <v>1651</v>
      </c>
      <c r="B684" t="s">
        <v>1692</v>
      </c>
      <c r="C684" t="s">
        <v>237</v>
      </c>
      <c r="D684" s="6">
        <v>60</v>
      </c>
      <c r="E684" t="s">
        <v>1690</v>
      </c>
      <c r="F684" t="s">
        <v>303</v>
      </c>
      <c r="G684" t="s">
        <v>1693</v>
      </c>
      <c r="H684" s="4">
        <v>-28851.599999999999</v>
      </c>
      <c r="K684" s="4">
        <v>-28851.599999999999</v>
      </c>
      <c r="L684" s="4">
        <v>-3091.24</v>
      </c>
      <c r="M684" s="4">
        <v>-25760.36</v>
      </c>
      <c r="N684" s="4">
        <v>-28851.599999999999</v>
      </c>
      <c r="Q684" t="s">
        <v>69</v>
      </c>
    </row>
    <row r="685" spans="1:17">
      <c r="A685" t="s">
        <v>689</v>
      </c>
      <c r="B685" t="s">
        <v>1694</v>
      </c>
      <c r="C685" t="s">
        <v>151</v>
      </c>
      <c r="D685" s="6">
        <v>60</v>
      </c>
      <c r="E685" t="s">
        <v>692</v>
      </c>
      <c r="F685" t="s">
        <v>728</v>
      </c>
      <c r="G685" t="s">
        <v>1695</v>
      </c>
      <c r="H685" s="4">
        <v>-313000</v>
      </c>
      <c r="K685" s="4">
        <v>-313000</v>
      </c>
      <c r="L685" s="4">
        <v>-33535.71</v>
      </c>
      <c r="M685" s="4">
        <v>-279464.28999999998</v>
      </c>
      <c r="N685" s="4">
        <v>-313000</v>
      </c>
      <c r="Q685" t="s">
        <v>69</v>
      </c>
    </row>
    <row r="686" spans="1:17">
      <c r="A686" t="s">
        <v>769</v>
      </c>
      <c r="B686" t="s">
        <v>1696</v>
      </c>
      <c r="C686" t="s">
        <v>68</v>
      </c>
      <c r="D686" s="6">
        <v>60</v>
      </c>
      <c r="E686" t="s">
        <v>770</v>
      </c>
      <c r="F686" t="s">
        <v>574</v>
      </c>
      <c r="G686" t="s">
        <v>1697</v>
      </c>
      <c r="H686" s="4">
        <v>-70510</v>
      </c>
      <c r="K686" s="4">
        <v>-70510</v>
      </c>
      <c r="L686" s="4">
        <v>-7554.64</v>
      </c>
      <c r="M686" s="4">
        <v>-62955.360000000001</v>
      </c>
      <c r="N686" s="4">
        <v>-70510</v>
      </c>
      <c r="Q686" t="s">
        <v>727</v>
      </c>
    </row>
    <row r="687" spans="1:17">
      <c r="A687" t="s">
        <v>769</v>
      </c>
      <c r="B687" t="s">
        <v>1698</v>
      </c>
      <c r="C687" t="s">
        <v>151</v>
      </c>
      <c r="D687" s="6">
        <v>60</v>
      </c>
      <c r="E687" t="s">
        <v>770</v>
      </c>
      <c r="F687" t="s">
        <v>574</v>
      </c>
      <c r="G687" t="s">
        <v>1699</v>
      </c>
      <c r="H687" s="4">
        <v>-70510</v>
      </c>
      <c r="K687" s="4">
        <v>-70510</v>
      </c>
      <c r="L687" s="4">
        <v>-7554.64</v>
      </c>
      <c r="M687" s="4">
        <v>-62955.360000000001</v>
      </c>
      <c r="N687" s="4">
        <v>-70510</v>
      </c>
      <c r="Q687" t="s">
        <v>69</v>
      </c>
    </row>
    <row r="688" spans="1:17">
      <c r="A688" t="s">
        <v>866</v>
      </c>
      <c r="B688" t="s">
        <v>1700</v>
      </c>
      <c r="C688" t="s">
        <v>369</v>
      </c>
      <c r="D688" s="6">
        <v>30</v>
      </c>
      <c r="E688" t="s">
        <v>880</v>
      </c>
      <c r="F688" t="s">
        <v>371</v>
      </c>
      <c r="G688" t="s">
        <v>1701</v>
      </c>
      <c r="H688" s="4">
        <v>-128240</v>
      </c>
      <c r="K688" s="4">
        <v>-128240</v>
      </c>
      <c r="L688" s="4">
        <v>-13740</v>
      </c>
      <c r="M688" s="4">
        <v>-114500</v>
      </c>
      <c r="N688" s="4">
        <v>-128240</v>
      </c>
      <c r="Q688" t="s">
        <v>69</v>
      </c>
    </row>
    <row r="689" spans="1:17">
      <c r="A689" t="s">
        <v>866</v>
      </c>
      <c r="B689" t="s">
        <v>1702</v>
      </c>
      <c r="C689" t="s">
        <v>237</v>
      </c>
      <c r="D689" s="6">
        <v>60</v>
      </c>
      <c r="E689" t="s">
        <v>873</v>
      </c>
      <c r="F689" t="s">
        <v>1703</v>
      </c>
      <c r="G689" t="s">
        <v>1704</v>
      </c>
      <c r="H689" s="4">
        <v>-10914.5</v>
      </c>
      <c r="K689" s="4">
        <v>-10914.5</v>
      </c>
      <c r="L689" s="4">
        <v>-1169.4100000000001</v>
      </c>
      <c r="M689" s="4">
        <v>-9745.09</v>
      </c>
      <c r="N689" s="4">
        <v>-10914.5</v>
      </c>
      <c r="Q689" t="s">
        <v>139</v>
      </c>
    </row>
    <row r="690" spans="1:17">
      <c r="A690" t="s">
        <v>915</v>
      </c>
      <c r="B690" t="s">
        <v>1705</v>
      </c>
      <c r="C690" t="s">
        <v>73</v>
      </c>
      <c r="D690" s="6">
        <v>30</v>
      </c>
      <c r="E690" t="s">
        <v>916</v>
      </c>
      <c r="F690" t="s">
        <v>812</v>
      </c>
      <c r="G690" t="s">
        <v>1706</v>
      </c>
      <c r="H690" s="4">
        <v>-127702</v>
      </c>
      <c r="K690" s="4">
        <v>-127702</v>
      </c>
      <c r="L690" s="4">
        <v>-13682.36</v>
      </c>
      <c r="M690" s="4">
        <v>-114019.64</v>
      </c>
      <c r="N690" s="4">
        <v>-127702</v>
      </c>
      <c r="Q690" t="s">
        <v>759</v>
      </c>
    </row>
    <row r="691" spans="1:17">
      <c r="A691" t="s">
        <v>1048</v>
      </c>
      <c r="B691" t="s">
        <v>1707</v>
      </c>
      <c r="C691" t="s">
        <v>1074</v>
      </c>
      <c r="D691" s="6">
        <v>0</v>
      </c>
      <c r="E691" t="s">
        <v>1048</v>
      </c>
      <c r="F691" t="s">
        <v>1075</v>
      </c>
      <c r="G691" t="s">
        <v>1708</v>
      </c>
      <c r="H691" s="4">
        <v>-901423.6</v>
      </c>
      <c r="K691" s="4">
        <v>-901423.6</v>
      </c>
      <c r="L691" s="4">
        <v>-96581.1</v>
      </c>
      <c r="M691" s="4">
        <v>-804842.5</v>
      </c>
      <c r="N691" s="4">
        <v>-901423.6</v>
      </c>
      <c r="Q691" t="s">
        <v>56</v>
      </c>
    </row>
    <row r="692" spans="1:17">
      <c r="A692" t="s">
        <v>1048</v>
      </c>
      <c r="B692" t="s">
        <v>1709</v>
      </c>
      <c r="C692" t="s">
        <v>333</v>
      </c>
      <c r="D692" s="6">
        <v>30</v>
      </c>
      <c r="E692" t="s">
        <v>1056</v>
      </c>
      <c r="F692" t="s">
        <v>340</v>
      </c>
      <c r="G692" t="s">
        <v>1710</v>
      </c>
      <c r="H692" s="4">
        <v>-196112</v>
      </c>
      <c r="K692" s="4">
        <v>-196112</v>
      </c>
      <c r="L692" s="4">
        <v>-21012</v>
      </c>
      <c r="M692" s="4">
        <v>-175100</v>
      </c>
      <c r="N692" s="4">
        <v>-196112</v>
      </c>
      <c r="Q692" t="s">
        <v>56</v>
      </c>
    </row>
    <row r="693" spans="1:17">
      <c r="A693" t="s">
        <v>1048</v>
      </c>
      <c r="B693" t="s">
        <v>1711</v>
      </c>
      <c r="C693" t="s">
        <v>333</v>
      </c>
      <c r="D693" s="6">
        <v>30</v>
      </c>
      <c r="E693" t="s">
        <v>1056</v>
      </c>
      <c r="F693" t="s">
        <v>340</v>
      </c>
      <c r="G693" t="s">
        <v>1712</v>
      </c>
      <c r="H693" s="4">
        <v>-309050</v>
      </c>
      <c r="K693" s="4">
        <v>-309050</v>
      </c>
      <c r="L693" s="4">
        <v>-33112.5</v>
      </c>
      <c r="M693" s="4">
        <v>-275937.5</v>
      </c>
      <c r="N693" s="4">
        <v>-309050</v>
      </c>
      <c r="Q693" t="s">
        <v>270</v>
      </c>
    </row>
    <row r="694" spans="1:17">
      <c r="A694" t="s">
        <v>1048</v>
      </c>
      <c r="B694" t="s">
        <v>1713</v>
      </c>
      <c r="C694" t="s">
        <v>237</v>
      </c>
      <c r="D694" s="6">
        <v>60</v>
      </c>
      <c r="E694" t="s">
        <v>1067</v>
      </c>
      <c r="F694" t="s">
        <v>337</v>
      </c>
      <c r="G694" t="s">
        <v>1714</v>
      </c>
      <c r="H694" s="4">
        <v>-143215</v>
      </c>
      <c r="K694" s="4">
        <v>-143215</v>
      </c>
      <c r="L694" s="4">
        <v>-15344.46</v>
      </c>
      <c r="M694" s="4">
        <v>-127870.54</v>
      </c>
      <c r="N694" s="4">
        <v>-143215</v>
      </c>
      <c r="Q694" t="s">
        <v>270</v>
      </c>
    </row>
    <row r="695" spans="1:17">
      <c r="A695" t="s">
        <v>1287</v>
      </c>
      <c r="B695" t="s">
        <v>1715</v>
      </c>
      <c r="C695" t="s">
        <v>151</v>
      </c>
      <c r="D695" s="6">
        <v>60</v>
      </c>
      <c r="E695" t="s">
        <v>1331</v>
      </c>
      <c r="F695" t="s">
        <v>264</v>
      </c>
      <c r="G695" t="s">
        <v>1716</v>
      </c>
      <c r="H695" s="4">
        <v>-736</v>
      </c>
      <c r="K695" s="4">
        <v>-736</v>
      </c>
      <c r="L695" s="4">
        <v>-78.86</v>
      </c>
      <c r="M695" s="4">
        <v>-657.14</v>
      </c>
      <c r="N695" s="4">
        <v>-736</v>
      </c>
      <c r="Q695" t="s">
        <v>270</v>
      </c>
    </row>
    <row r="696" spans="1:17">
      <c r="A696" t="s">
        <v>1372</v>
      </c>
      <c r="B696" t="s">
        <v>1717</v>
      </c>
      <c r="C696" t="s">
        <v>333</v>
      </c>
      <c r="D696" s="6">
        <v>30</v>
      </c>
      <c r="E696" t="s">
        <v>1389</v>
      </c>
      <c r="F696" t="s">
        <v>1262</v>
      </c>
      <c r="G696" t="s">
        <v>1718</v>
      </c>
      <c r="H696" s="4">
        <v>-261896</v>
      </c>
      <c r="K696" s="4">
        <v>-261896</v>
      </c>
      <c r="L696" s="4">
        <v>-28060.29</v>
      </c>
      <c r="M696" s="4">
        <v>-233835.71</v>
      </c>
      <c r="N696" s="4">
        <v>-261896</v>
      </c>
      <c r="Q696" t="s">
        <v>139</v>
      </c>
    </row>
    <row r="697" spans="1:17">
      <c r="A697" t="s">
        <v>1372</v>
      </c>
      <c r="B697" t="s">
        <v>1719</v>
      </c>
      <c r="C697" t="s">
        <v>333</v>
      </c>
      <c r="D697" s="6">
        <v>30</v>
      </c>
      <c r="E697" t="s">
        <v>1389</v>
      </c>
      <c r="F697" t="s">
        <v>1262</v>
      </c>
      <c r="G697" t="s">
        <v>1720</v>
      </c>
      <c r="H697" s="4">
        <v>-212525</v>
      </c>
      <c r="K697" s="4">
        <v>-212525</v>
      </c>
      <c r="L697" s="4">
        <v>-22770.54</v>
      </c>
      <c r="M697" s="4">
        <v>-189754.46</v>
      </c>
      <c r="N697" s="4">
        <v>-212525</v>
      </c>
      <c r="Q697" t="s">
        <v>270</v>
      </c>
    </row>
    <row r="698" spans="1:17">
      <c r="A698" t="s">
        <v>1372</v>
      </c>
      <c r="B698" t="s">
        <v>1721</v>
      </c>
      <c r="C698" t="s">
        <v>34</v>
      </c>
      <c r="D698" s="6">
        <v>60</v>
      </c>
      <c r="E698" t="s">
        <v>1373</v>
      </c>
      <c r="F698" t="s">
        <v>1226</v>
      </c>
      <c r="G698" t="s">
        <v>1722</v>
      </c>
      <c r="H698" s="4">
        <v>-9261</v>
      </c>
      <c r="K698" s="4">
        <v>-9261</v>
      </c>
      <c r="L698" s="4">
        <v>-992.25</v>
      </c>
      <c r="M698" s="4">
        <v>-8268.75</v>
      </c>
      <c r="N698" s="4">
        <v>-9261</v>
      </c>
      <c r="Q698" t="s">
        <v>270</v>
      </c>
    </row>
    <row r="699" spans="1:17">
      <c r="A699" t="s">
        <v>1467</v>
      </c>
      <c r="B699" t="s">
        <v>1723</v>
      </c>
      <c r="C699" t="s">
        <v>333</v>
      </c>
      <c r="D699" s="6">
        <v>30</v>
      </c>
      <c r="E699" t="s">
        <v>1492</v>
      </c>
      <c r="F699" t="s">
        <v>1262</v>
      </c>
      <c r="G699" t="s">
        <v>1724</v>
      </c>
      <c r="H699" s="4">
        <v>-261896</v>
      </c>
      <c r="K699" s="4">
        <v>-261896</v>
      </c>
      <c r="L699" s="4">
        <v>-28060.29</v>
      </c>
      <c r="M699" s="4">
        <v>-233835.71</v>
      </c>
      <c r="N699" s="4">
        <v>-261896</v>
      </c>
      <c r="Q699" t="s">
        <v>46</v>
      </c>
    </row>
    <row r="700" spans="1:17">
      <c r="A700" t="s">
        <v>1467</v>
      </c>
      <c r="B700" t="s">
        <v>1725</v>
      </c>
      <c r="C700" t="s">
        <v>333</v>
      </c>
      <c r="D700" s="6">
        <v>30</v>
      </c>
      <c r="E700" t="s">
        <v>1492</v>
      </c>
      <c r="F700" t="s">
        <v>1262</v>
      </c>
      <c r="G700" t="s">
        <v>1726</v>
      </c>
      <c r="H700" s="4">
        <v>-212525</v>
      </c>
      <c r="K700" s="4">
        <v>-212525</v>
      </c>
      <c r="L700" s="4">
        <v>-22770.54</v>
      </c>
      <c r="M700" s="4">
        <v>-189754.46</v>
      </c>
      <c r="N700" s="4">
        <v>-212525</v>
      </c>
      <c r="Q700" t="s">
        <v>270</v>
      </c>
    </row>
    <row r="701" spans="1:17">
      <c r="A701" t="s">
        <v>1553</v>
      </c>
      <c r="B701" t="s">
        <v>1727</v>
      </c>
      <c r="C701" t="s">
        <v>64</v>
      </c>
      <c r="D701" s="6">
        <v>30</v>
      </c>
      <c r="E701" t="s">
        <v>1569</v>
      </c>
      <c r="F701" t="s">
        <v>26</v>
      </c>
      <c r="G701" t="s">
        <v>1728</v>
      </c>
      <c r="H701" s="4">
        <v>-299574</v>
      </c>
      <c r="K701" s="4">
        <v>-299574</v>
      </c>
      <c r="L701" s="4">
        <v>-32097.21</v>
      </c>
      <c r="M701" s="4">
        <v>-267476.78999999998</v>
      </c>
      <c r="N701" s="4">
        <v>-299574</v>
      </c>
      <c r="Q701" t="s">
        <v>270</v>
      </c>
    </row>
    <row r="702" spans="1:17">
      <c r="A702" t="s">
        <v>1553</v>
      </c>
      <c r="B702" t="s">
        <v>1729</v>
      </c>
      <c r="C702" t="s">
        <v>18</v>
      </c>
      <c r="D702" s="6">
        <v>0</v>
      </c>
      <c r="E702" t="s">
        <v>1553</v>
      </c>
      <c r="F702" t="s">
        <v>61</v>
      </c>
      <c r="G702" t="s">
        <v>1730</v>
      </c>
      <c r="H702" s="4">
        <v>-251365.1</v>
      </c>
      <c r="K702" s="4">
        <v>-251365.1</v>
      </c>
      <c r="L702" s="4">
        <v>-26931.98</v>
      </c>
      <c r="M702" s="4">
        <v>-224433.12</v>
      </c>
      <c r="N702" s="4">
        <v>-251365.1</v>
      </c>
      <c r="Q702" t="s">
        <v>25</v>
      </c>
    </row>
    <row r="703" spans="1:17">
      <c r="A703" t="s">
        <v>1553</v>
      </c>
      <c r="B703" t="s">
        <v>1731</v>
      </c>
      <c r="C703" t="s">
        <v>681</v>
      </c>
      <c r="D703" s="6">
        <v>0</v>
      </c>
      <c r="E703" t="s">
        <v>1553</v>
      </c>
      <c r="F703" t="s">
        <v>682</v>
      </c>
      <c r="G703" t="s">
        <v>1732</v>
      </c>
      <c r="H703" s="4">
        <v>-27968</v>
      </c>
      <c r="K703" s="4">
        <v>-27968</v>
      </c>
      <c r="L703" s="4">
        <v>-2996.57</v>
      </c>
      <c r="M703" s="4">
        <v>-24971.43</v>
      </c>
      <c r="N703" s="4">
        <v>-27968</v>
      </c>
      <c r="Q703" t="s">
        <v>56</v>
      </c>
    </row>
    <row r="704" spans="1:17">
      <c r="A704" t="s">
        <v>1553</v>
      </c>
      <c r="B704" t="s">
        <v>1733</v>
      </c>
      <c r="C704" t="s">
        <v>23</v>
      </c>
      <c r="D704" s="6">
        <v>30</v>
      </c>
      <c r="E704" t="s">
        <v>1569</v>
      </c>
      <c r="F704" t="s">
        <v>1734</v>
      </c>
      <c r="G704" t="s">
        <v>1735</v>
      </c>
      <c r="H704" s="4">
        <v>-68600</v>
      </c>
      <c r="K704" s="4">
        <v>-68600</v>
      </c>
      <c r="L704" s="4">
        <v>-7350</v>
      </c>
      <c r="M704" s="4">
        <v>-61250</v>
      </c>
      <c r="N704" s="4">
        <v>-68600</v>
      </c>
      <c r="Q704" t="s">
        <v>46</v>
      </c>
    </row>
    <row r="705" spans="1:17">
      <c r="A705" t="s">
        <v>1553</v>
      </c>
      <c r="B705" t="s">
        <v>1736</v>
      </c>
      <c r="C705" t="s">
        <v>237</v>
      </c>
      <c r="D705" s="6">
        <v>60</v>
      </c>
      <c r="E705" t="s">
        <v>1557</v>
      </c>
      <c r="F705" t="s">
        <v>303</v>
      </c>
      <c r="G705" t="s">
        <v>1737</v>
      </c>
      <c r="H705" s="4">
        <v>-10453.35</v>
      </c>
      <c r="K705" s="4">
        <v>-10453.35</v>
      </c>
      <c r="L705" s="4">
        <v>-1120</v>
      </c>
      <c r="M705" s="4">
        <v>-9333.35</v>
      </c>
      <c r="N705" s="4">
        <v>-10453.35</v>
      </c>
      <c r="Q705" t="s">
        <v>139</v>
      </c>
    </row>
    <row r="706" spans="1:17">
      <c r="A706" t="s">
        <v>505</v>
      </c>
      <c r="B706" t="s">
        <v>1738</v>
      </c>
      <c r="C706" t="s">
        <v>60</v>
      </c>
      <c r="D706" s="6">
        <v>0</v>
      </c>
      <c r="E706" t="s">
        <v>505</v>
      </c>
      <c r="F706" t="s">
        <v>196</v>
      </c>
      <c r="G706" t="s">
        <v>1739</v>
      </c>
      <c r="H706" s="5">
        <v>1250</v>
      </c>
      <c r="K706" s="5">
        <v>1250</v>
      </c>
      <c r="M706" s="5">
        <v>1250</v>
      </c>
      <c r="N706" s="5">
        <v>1250</v>
      </c>
      <c r="Q706" t="s">
        <v>69</v>
      </c>
    </row>
    <row r="707" spans="1:17">
      <c r="A707" t="s">
        <v>505</v>
      </c>
      <c r="B707" t="s">
        <v>1740</v>
      </c>
      <c r="C707" t="s">
        <v>60</v>
      </c>
      <c r="D707" s="6">
        <v>0</v>
      </c>
      <c r="E707" t="s">
        <v>505</v>
      </c>
      <c r="F707" t="s">
        <v>190</v>
      </c>
      <c r="G707" t="s">
        <v>1741</v>
      </c>
      <c r="H707" s="7">
        <v>500</v>
      </c>
      <c r="K707" s="7">
        <v>500</v>
      </c>
      <c r="M707" s="7">
        <v>500</v>
      </c>
      <c r="N707" s="7">
        <v>500</v>
      </c>
      <c r="Q707" t="s">
        <v>56</v>
      </c>
    </row>
    <row r="708" spans="1:17">
      <c r="A708" t="s">
        <v>505</v>
      </c>
      <c r="B708" t="s">
        <v>1742</v>
      </c>
      <c r="C708" t="s">
        <v>60</v>
      </c>
      <c r="D708" s="6">
        <v>0</v>
      </c>
      <c r="E708" t="s">
        <v>505</v>
      </c>
      <c r="F708" t="s">
        <v>190</v>
      </c>
      <c r="G708" t="s">
        <v>1743</v>
      </c>
      <c r="H708" s="5">
        <v>2250</v>
      </c>
      <c r="K708" s="5">
        <v>2250</v>
      </c>
      <c r="M708" s="5">
        <v>2250</v>
      </c>
      <c r="N708" s="5">
        <v>2250</v>
      </c>
      <c r="Q708" t="s">
        <v>56</v>
      </c>
    </row>
    <row r="709" spans="1:17">
      <c r="A709" t="s">
        <v>637</v>
      </c>
      <c r="B709" t="s">
        <v>1744</v>
      </c>
      <c r="C709" t="s">
        <v>60</v>
      </c>
      <c r="D709" s="6">
        <v>0</v>
      </c>
      <c r="E709" t="s">
        <v>637</v>
      </c>
      <c r="F709" t="s">
        <v>412</v>
      </c>
      <c r="G709" t="s">
        <v>1745</v>
      </c>
      <c r="H709" s="5">
        <v>2800</v>
      </c>
      <c r="K709" s="5">
        <v>2800</v>
      </c>
      <c r="M709" s="5">
        <v>2800</v>
      </c>
      <c r="N709" s="5">
        <v>2800</v>
      </c>
      <c r="Q709" t="s">
        <v>56</v>
      </c>
    </row>
    <row r="710" spans="1:17">
      <c r="A710" t="s">
        <v>1651</v>
      </c>
      <c r="B710" t="s">
        <v>1746</v>
      </c>
      <c r="C710" t="s">
        <v>18</v>
      </c>
      <c r="D710" s="6">
        <v>0</v>
      </c>
      <c r="E710" t="s">
        <v>1651</v>
      </c>
      <c r="F710" t="s">
        <v>1127</v>
      </c>
      <c r="G710" t="s">
        <v>1747</v>
      </c>
      <c r="H710" s="5">
        <v>1500</v>
      </c>
      <c r="K710" s="5">
        <v>1500</v>
      </c>
      <c r="M710" s="5">
        <v>1500</v>
      </c>
      <c r="N710" s="5">
        <v>1500</v>
      </c>
      <c r="Q710" t="s">
        <v>56</v>
      </c>
    </row>
    <row r="711" spans="1:17">
      <c r="A711" t="s">
        <v>689</v>
      </c>
      <c r="B711" t="s">
        <v>1748</v>
      </c>
      <c r="E711" t="s">
        <v>689</v>
      </c>
      <c r="F711" t="s">
        <v>809</v>
      </c>
      <c r="G711" t="s">
        <v>1749</v>
      </c>
      <c r="H711" s="5">
        <v>6000</v>
      </c>
      <c r="K711" s="5">
        <v>6000</v>
      </c>
      <c r="M711" s="5">
        <v>6000</v>
      </c>
      <c r="N711" s="5">
        <v>6000</v>
      </c>
      <c r="Q711" t="s">
        <v>56</v>
      </c>
    </row>
    <row r="712" spans="1:17">
      <c r="A712" t="s">
        <v>866</v>
      </c>
      <c r="B712" t="s">
        <v>1750</v>
      </c>
      <c r="E712" t="s">
        <v>866</v>
      </c>
      <c r="F712" t="s">
        <v>581</v>
      </c>
      <c r="G712" t="s">
        <v>1751</v>
      </c>
      <c r="H712" s="7">
        <v>924</v>
      </c>
      <c r="K712" s="7">
        <v>924</v>
      </c>
      <c r="M712" s="7">
        <v>924</v>
      </c>
      <c r="N712" s="7">
        <v>924</v>
      </c>
    </row>
    <row r="713" spans="1:17">
      <c r="A713" t="s">
        <v>971</v>
      </c>
      <c r="B713" t="s">
        <v>1752</v>
      </c>
      <c r="C713" t="s">
        <v>18</v>
      </c>
      <c r="D713" s="6">
        <v>0</v>
      </c>
      <c r="E713" t="s">
        <v>971</v>
      </c>
      <c r="F713" t="s">
        <v>979</v>
      </c>
      <c r="G713" t="s">
        <v>1753</v>
      </c>
      <c r="H713" s="5">
        <v>30000</v>
      </c>
      <c r="K713" s="5">
        <v>30000</v>
      </c>
      <c r="M713" s="5">
        <v>30000</v>
      </c>
      <c r="N713" s="5">
        <v>30000</v>
      </c>
    </row>
    <row r="714" spans="1:17">
      <c r="A714" t="s">
        <v>971</v>
      </c>
      <c r="B714" t="s">
        <v>1754</v>
      </c>
      <c r="C714" t="s">
        <v>60</v>
      </c>
      <c r="D714" s="6">
        <v>0</v>
      </c>
      <c r="E714" t="s">
        <v>971</v>
      </c>
      <c r="F714" t="s">
        <v>190</v>
      </c>
      <c r="G714" t="s">
        <v>1755</v>
      </c>
      <c r="H714" s="5">
        <v>4000</v>
      </c>
      <c r="K714" s="5">
        <v>4000</v>
      </c>
      <c r="M714" s="5">
        <v>4000</v>
      </c>
      <c r="N714" s="5">
        <v>4000</v>
      </c>
      <c r="Q714" t="s">
        <v>270</v>
      </c>
    </row>
    <row r="715" spans="1:17">
      <c r="A715" t="s">
        <v>1048</v>
      </c>
      <c r="B715" t="s">
        <v>1756</v>
      </c>
      <c r="C715" t="s">
        <v>167</v>
      </c>
      <c r="D715" s="6">
        <v>90</v>
      </c>
      <c r="E715" t="s">
        <v>1064</v>
      </c>
      <c r="F715" t="s">
        <v>190</v>
      </c>
      <c r="G715" t="s">
        <v>1757</v>
      </c>
      <c r="H715" s="5">
        <v>3000</v>
      </c>
      <c r="K715" s="5">
        <v>3000</v>
      </c>
      <c r="M715" s="5">
        <v>3000</v>
      </c>
      <c r="N715" s="5">
        <v>3000</v>
      </c>
      <c r="Q715" t="s">
        <v>56</v>
      </c>
    </row>
    <row r="716" spans="1:17">
      <c r="A716" t="s">
        <v>1048</v>
      </c>
      <c r="B716" t="s">
        <v>1758</v>
      </c>
      <c r="E716" t="s">
        <v>1048</v>
      </c>
      <c r="F716" t="s">
        <v>190</v>
      </c>
      <c r="G716" t="s">
        <v>1759</v>
      </c>
      <c r="H716" s="5">
        <v>18000</v>
      </c>
      <c r="K716" s="5">
        <v>18000</v>
      </c>
      <c r="M716" s="5">
        <v>18000</v>
      </c>
      <c r="N716" s="5">
        <v>18000</v>
      </c>
      <c r="Q716" t="s">
        <v>56</v>
      </c>
    </row>
    <row r="717" spans="1:17">
      <c r="A717" t="s">
        <v>1287</v>
      </c>
      <c r="B717" t="s">
        <v>1760</v>
      </c>
      <c r="C717" t="s">
        <v>18</v>
      </c>
      <c r="D717" s="6">
        <v>0</v>
      </c>
      <c r="E717" t="s">
        <v>1287</v>
      </c>
      <c r="F717" t="s">
        <v>1288</v>
      </c>
      <c r="G717" t="s">
        <v>1761</v>
      </c>
      <c r="H717" s="5">
        <v>8000</v>
      </c>
      <c r="K717" s="5">
        <v>8000</v>
      </c>
      <c r="M717" s="5">
        <v>8000</v>
      </c>
      <c r="N717" s="5">
        <v>8000</v>
      </c>
    </row>
    <row r="718" spans="1:17">
      <c r="A718" t="s">
        <v>1553</v>
      </c>
      <c r="B718" t="s">
        <v>1762</v>
      </c>
      <c r="C718" t="s">
        <v>60</v>
      </c>
      <c r="D718" s="6">
        <v>0</v>
      </c>
      <c r="E718" t="s">
        <v>1553</v>
      </c>
      <c r="F718" t="s">
        <v>605</v>
      </c>
      <c r="G718" t="s">
        <v>1763</v>
      </c>
      <c r="H718" s="5">
        <v>6000</v>
      </c>
      <c r="K718" s="5">
        <v>6000</v>
      </c>
      <c r="M718" s="5">
        <v>6000</v>
      </c>
      <c r="N718" s="5">
        <v>6000</v>
      </c>
      <c r="Q718" t="s">
        <v>46</v>
      </c>
    </row>
    <row r="719" spans="1:17">
      <c r="A719" t="s">
        <v>1553</v>
      </c>
      <c r="B719" t="s">
        <v>1764</v>
      </c>
      <c r="C719" t="s">
        <v>60</v>
      </c>
      <c r="D719" s="6">
        <v>0</v>
      </c>
      <c r="E719" t="s">
        <v>1553</v>
      </c>
      <c r="F719" t="s">
        <v>196</v>
      </c>
      <c r="G719" t="s">
        <v>1765</v>
      </c>
      <c r="H719" s="5">
        <v>1000</v>
      </c>
      <c r="K719" s="5">
        <v>1000</v>
      </c>
      <c r="M719" s="5">
        <v>1000</v>
      </c>
      <c r="N719" s="5">
        <v>1000</v>
      </c>
      <c r="Q719" t="s">
        <v>56</v>
      </c>
    </row>
    <row r="720" spans="1:17">
      <c r="G720" s="1" t="s">
        <v>1766</v>
      </c>
      <c r="H720" s="1">
        <v>147567400.16999999</v>
      </c>
      <c r="I720" s="1">
        <v>-361440.31</v>
      </c>
      <c r="J720" s="1">
        <v>193550</v>
      </c>
      <c r="K720" s="1">
        <v>147399509.86000001</v>
      </c>
      <c r="L720" s="1">
        <v>15598446.59</v>
      </c>
      <c r="M720" s="1">
        <v>131801063.27</v>
      </c>
      <c r="N720" s="1">
        <v>147399509.86000001</v>
      </c>
      <c r="Q720" t="s">
        <v>56</v>
      </c>
    </row>
  </sheetData>
  <pageMargins left="0.7" right="0.7" top="0.75" bottom="0.75" header="0.3" footer="0.3"/>
  <pageSetup paperSize="14" scale="6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0"/>
  <sheetViews>
    <sheetView workbookViewId="0">
      <pane xSplit="7" ySplit="4" topLeftCell="H625" activePane="bottomRight" state="frozen"/>
      <selection pane="topRight" activeCell="I1" sqref="I1"/>
      <selection pane="bottomLeft" activeCell="A4" sqref="A4"/>
      <selection pane="bottomRight" activeCell="A3" sqref="A3:XFD4"/>
    </sheetView>
  </sheetViews>
  <sheetFormatPr defaultColWidth="8.85546875" defaultRowHeight="15"/>
  <cols>
    <col min="1" max="1" width="10.28515625" style="8" customWidth="1"/>
    <col min="2" max="2" width="9.7109375" style="8" customWidth="1"/>
    <col min="3" max="3" width="29.85546875" style="8" hidden="1" customWidth="1"/>
    <col min="4" max="4" width="6" style="8" hidden="1" customWidth="1"/>
    <col min="5" max="5" width="13" style="8" hidden="1" customWidth="1"/>
    <col min="6" max="6" width="42.42578125" style="8" customWidth="1"/>
    <col min="7" max="8" width="18.28515625" style="8" hidden="1" customWidth="1"/>
    <col min="9" max="9" width="0.140625" style="8" customWidth="1"/>
    <col min="10" max="10" width="12" style="8" hidden="1" customWidth="1"/>
    <col min="11" max="11" width="17.5703125" style="8" customWidth="1"/>
    <col min="12" max="12" width="16.85546875" style="8" hidden="1" customWidth="1"/>
    <col min="13" max="13" width="18.28515625" style="8" hidden="1" customWidth="1"/>
    <col min="14" max="14" width="15.5703125" style="8" hidden="1" customWidth="1"/>
    <col min="15" max="15" width="10" style="8" hidden="1" customWidth="1"/>
    <col min="16" max="16" width="0.42578125" style="8" customWidth="1"/>
    <col min="17" max="17" width="29.85546875" style="8" customWidth="1"/>
    <col min="18" max="18" width="15" style="8" customWidth="1"/>
    <col min="19" max="19" width="15.28515625" style="8" customWidth="1"/>
    <col min="20" max="16384" width="8.85546875" style="8"/>
  </cols>
  <sheetData>
    <row r="1" spans="1:20" s="14" customFormat="1">
      <c r="A1" s="14" t="s">
        <v>1774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0" s="14" customFormat="1">
      <c r="A2" s="15" t="s">
        <v>1778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0" s="3" customFormat="1">
      <c r="A3" s="13"/>
      <c r="R3" s="59" t="s">
        <v>1780</v>
      </c>
      <c r="S3" s="60"/>
    </row>
    <row r="4" spans="1:20" s="24" customFormat="1">
      <c r="A4" s="49" t="s">
        <v>3</v>
      </c>
      <c r="B4" s="49" t="s">
        <v>1772</v>
      </c>
      <c r="C4" s="49" t="s">
        <v>4</v>
      </c>
      <c r="D4" s="49" t="s">
        <v>5</v>
      </c>
      <c r="E4" s="49" t="s">
        <v>6</v>
      </c>
      <c r="F4" s="49" t="s">
        <v>1773</v>
      </c>
      <c r="G4" s="49" t="s">
        <v>9</v>
      </c>
      <c r="H4" s="49" t="s">
        <v>10</v>
      </c>
      <c r="I4" s="49" t="s">
        <v>11</v>
      </c>
      <c r="J4" s="49" t="s">
        <v>12</v>
      </c>
      <c r="K4" s="49" t="s">
        <v>1779</v>
      </c>
      <c r="L4" s="49" t="s">
        <v>14</v>
      </c>
      <c r="M4" s="49" t="s">
        <v>15</v>
      </c>
      <c r="N4" s="49" t="s">
        <v>1770</v>
      </c>
      <c r="O4" s="50"/>
      <c r="P4" s="50"/>
      <c r="Q4" s="51" t="s">
        <v>1777</v>
      </c>
      <c r="R4" s="52" t="s">
        <v>1781</v>
      </c>
      <c r="S4" s="52" t="s">
        <v>1782</v>
      </c>
    </row>
    <row r="5" spans="1:20">
      <c r="A5" s="2" t="s">
        <v>282</v>
      </c>
      <c r="B5" s="2" t="s">
        <v>351</v>
      </c>
      <c r="C5" s="2" t="s">
        <v>34</v>
      </c>
      <c r="D5" s="16">
        <v>60</v>
      </c>
      <c r="E5" s="2" t="s">
        <v>286</v>
      </c>
      <c r="F5" s="2" t="s">
        <v>352</v>
      </c>
      <c r="G5" s="2" t="s">
        <v>353</v>
      </c>
      <c r="H5" s="17">
        <v>22908</v>
      </c>
      <c r="I5" s="2"/>
      <c r="J5" s="2"/>
      <c r="K5" s="17">
        <v>22908</v>
      </c>
      <c r="L5" s="17">
        <v>2454.4299999999998</v>
      </c>
      <c r="M5" s="17">
        <v>20453.57</v>
      </c>
      <c r="N5" s="17">
        <v>22908</v>
      </c>
      <c r="O5" s="2"/>
      <c r="P5" s="2"/>
      <c r="Q5" s="31" t="s">
        <v>180</v>
      </c>
      <c r="R5" s="32">
        <f>+K5</f>
        <v>22908</v>
      </c>
      <c r="S5" s="61">
        <f>+R5+R6+R7+R12+R22+R24</f>
        <v>1716482</v>
      </c>
      <c r="T5" s="5"/>
    </row>
    <row r="6" spans="1:20">
      <c r="A6" s="2" t="s">
        <v>1217</v>
      </c>
      <c r="B6" s="2" t="s">
        <v>1230</v>
      </c>
      <c r="C6" s="2" t="s">
        <v>23</v>
      </c>
      <c r="D6" s="16">
        <v>30</v>
      </c>
      <c r="E6" s="2" t="s">
        <v>1231</v>
      </c>
      <c r="F6" s="2" t="s">
        <v>1232</v>
      </c>
      <c r="G6" s="2" t="s">
        <v>1233</v>
      </c>
      <c r="H6" s="17">
        <v>73934</v>
      </c>
      <c r="I6" s="2"/>
      <c r="J6" s="2"/>
      <c r="K6" s="17">
        <v>73934</v>
      </c>
      <c r="L6" s="17">
        <v>7921.5</v>
      </c>
      <c r="M6" s="17">
        <v>66012.5</v>
      </c>
      <c r="N6" s="17">
        <v>73934</v>
      </c>
      <c r="O6" s="2"/>
      <c r="P6" s="2"/>
      <c r="Q6" s="31" t="s">
        <v>180</v>
      </c>
      <c r="R6" s="32">
        <f>+K6</f>
        <v>73934</v>
      </c>
      <c r="S6" s="62"/>
      <c r="T6" s="5"/>
    </row>
    <row r="7" spans="1:20">
      <c r="A7" s="2" t="s">
        <v>282</v>
      </c>
      <c r="B7" s="2" t="s">
        <v>318</v>
      </c>
      <c r="C7" s="2" t="s">
        <v>18</v>
      </c>
      <c r="D7" s="16">
        <v>0</v>
      </c>
      <c r="E7" s="2" t="s">
        <v>282</v>
      </c>
      <c r="F7" s="2" t="s">
        <v>319</v>
      </c>
      <c r="G7" s="2" t="s">
        <v>320</v>
      </c>
      <c r="H7" s="17">
        <v>120900</v>
      </c>
      <c r="I7" s="2"/>
      <c r="J7" s="2"/>
      <c r="K7" s="17">
        <v>120900</v>
      </c>
      <c r="L7" s="17">
        <v>12953.57</v>
      </c>
      <c r="M7" s="17">
        <v>107946.43</v>
      </c>
      <c r="N7" s="17">
        <v>120900</v>
      </c>
      <c r="O7" s="2"/>
      <c r="P7" s="2"/>
      <c r="Q7" s="31" t="s">
        <v>180</v>
      </c>
      <c r="R7" s="61">
        <f>+K7+K8+K9+K10+K11</f>
        <v>659000</v>
      </c>
      <c r="S7" s="62"/>
      <c r="T7" s="5"/>
    </row>
    <row r="8" spans="1:20">
      <c r="A8" s="2" t="s">
        <v>282</v>
      </c>
      <c r="B8" s="2" t="s">
        <v>321</v>
      </c>
      <c r="C8" s="2" t="s">
        <v>18</v>
      </c>
      <c r="D8" s="16">
        <v>0</v>
      </c>
      <c r="E8" s="2" t="s">
        <v>282</v>
      </c>
      <c r="F8" s="2" t="s">
        <v>319</v>
      </c>
      <c r="G8" s="2" t="s">
        <v>322</v>
      </c>
      <c r="H8" s="17">
        <v>27500</v>
      </c>
      <c r="I8" s="2"/>
      <c r="J8" s="2"/>
      <c r="K8" s="17">
        <v>27500</v>
      </c>
      <c r="L8" s="17">
        <v>2946.43</v>
      </c>
      <c r="M8" s="17">
        <v>24553.57</v>
      </c>
      <c r="N8" s="17">
        <v>27500</v>
      </c>
      <c r="O8" s="2"/>
      <c r="P8" s="2"/>
      <c r="Q8" s="31" t="s">
        <v>180</v>
      </c>
      <c r="R8" s="62"/>
      <c r="S8" s="62"/>
      <c r="T8" s="5"/>
    </row>
    <row r="9" spans="1:20">
      <c r="A9" s="2" t="s">
        <v>282</v>
      </c>
      <c r="B9" s="2" t="s">
        <v>323</v>
      </c>
      <c r="C9" s="2" t="s">
        <v>18</v>
      </c>
      <c r="D9" s="16">
        <v>0</v>
      </c>
      <c r="E9" s="2" t="s">
        <v>282</v>
      </c>
      <c r="F9" s="2" t="s">
        <v>319</v>
      </c>
      <c r="G9" s="2" t="s">
        <v>324</v>
      </c>
      <c r="H9" s="17">
        <v>181100</v>
      </c>
      <c r="I9" s="2"/>
      <c r="J9" s="2"/>
      <c r="K9" s="17">
        <v>181100</v>
      </c>
      <c r="L9" s="17">
        <v>19403.57</v>
      </c>
      <c r="M9" s="17">
        <v>161696.43</v>
      </c>
      <c r="N9" s="17">
        <v>181100</v>
      </c>
      <c r="O9" s="2"/>
      <c r="P9" s="2"/>
      <c r="Q9" s="31" t="s">
        <v>180</v>
      </c>
      <c r="R9" s="62"/>
      <c r="S9" s="62"/>
      <c r="T9" s="5"/>
    </row>
    <row r="10" spans="1:20">
      <c r="A10" s="2" t="s">
        <v>915</v>
      </c>
      <c r="B10" s="2" t="s">
        <v>964</v>
      </c>
      <c r="C10" s="2" t="s">
        <v>18</v>
      </c>
      <c r="D10" s="16">
        <v>0</v>
      </c>
      <c r="E10" s="2" t="s">
        <v>915</v>
      </c>
      <c r="F10" s="2" t="s">
        <v>319</v>
      </c>
      <c r="G10" s="2" t="s">
        <v>965</v>
      </c>
      <c r="H10" s="17">
        <v>88000</v>
      </c>
      <c r="I10" s="2"/>
      <c r="J10" s="2"/>
      <c r="K10" s="17">
        <v>88000</v>
      </c>
      <c r="L10" s="17">
        <v>9428.57</v>
      </c>
      <c r="M10" s="17">
        <v>78571.429999999993</v>
      </c>
      <c r="N10" s="17">
        <v>88000</v>
      </c>
      <c r="O10" s="2"/>
      <c r="P10" s="2"/>
      <c r="Q10" s="31" t="s">
        <v>180</v>
      </c>
      <c r="R10" s="62"/>
      <c r="S10" s="62"/>
      <c r="T10" s="5"/>
    </row>
    <row r="11" spans="1:20">
      <c r="A11" s="2" t="s">
        <v>915</v>
      </c>
      <c r="B11" s="2" t="s">
        <v>966</v>
      </c>
      <c r="C11" s="2" t="s">
        <v>18</v>
      </c>
      <c r="D11" s="16">
        <v>0</v>
      </c>
      <c r="E11" s="2" t="s">
        <v>915</v>
      </c>
      <c r="F11" s="2" t="s">
        <v>319</v>
      </c>
      <c r="G11" s="2" t="s">
        <v>967</v>
      </c>
      <c r="H11" s="17">
        <v>241500</v>
      </c>
      <c r="I11" s="2"/>
      <c r="J11" s="2"/>
      <c r="K11" s="17">
        <v>241500</v>
      </c>
      <c r="L11" s="17">
        <v>25875</v>
      </c>
      <c r="M11" s="17">
        <v>215625</v>
      </c>
      <c r="N11" s="17">
        <v>241500</v>
      </c>
      <c r="O11" s="2"/>
      <c r="P11" s="2"/>
      <c r="Q11" s="31" t="s">
        <v>180</v>
      </c>
      <c r="R11" s="63"/>
      <c r="S11" s="62"/>
      <c r="T11" s="5"/>
    </row>
    <row r="12" spans="1:20">
      <c r="A12" s="2" t="s">
        <v>199</v>
      </c>
      <c r="B12" s="2" t="s">
        <v>222</v>
      </c>
      <c r="C12" s="2" t="s">
        <v>23</v>
      </c>
      <c r="D12" s="16">
        <v>30</v>
      </c>
      <c r="E12" s="2" t="s">
        <v>223</v>
      </c>
      <c r="F12" s="2" t="s">
        <v>224</v>
      </c>
      <c r="G12" s="2" t="s">
        <v>225</v>
      </c>
      <c r="H12" s="17">
        <v>68700</v>
      </c>
      <c r="I12" s="2"/>
      <c r="J12" s="2"/>
      <c r="K12" s="17">
        <v>68700</v>
      </c>
      <c r="L12" s="17">
        <v>7360.71</v>
      </c>
      <c r="M12" s="17">
        <v>61339.29</v>
      </c>
      <c r="N12" s="17">
        <v>68700</v>
      </c>
      <c r="O12" s="2"/>
      <c r="P12" s="2"/>
      <c r="Q12" s="31" t="s">
        <v>180</v>
      </c>
      <c r="R12" s="61">
        <f>+K12+K13+K14+K15+K16+K17+K18+K19+K20+K21</f>
        <v>421300</v>
      </c>
      <c r="S12" s="62"/>
      <c r="T12" s="5"/>
    </row>
    <row r="13" spans="1:20">
      <c r="A13" s="2" t="s">
        <v>689</v>
      </c>
      <c r="B13" s="2" t="s">
        <v>720</v>
      </c>
      <c r="C13" s="2" t="s">
        <v>23</v>
      </c>
      <c r="D13" s="16">
        <v>30</v>
      </c>
      <c r="E13" s="2" t="s">
        <v>704</v>
      </c>
      <c r="F13" s="2" t="s">
        <v>224</v>
      </c>
      <c r="G13" s="2" t="s">
        <v>721</v>
      </c>
      <c r="H13" s="17">
        <v>22900</v>
      </c>
      <c r="I13" s="2"/>
      <c r="J13" s="2"/>
      <c r="K13" s="17">
        <v>22900</v>
      </c>
      <c r="L13" s="17">
        <v>2453.5700000000002</v>
      </c>
      <c r="M13" s="17">
        <v>20446.43</v>
      </c>
      <c r="N13" s="17">
        <v>22900</v>
      </c>
      <c r="O13" s="2"/>
      <c r="P13" s="2"/>
      <c r="Q13" s="31" t="s">
        <v>180</v>
      </c>
      <c r="R13" s="62"/>
      <c r="S13" s="62"/>
      <c r="T13" s="5"/>
    </row>
    <row r="14" spans="1:20">
      <c r="A14" s="2" t="s">
        <v>689</v>
      </c>
      <c r="B14" s="2" t="s">
        <v>722</v>
      </c>
      <c r="C14" s="2" t="s">
        <v>23</v>
      </c>
      <c r="D14" s="16">
        <v>30</v>
      </c>
      <c r="E14" s="2" t="s">
        <v>704</v>
      </c>
      <c r="F14" s="2" t="s">
        <v>224</v>
      </c>
      <c r="G14" s="2" t="s">
        <v>723</v>
      </c>
      <c r="H14" s="17">
        <v>57200</v>
      </c>
      <c r="I14" s="2"/>
      <c r="J14" s="2"/>
      <c r="K14" s="17">
        <v>57200</v>
      </c>
      <c r="L14" s="17">
        <v>6128.57</v>
      </c>
      <c r="M14" s="17">
        <v>51071.43</v>
      </c>
      <c r="N14" s="17">
        <v>57200</v>
      </c>
      <c r="O14" s="2"/>
      <c r="P14" s="2"/>
      <c r="Q14" s="31" t="s">
        <v>180</v>
      </c>
      <c r="R14" s="62"/>
      <c r="S14" s="62"/>
      <c r="T14" s="5"/>
    </row>
    <row r="15" spans="1:20">
      <c r="A15" s="2" t="s">
        <v>689</v>
      </c>
      <c r="B15" s="2" t="s">
        <v>724</v>
      </c>
      <c r="C15" s="2" t="s">
        <v>23</v>
      </c>
      <c r="D15" s="16">
        <v>30</v>
      </c>
      <c r="E15" s="2" t="s">
        <v>704</v>
      </c>
      <c r="F15" s="2" t="s">
        <v>224</v>
      </c>
      <c r="G15" s="2" t="s">
        <v>725</v>
      </c>
      <c r="H15" s="17">
        <v>22900</v>
      </c>
      <c r="I15" s="2"/>
      <c r="J15" s="2"/>
      <c r="K15" s="17">
        <v>22900</v>
      </c>
      <c r="L15" s="17">
        <v>2453.5700000000002</v>
      </c>
      <c r="M15" s="17">
        <v>20446.43</v>
      </c>
      <c r="N15" s="17">
        <v>22900</v>
      </c>
      <c r="O15" s="2"/>
      <c r="P15" s="2"/>
      <c r="Q15" s="31" t="s">
        <v>180</v>
      </c>
      <c r="R15" s="62"/>
      <c r="S15" s="62"/>
      <c r="T15" s="5"/>
    </row>
    <row r="16" spans="1:20">
      <c r="A16" s="2" t="s">
        <v>1048</v>
      </c>
      <c r="B16" s="2" t="s">
        <v>1059</v>
      </c>
      <c r="C16" s="2" t="s">
        <v>23</v>
      </c>
      <c r="D16" s="16">
        <v>30</v>
      </c>
      <c r="E16" s="2" t="s">
        <v>1056</v>
      </c>
      <c r="F16" s="2" t="s">
        <v>224</v>
      </c>
      <c r="G16" s="2" t="s">
        <v>1060</v>
      </c>
      <c r="H16" s="17">
        <v>50400</v>
      </c>
      <c r="I16" s="2"/>
      <c r="J16" s="2"/>
      <c r="K16" s="17">
        <v>50400</v>
      </c>
      <c r="L16" s="17">
        <v>5400</v>
      </c>
      <c r="M16" s="17">
        <v>45000</v>
      </c>
      <c r="N16" s="17">
        <v>50400</v>
      </c>
      <c r="O16" s="2"/>
      <c r="P16" s="2"/>
      <c r="Q16" s="31" t="s">
        <v>180</v>
      </c>
      <c r="R16" s="62"/>
      <c r="S16" s="62"/>
      <c r="T16" s="5"/>
    </row>
    <row r="17" spans="1:20">
      <c r="A17" s="2" t="s">
        <v>1048</v>
      </c>
      <c r="B17" s="2" t="s">
        <v>1061</v>
      </c>
      <c r="C17" s="2" t="s">
        <v>23</v>
      </c>
      <c r="D17" s="16">
        <v>30</v>
      </c>
      <c r="E17" s="2" t="s">
        <v>1056</v>
      </c>
      <c r="F17" s="2" t="s">
        <v>224</v>
      </c>
      <c r="G17" s="2" t="s">
        <v>1062</v>
      </c>
      <c r="H17" s="17">
        <v>22900</v>
      </c>
      <c r="I17" s="2"/>
      <c r="J17" s="2"/>
      <c r="K17" s="17">
        <v>22900</v>
      </c>
      <c r="L17" s="17">
        <v>2453.5700000000002</v>
      </c>
      <c r="M17" s="17">
        <v>20446.43</v>
      </c>
      <c r="N17" s="17">
        <v>22900</v>
      </c>
      <c r="O17" s="2"/>
      <c r="P17" s="2"/>
      <c r="Q17" s="31" t="s">
        <v>180</v>
      </c>
      <c r="R17" s="62"/>
      <c r="S17" s="62"/>
      <c r="T17" s="5"/>
    </row>
    <row r="18" spans="1:20">
      <c r="A18" s="2" t="s">
        <v>1117</v>
      </c>
      <c r="B18" s="2" t="s">
        <v>1151</v>
      </c>
      <c r="C18" s="2" t="s">
        <v>23</v>
      </c>
      <c r="D18" s="16">
        <v>30</v>
      </c>
      <c r="E18" s="2" t="s">
        <v>1118</v>
      </c>
      <c r="F18" s="2" t="s">
        <v>224</v>
      </c>
      <c r="G18" s="2" t="s">
        <v>1152</v>
      </c>
      <c r="H18" s="17">
        <v>22900</v>
      </c>
      <c r="I18" s="2"/>
      <c r="J18" s="2"/>
      <c r="K18" s="17">
        <v>22900</v>
      </c>
      <c r="L18" s="17">
        <v>2453.5700000000002</v>
      </c>
      <c r="M18" s="17">
        <v>20446.43</v>
      </c>
      <c r="N18" s="17">
        <v>22900</v>
      </c>
      <c r="O18" s="2"/>
      <c r="P18" s="2"/>
      <c r="Q18" s="31" t="s">
        <v>180</v>
      </c>
      <c r="R18" s="62"/>
      <c r="S18" s="62"/>
      <c r="T18" s="5"/>
    </row>
    <row r="19" spans="1:20">
      <c r="A19" s="2" t="s">
        <v>1117</v>
      </c>
      <c r="B19" s="2" t="s">
        <v>1153</v>
      </c>
      <c r="C19" s="2" t="s">
        <v>23</v>
      </c>
      <c r="D19" s="16">
        <v>30</v>
      </c>
      <c r="E19" s="2" t="s">
        <v>1118</v>
      </c>
      <c r="F19" s="2" t="s">
        <v>224</v>
      </c>
      <c r="G19" s="2" t="s">
        <v>1154</v>
      </c>
      <c r="H19" s="17">
        <v>50400</v>
      </c>
      <c r="I19" s="2"/>
      <c r="J19" s="2"/>
      <c r="K19" s="17">
        <v>50400</v>
      </c>
      <c r="L19" s="17">
        <v>5400</v>
      </c>
      <c r="M19" s="17">
        <v>45000</v>
      </c>
      <c r="N19" s="17">
        <v>50400</v>
      </c>
      <c r="O19" s="2"/>
      <c r="P19" s="2"/>
      <c r="Q19" s="31" t="s">
        <v>180</v>
      </c>
      <c r="R19" s="62"/>
      <c r="S19" s="62"/>
      <c r="T19" s="5"/>
    </row>
    <row r="20" spans="1:20">
      <c r="A20" s="2" t="s">
        <v>1553</v>
      </c>
      <c r="B20" s="2" t="s">
        <v>1584</v>
      </c>
      <c r="C20" s="2" t="s">
        <v>23</v>
      </c>
      <c r="D20" s="16">
        <v>30</v>
      </c>
      <c r="E20" s="2" t="s">
        <v>1569</v>
      </c>
      <c r="F20" s="2" t="s">
        <v>224</v>
      </c>
      <c r="G20" s="2" t="s">
        <v>1585</v>
      </c>
      <c r="H20" s="17">
        <v>57200</v>
      </c>
      <c r="I20" s="2"/>
      <c r="J20" s="2"/>
      <c r="K20" s="17">
        <v>57200</v>
      </c>
      <c r="L20" s="17">
        <v>6128.57</v>
      </c>
      <c r="M20" s="17">
        <v>51071.43</v>
      </c>
      <c r="N20" s="17">
        <v>57200</v>
      </c>
      <c r="O20" s="2"/>
      <c r="P20" s="2"/>
      <c r="Q20" s="31" t="s">
        <v>180</v>
      </c>
      <c r="R20" s="62"/>
      <c r="S20" s="62"/>
      <c r="T20" s="5"/>
    </row>
    <row r="21" spans="1:20">
      <c r="A21" s="2" t="s">
        <v>1553</v>
      </c>
      <c r="B21" s="2" t="s">
        <v>1587</v>
      </c>
      <c r="C21" s="2" t="s">
        <v>23</v>
      </c>
      <c r="D21" s="16">
        <v>30</v>
      </c>
      <c r="E21" s="2" t="s">
        <v>1569</v>
      </c>
      <c r="F21" s="2" t="s">
        <v>224</v>
      </c>
      <c r="G21" s="2" t="s">
        <v>1588</v>
      </c>
      <c r="H21" s="17">
        <v>45800</v>
      </c>
      <c r="I21" s="2"/>
      <c r="J21" s="2"/>
      <c r="K21" s="17">
        <v>45800</v>
      </c>
      <c r="L21" s="17">
        <v>4907.1400000000003</v>
      </c>
      <c r="M21" s="17">
        <v>40892.86</v>
      </c>
      <c r="N21" s="17">
        <v>45800</v>
      </c>
      <c r="O21" s="2"/>
      <c r="P21" s="2"/>
      <c r="Q21" s="31" t="s">
        <v>180</v>
      </c>
      <c r="R21" s="63"/>
      <c r="S21" s="62"/>
      <c r="T21" s="5"/>
    </row>
    <row r="22" spans="1:20">
      <c r="A22" s="2" t="s">
        <v>199</v>
      </c>
      <c r="B22" s="2" t="s">
        <v>236</v>
      </c>
      <c r="C22" s="2" t="s">
        <v>237</v>
      </c>
      <c r="D22" s="16">
        <v>60</v>
      </c>
      <c r="E22" s="2" t="s">
        <v>200</v>
      </c>
      <c r="F22" s="2" t="s">
        <v>238</v>
      </c>
      <c r="G22" s="2" t="s">
        <v>239</v>
      </c>
      <c r="H22" s="17">
        <v>250950</v>
      </c>
      <c r="I22" s="2"/>
      <c r="J22" s="2"/>
      <c r="K22" s="17">
        <v>250950</v>
      </c>
      <c r="L22" s="17">
        <v>26887.5</v>
      </c>
      <c r="M22" s="17">
        <v>224062.5</v>
      </c>
      <c r="N22" s="17">
        <v>250950</v>
      </c>
      <c r="O22" s="2"/>
      <c r="P22" s="2"/>
      <c r="Q22" s="31" t="s">
        <v>180</v>
      </c>
      <c r="R22" s="61">
        <f>+K22+K23</f>
        <v>402300</v>
      </c>
      <c r="S22" s="62"/>
      <c r="T22" s="5"/>
    </row>
    <row r="23" spans="1:20">
      <c r="A23" s="2" t="s">
        <v>915</v>
      </c>
      <c r="B23" s="2" t="s">
        <v>934</v>
      </c>
      <c r="C23" s="2" t="s">
        <v>237</v>
      </c>
      <c r="D23" s="16">
        <v>60</v>
      </c>
      <c r="E23" s="2" t="s">
        <v>918</v>
      </c>
      <c r="F23" s="2" t="s">
        <v>238</v>
      </c>
      <c r="G23" s="2" t="s">
        <v>935</v>
      </c>
      <c r="H23" s="17">
        <v>151350</v>
      </c>
      <c r="I23" s="2"/>
      <c r="J23" s="2"/>
      <c r="K23" s="17">
        <v>151350</v>
      </c>
      <c r="L23" s="17">
        <v>16216.07</v>
      </c>
      <c r="M23" s="17">
        <v>135133.93</v>
      </c>
      <c r="N23" s="17">
        <v>151350</v>
      </c>
      <c r="O23" s="2"/>
      <c r="P23" s="2"/>
      <c r="Q23" s="31" t="s">
        <v>180</v>
      </c>
      <c r="R23" s="63"/>
      <c r="S23" s="62"/>
      <c r="T23" s="5"/>
    </row>
    <row r="24" spans="1:20">
      <c r="A24" s="2" t="s">
        <v>93</v>
      </c>
      <c r="B24" s="2" t="s">
        <v>179</v>
      </c>
      <c r="C24" s="2" t="s">
        <v>18</v>
      </c>
      <c r="D24" s="16">
        <v>0</v>
      </c>
      <c r="E24" s="2" t="s">
        <v>93</v>
      </c>
      <c r="F24" s="2" t="s">
        <v>181</v>
      </c>
      <c r="G24" s="2" t="s">
        <v>182</v>
      </c>
      <c r="H24" s="17">
        <v>137040</v>
      </c>
      <c r="I24" s="2"/>
      <c r="J24" s="2"/>
      <c r="K24" s="17">
        <v>137040</v>
      </c>
      <c r="L24" s="17">
        <v>14682.86</v>
      </c>
      <c r="M24" s="17">
        <v>122357.14</v>
      </c>
      <c r="N24" s="17">
        <v>137040</v>
      </c>
      <c r="O24" s="2"/>
      <c r="P24" s="2"/>
      <c r="Q24" s="31" t="s">
        <v>180</v>
      </c>
      <c r="R24" s="32">
        <f>+K24</f>
        <v>137040</v>
      </c>
      <c r="S24" s="63"/>
      <c r="T24" s="5"/>
    </row>
    <row r="25" spans="1:20">
      <c r="A25" s="2" t="s">
        <v>971</v>
      </c>
      <c r="B25" s="2" t="s">
        <v>978</v>
      </c>
      <c r="C25" s="2" t="s">
        <v>18</v>
      </c>
      <c r="D25" s="16">
        <v>0</v>
      </c>
      <c r="E25" s="2" t="s">
        <v>971</v>
      </c>
      <c r="F25" s="2" t="s">
        <v>979</v>
      </c>
      <c r="G25" s="2" t="s">
        <v>980</v>
      </c>
      <c r="H25" s="17">
        <v>515828.54</v>
      </c>
      <c r="I25" s="2"/>
      <c r="J25" s="2"/>
      <c r="K25" s="17">
        <v>515828.54</v>
      </c>
      <c r="L25" s="17">
        <v>55267.34</v>
      </c>
      <c r="M25" s="17">
        <v>460561.2</v>
      </c>
      <c r="N25" s="17">
        <v>515828.54</v>
      </c>
      <c r="O25" s="2"/>
      <c r="P25" s="2"/>
      <c r="Q25" s="31" t="s">
        <v>270</v>
      </c>
      <c r="R25" s="61">
        <f>+K25+K26</f>
        <v>1467158.54</v>
      </c>
      <c r="S25" s="61">
        <f>+R25+R27+R30+R31+R35+R36+R38+R49+R50+R52+R53+R55+R56+R59+R60</f>
        <v>6078822.6799999997</v>
      </c>
      <c r="T25" s="5"/>
    </row>
    <row r="26" spans="1:20">
      <c r="A26" s="2" t="s">
        <v>971</v>
      </c>
      <c r="B26" s="2" t="s">
        <v>981</v>
      </c>
      <c r="C26" s="2" t="s">
        <v>18</v>
      </c>
      <c r="D26" s="16">
        <v>0</v>
      </c>
      <c r="E26" s="2" t="s">
        <v>971</v>
      </c>
      <c r="F26" s="2" t="s">
        <v>979</v>
      </c>
      <c r="G26" s="2" t="s">
        <v>982</v>
      </c>
      <c r="H26" s="17">
        <v>951330</v>
      </c>
      <c r="I26" s="2"/>
      <c r="J26" s="2"/>
      <c r="K26" s="17">
        <v>951330</v>
      </c>
      <c r="L26" s="17">
        <v>101928.21</v>
      </c>
      <c r="M26" s="17">
        <v>849401.79</v>
      </c>
      <c r="N26" s="17">
        <v>951330</v>
      </c>
      <c r="O26" s="2"/>
      <c r="P26" s="2"/>
      <c r="Q26" s="31" t="s">
        <v>270</v>
      </c>
      <c r="R26" s="63"/>
      <c r="S26" s="62"/>
      <c r="T26" s="5"/>
    </row>
    <row r="27" spans="1:20">
      <c r="A27" s="2" t="s">
        <v>1117</v>
      </c>
      <c r="B27" s="2" t="s">
        <v>1116</v>
      </c>
      <c r="C27" s="2" t="s">
        <v>333</v>
      </c>
      <c r="D27" s="16">
        <v>30</v>
      </c>
      <c r="E27" s="2" t="s">
        <v>1118</v>
      </c>
      <c r="F27" s="2" t="s">
        <v>1119</v>
      </c>
      <c r="G27" s="2" t="s">
        <v>1120</v>
      </c>
      <c r="H27" s="17">
        <v>1585</v>
      </c>
      <c r="I27" s="2"/>
      <c r="J27" s="2"/>
      <c r="K27" s="17">
        <v>1585</v>
      </c>
      <c r="L27" s="18">
        <v>169.82</v>
      </c>
      <c r="M27" s="17">
        <v>1415.18</v>
      </c>
      <c r="N27" s="17">
        <v>1585</v>
      </c>
      <c r="O27" s="2"/>
      <c r="P27" s="2"/>
      <c r="Q27" s="31" t="s">
        <v>270</v>
      </c>
      <c r="R27" s="61">
        <f>+K27+K28+K29</f>
        <v>124411</v>
      </c>
      <c r="S27" s="62"/>
      <c r="T27" s="5"/>
    </row>
    <row r="28" spans="1:20">
      <c r="A28" s="2" t="s">
        <v>1117</v>
      </c>
      <c r="B28" s="2" t="s">
        <v>1124</v>
      </c>
      <c r="C28" s="2" t="s">
        <v>333</v>
      </c>
      <c r="D28" s="16">
        <v>30</v>
      </c>
      <c r="E28" s="2" t="s">
        <v>1118</v>
      </c>
      <c r="F28" s="2" t="s">
        <v>1119</v>
      </c>
      <c r="G28" s="2" t="s">
        <v>1125</v>
      </c>
      <c r="H28" s="17">
        <v>95426</v>
      </c>
      <c r="I28" s="2"/>
      <c r="J28" s="2"/>
      <c r="K28" s="17">
        <v>95426</v>
      </c>
      <c r="L28" s="17">
        <v>10224.209999999999</v>
      </c>
      <c r="M28" s="17">
        <v>85201.79</v>
      </c>
      <c r="N28" s="17">
        <v>95426</v>
      </c>
      <c r="O28" s="2"/>
      <c r="P28" s="2"/>
      <c r="Q28" s="31" t="s">
        <v>270</v>
      </c>
      <c r="R28" s="62"/>
      <c r="S28" s="62"/>
      <c r="T28" s="5"/>
    </row>
    <row r="29" spans="1:20">
      <c r="A29" s="2" t="s">
        <v>1117</v>
      </c>
      <c r="B29" s="2" t="s">
        <v>1132</v>
      </c>
      <c r="C29" s="2" t="s">
        <v>333</v>
      </c>
      <c r="D29" s="16">
        <v>30</v>
      </c>
      <c r="E29" s="2" t="s">
        <v>1118</v>
      </c>
      <c r="F29" s="2" t="s">
        <v>1119</v>
      </c>
      <c r="G29" s="2" t="s">
        <v>1133</v>
      </c>
      <c r="H29" s="17">
        <v>27400</v>
      </c>
      <c r="I29" s="2"/>
      <c r="J29" s="2"/>
      <c r="K29" s="17">
        <v>27400</v>
      </c>
      <c r="L29" s="17">
        <v>2935.71</v>
      </c>
      <c r="M29" s="17">
        <v>24464.29</v>
      </c>
      <c r="N29" s="17">
        <v>27400</v>
      </c>
      <c r="O29" s="2"/>
      <c r="P29" s="2"/>
      <c r="Q29" s="31" t="s">
        <v>270</v>
      </c>
      <c r="R29" s="63"/>
      <c r="S29" s="62"/>
      <c r="T29" s="5"/>
    </row>
    <row r="30" spans="1:20">
      <c r="A30" s="2" t="s">
        <v>866</v>
      </c>
      <c r="B30" s="2" t="s">
        <v>890</v>
      </c>
      <c r="C30" s="2" t="s">
        <v>73</v>
      </c>
      <c r="D30" s="16">
        <v>30</v>
      </c>
      <c r="E30" s="2" t="s">
        <v>880</v>
      </c>
      <c r="F30" s="2" t="s">
        <v>891</v>
      </c>
      <c r="G30" s="2" t="s">
        <v>892</v>
      </c>
      <c r="H30" s="17">
        <v>528502</v>
      </c>
      <c r="I30" s="2"/>
      <c r="J30" s="2"/>
      <c r="K30" s="17">
        <v>528502</v>
      </c>
      <c r="L30" s="17">
        <v>56625.21</v>
      </c>
      <c r="M30" s="17">
        <v>471876.79</v>
      </c>
      <c r="N30" s="17">
        <v>528502</v>
      </c>
      <c r="O30" s="2"/>
      <c r="P30" s="2"/>
      <c r="Q30" s="31" t="s">
        <v>270</v>
      </c>
      <c r="R30" s="32">
        <f>+K30</f>
        <v>528502</v>
      </c>
      <c r="S30" s="62"/>
      <c r="T30" s="5"/>
    </row>
    <row r="31" spans="1:20">
      <c r="A31" s="2" t="s">
        <v>1217</v>
      </c>
      <c r="B31" s="2" t="s">
        <v>1261</v>
      </c>
      <c r="C31" s="2" t="s">
        <v>333</v>
      </c>
      <c r="D31" s="16">
        <v>30</v>
      </c>
      <c r="E31" s="2" t="s">
        <v>1231</v>
      </c>
      <c r="F31" s="2" t="s">
        <v>1262</v>
      </c>
      <c r="G31" s="2" t="s">
        <v>1263</v>
      </c>
      <c r="H31" s="17">
        <v>261896</v>
      </c>
      <c r="I31" s="2"/>
      <c r="J31" s="2"/>
      <c r="K31" s="17">
        <v>261896</v>
      </c>
      <c r="L31" s="17">
        <v>28060.29</v>
      </c>
      <c r="M31" s="17">
        <v>233835.71</v>
      </c>
      <c r="N31" s="17">
        <v>261896</v>
      </c>
      <c r="O31" s="2"/>
      <c r="P31" s="2"/>
      <c r="Q31" s="31" t="s">
        <v>270</v>
      </c>
      <c r="R31" s="61">
        <f>+K31+K32+K33+K34</f>
        <v>948842</v>
      </c>
      <c r="S31" s="62"/>
      <c r="T31" s="5"/>
    </row>
    <row r="32" spans="1:20">
      <c r="A32" s="2" t="s">
        <v>1217</v>
      </c>
      <c r="B32" s="2" t="s">
        <v>1264</v>
      </c>
      <c r="C32" s="2" t="s">
        <v>333</v>
      </c>
      <c r="D32" s="16">
        <v>30</v>
      </c>
      <c r="E32" s="2" t="s">
        <v>1231</v>
      </c>
      <c r="F32" s="2" t="s">
        <v>1262</v>
      </c>
      <c r="G32" s="2" t="s">
        <v>1265</v>
      </c>
      <c r="H32" s="17">
        <v>212525</v>
      </c>
      <c r="I32" s="2"/>
      <c r="J32" s="2"/>
      <c r="K32" s="17">
        <v>212525</v>
      </c>
      <c r="L32" s="17">
        <v>22770.54</v>
      </c>
      <c r="M32" s="17">
        <v>189754.46</v>
      </c>
      <c r="N32" s="17">
        <v>212525</v>
      </c>
      <c r="O32" s="2"/>
      <c r="P32" s="2"/>
      <c r="Q32" s="31" t="s">
        <v>270</v>
      </c>
      <c r="R32" s="62"/>
      <c r="S32" s="62"/>
      <c r="T32" s="5"/>
    </row>
    <row r="33" spans="1:20">
      <c r="A33" s="2" t="s">
        <v>1372</v>
      </c>
      <c r="B33" s="2" t="s">
        <v>1388</v>
      </c>
      <c r="C33" s="2" t="s">
        <v>333</v>
      </c>
      <c r="D33" s="16">
        <v>30</v>
      </c>
      <c r="E33" s="2" t="s">
        <v>1389</v>
      </c>
      <c r="F33" s="2" t="s">
        <v>1262</v>
      </c>
      <c r="G33" s="2" t="s">
        <v>1263</v>
      </c>
      <c r="H33" s="17">
        <v>261896</v>
      </c>
      <c r="I33" s="2"/>
      <c r="J33" s="2"/>
      <c r="K33" s="17">
        <v>261896</v>
      </c>
      <c r="L33" s="17">
        <v>28060.29</v>
      </c>
      <c r="M33" s="17">
        <v>233835.71</v>
      </c>
      <c r="N33" s="17">
        <v>261896</v>
      </c>
      <c r="O33" s="2"/>
      <c r="P33" s="2"/>
      <c r="Q33" s="31" t="s">
        <v>270</v>
      </c>
      <c r="R33" s="62"/>
      <c r="S33" s="62"/>
      <c r="T33" s="5"/>
    </row>
    <row r="34" spans="1:20">
      <c r="A34" s="2" t="s">
        <v>1372</v>
      </c>
      <c r="B34" s="2" t="s">
        <v>1390</v>
      </c>
      <c r="C34" s="2" t="s">
        <v>333</v>
      </c>
      <c r="D34" s="16">
        <v>30</v>
      </c>
      <c r="E34" s="2" t="s">
        <v>1389</v>
      </c>
      <c r="F34" s="2" t="s">
        <v>1262</v>
      </c>
      <c r="G34" s="2" t="s">
        <v>1265</v>
      </c>
      <c r="H34" s="17">
        <v>212525</v>
      </c>
      <c r="I34" s="2"/>
      <c r="J34" s="2"/>
      <c r="K34" s="17">
        <v>212525</v>
      </c>
      <c r="L34" s="17">
        <v>22770.54</v>
      </c>
      <c r="M34" s="17">
        <v>189754.46</v>
      </c>
      <c r="N34" s="17">
        <v>212525</v>
      </c>
      <c r="O34" s="2"/>
      <c r="P34" s="2"/>
      <c r="Q34" s="31" t="s">
        <v>270</v>
      </c>
      <c r="R34" s="63"/>
      <c r="S34" s="62"/>
      <c r="T34" s="5"/>
    </row>
    <row r="35" spans="1:20">
      <c r="A35" s="2" t="s">
        <v>448</v>
      </c>
      <c r="B35" s="2" t="s">
        <v>486</v>
      </c>
      <c r="C35" s="2" t="s">
        <v>18</v>
      </c>
      <c r="D35" s="16">
        <v>0</v>
      </c>
      <c r="E35" s="2" t="s">
        <v>448</v>
      </c>
      <c r="F35" s="2" t="s">
        <v>487</v>
      </c>
      <c r="G35" s="2" t="s">
        <v>488</v>
      </c>
      <c r="H35" s="17">
        <v>272346.90000000002</v>
      </c>
      <c r="I35" s="2"/>
      <c r="J35" s="2"/>
      <c r="K35" s="17">
        <v>272346.90000000002</v>
      </c>
      <c r="L35" s="17">
        <v>29180.02</v>
      </c>
      <c r="M35" s="17">
        <v>243166.88</v>
      </c>
      <c r="N35" s="17">
        <v>272346.90000000002</v>
      </c>
      <c r="O35" s="2"/>
      <c r="P35" s="2"/>
      <c r="Q35" s="31" t="s">
        <v>270</v>
      </c>
      <c r="R35" s="32">
        <f>+K35</f>
        <v>272346.90000000002</v>
      </c>
      <c r="S35" s="62"/>
      <c r="T35" s="5"/>
    </row>
    <row r="36" spans="1:20">
      <c r="A36" s="2" t="s">
        <v>282</v>
      </c>
      <c r="B36" s="2" t="s">
        <v>332</v>
      </c>
      <c r="C36" s="2" t="s">
        <v>333</v>
      </c>
      <c r="D36" s="16">
        <v>30</v>
      </c>
      <c r="E36" s="2" t="s">
        <v>296</v>
      </c>
      <c r="F36" s="2" t="s">
        <v>334</v>
      </c>
      <c r="G36" s="2" t="s">
        <v>335</v>
      </c>
      <c r="H36" s="17">
        <v>88200</v>
      </c>
      <c r="I36" s="2"/>
      <c r="J36" s="2"/>
      <c r="K36" s="17">
        <v>88200</v>
      </c>
      <c r="L36" s="17">
        <v>9450</v>
      </c>
      <c r="M36" s="17">
        <v>78750</v>
      </c>
      <c r="N36" s="17">
        <v>88200</v>
      </c>
      <c r="O36" s="2"/>
      <c r="P36" s="2"/>
      <c r="Q36" s="31" t="s">
        <v>270</v>
      </c>
      <c r="R36" s="61">
        <f>+K36+K37</f>
        <v>294380</v>
      </c>
      <c r="S36" s="62"/>
      <c r="T36" s="5"/>
    </row>
    <row r="37" spans="1:20">
      <c r="A37" s="2" t="s">
        <v>1117</v>
      </c>
      <c r="B37" s="2" t="s">
        <v>1134</v>
      </c>
      <c r="C37" s="2" t="s">
        <v>333</v>
      </c>
      <c r="D37" s="16">
        <v>30</v>
      </c>
      <c r="E37" s="2" t="s">
        <v>1118</v>
      </c>
      <c r="F37" s="2" t="s">
        <v>334</v>
      </c>
      <c r="G37" s="2" t="s">
        <v>1135</v>
      </c>
      <c r="H37" s="17">
        <v>206180</v>
      </c>
      <c r="I37" s="2"/>
      <c r="J37" s="2"/>
      <c r="K37" s="17">
        <v>206180</v>
      </c>
      <c r="L37" s="17">
        <v>22090.71</v>
      </c>
      <c r="M37" s="17">
        <v>184089.29</v>
      </c>
      <c r="N37" s="17">
        <v>206180</v>
      </c>
      <c r="O37" s="2"/>
      <c r="P37" s="2"/>
      <c r="Q37" s="31" t="s">
        <v>270</v>
      </c>
      <c r="R37" s="63"/>
      <c r="S37" s="62"/>
      <c r="T37" s="5"/>
    </row>
    <row r="38" spans="1:20">
      <c r="A38" s="2" t="s">
        <v>199</v>
      </c>
      <c r="B38" s="2" t="s">
        <v>269</v>
      </c>
      <c r="C38" s="2" t="s">
        <v>73</v>
      </c>
      <c r="D38" s="16">
        <v>30</v>
      </c>
      <c r="E38" s="2" t="s">
        <v>223</v>
      </c>
      <c r="F38" s="2" t="s">
        <v>271</v>
      </c>
      <c r="G38" s="2" t="s">
        <v>272</v>
      </c>
      <c r="H38" s="17">
        <v>220750</v>
      </c>
      <c r="I38" s="2"/>
      <c r="J38" s="2"/>
      <c r="K38" s="17">
        <v>220750</v>
      </c>
      <c r="L38" s="2"/>
      <c r="M38" s="17">
        <v>220750</v>
      </c>
      <c r="N38" s="17">
        <v>220750</v>
      </c>
      <c r="O38" s="2"/>
      <c r="P38" s="2"/>
      <c r="Q38" s="31" t="s">
        <v>270</v>
      </c>
      <c r="R38" s="61">
        <f>+K38+K39+K40+K41+K42+K43+K44+K45+K46+K47+K48</f>
        <v>547668</v>
      </c>
      <c r="S38" s="62"/>
      <c r="T38" s="5"/>
    </row>
    <row r="39" spans="1:20">
      <c r="A39" s="2" t="s">
        <v>368</v>
      </c>
      <c r="B39" s="2" t="s">
        <v>432</v>
      </c>
      <c r="C39" s="2" t="s">
        <v>73</v>
      </c>
      <c r="D39" s="16">
        <v>30</v>
      </c>
      <c r="E39" s="2" t="s">
        <v>370</v>
      </c>
      <c r="F39" s="2" t="s">
        <v>271</v>
      </c>
      <c r="G39" s="2" t="s">
        <v>433</v>
      </c>
      <c r="H39" s="17">
        <v>55288</v>
      </c>
      <c r="I39" s="2"/>
      <c r="J39" s="2"/>
      <c r="K39" s="17">
        <v>55288</v>
      </c>
      <c r="L39" s="2"/>
      <c r="M39" s="17">
        <v>55288</v>
      </c>
      <c r="N39" s="17">
        <v>55288</v>
      </c>
      <c r="O39" s="2"/>
      <c r="P39" s="2"/>
      <c r="Q39" s="31" t="s">
        <v>270</v>
      </c>
      <c r="R39" s="62"/>
      <c r="S39" s="62"/>
      <c r="T39" s="5"/>
    </row>
    <row r="40" spans="1:20">
      <c r="A40" s="2" t="s">
        <v>368</v>
      </c>
      <c r="B40" s="2" t="s">
        <v>434</v>
      </c>
      <c r="C40" s="2" t="s">
        <v>73</v>
      </c>
      <c r="D40" s="16">
        <v>30</v>
      </c>
      <c r="E40" s="2" t="s">
        <v>370</v>
      </c>
      <c r="F40" s="2" t="s">
        <v>271</v>
      </c>
      <c r="G40" s="2" t="s">
        <v>435</v>
      </c>
      <c r="H40" s="17">
        <v>35234</v>
      </c>
      <c r="I40" s="2"/>
      <c r="J40" s="2"/>
      <c r="K40" s="17">
        <v>35234</v>
      </c>
      <c r="L40" s="2"/>
      <c r="M40" s="17">
        <v>35234</v>
      </c>
      <c r="N40" s="17">
        <v>35234</v>
      </c>
      <c r="O40" s="2"/>
      <c r="P40" s="2"/>
      <c r="Q40" s="31" t="s">
        <v>270</v>
      </c>
      <c r="R40" s="62"/>
      <c r="S40" s="62"/>
      <c r="T40" s="5"/>
    </row>
    <row r="41" spans="1:20">
      <c r="A41" s="2" t="s">
        <v>368</v>
      </c>
      <c r="B41" s="2" t="s">
        <v>436</v>
      </c>
      <c r="C41" s="2" t="s">
        <v>73</v>
      </c>
      <c r="D41" s="16">
        <v>30</v>
      </c>
      <c r="E41" s="2" t="s">
        <v>370</v>
      </c>
      <c r="F41" s="2" t="s">
        <v>271</v>
      </c>
      <c r="G41" s="2" t="s">
        <v>437</v>
      </c>
      <c r="H41" s="17">
        <v>55100</v>
      </c>
      <c r="I41" s="2"/>
      <c r="J41" s="2"/>
      <c r="K41" s="17">
        <v>55100</v>
      </c>
      <c r="L41" s="2"/>
      <c r="M41" s="17">
        <v>55100</v>
      </c>
      <c r="N41" s="17">
        <v>55100</v>
      </c>
      <c r="O41" s="2"/>
      <c r="P41" s="2"/>
      <c r="Q41" s="31" t="s">
        <v>270</v>
      </c>
      <c r="R41" s="62"/>
      <c r="S41" s="62"/>
      <c r="T41" s="5"/>
    </row>
    <row r="42" spans="1:20">
      <c r="A42" s="2" t="s">
        <v>368</v>
      </c>
      <c r="B42" s="2" t="s">
        <v>438</v>
      </c>
      <c r="C42" s="2" t="s">
        <v>73</v>
      </c>
      <c r="D42" s="16">
        <v>30</v>
      </c>
      <c r="E42" s="2" t="s">
        <v>370</v>
      </c>
      <c r="F42" s="2" t="s">
        <v>271</v>
      </c>
      <c r="G42" s="2" t="s">
        <v>439</v>
      </c>
      <c r="H42" s="17">
        <v>40975</v>
      </c>
      <c r="I42" s="2"/>
      <c r="J42" s="2"/>
      <c r="K42" s="17">
        <v>40975</v>
      </c>
      <c r="L42" s="2"/>
      <c r="M42" s="17">
        <v>40975</v>
      </c>
      <c r="N42" s="17">
        <v>40975</v>
      </c>
      <c r="O42" s="2"/>
      <c r="P42" s="2"/>
      <c r="Q42" s="31" t="s">
        <v>270</v>
      </c>
      <c r="R42" s="62"/>
      <c r="S42" s="62"/>
      <c r="T42" s="5"/>
    </row>
    <row r="43" spans="1:20">
      <c r="A43" s="2" t="s">
        <v>1372</v>
      </c>
      <c r="B43" s="2" t="s">
        <v>1438</v>
      </c>
      <c r="C43" s="2" t="s">
        <v>73</v>
      </c>
      <c r="D43" s="16">
        <v>30</v>
      </c>
      <c r="E43" s="2" t="s">
        <v>1389</v>
      </c>
      <c r="F43" s="2" t="s">
        <v>271</v>
      </c>
      <c r="G43" s="2" t="s">
        <v>1439</v>
      </c>
      <c r="H43" s="17">
        <v>33500</v>
      </c>
      <c r="I43" s="2"/>
      <c r="J43" s="2"/>
      <c r="K43" s="17">
        <v>33500</v>
      </c>
      <c r="L43" s="2"/>
      <c r="M43" s="17">
        <v>33500</v>
      </c>
      <c r="N43" s="17">
        <v>33500</v>
      </c>
      <c r="O43" s="2"/>
      <c r="P43" s="2"/>
      <c r="Q43" s="31" t="s">
        <v>270</v>
      </c>
      <c r="R43" s="62"/>
      <c r="S43" s="62"/>
      <c r="T43" s="5"/>
    </row>
    <row r="44" spans="1:20">
      <c r="A44" s="2" t="s">
        <v>1372</v>
      </c>
      <c r="B44" s="2" t="s">
        <v>1440</v>
      </c>
      <c r="C44" s="2" t="s">
        <v>73</v>
      </c>
      <c r="D44" s="16">
        <v>30</v>
      </c>
      <c r="E44" s="2" t="s">
        <v>1389</v>
      </c>
      <c r="F44" s="2" t="s">
        <v>271</v>
      </c>
      <c r="G44" s="2" t="s">
        <v>1441</v>
      </c>
      <c r="H44" s="17">
        <v>20460</v>
      </c>
      <c r="I44" s="2"/>
      <c r="J44" s="2"/>
      <c r="K44" s="17">
        <v>20460</v>
      </c>
      <c r="L44" s="2"/>
      <c r="M44" s="17">
        <v>20460</v>
      </c>
      <c r="N44" s="17">
        <v>20460</v>
      </c>
      <c r="O44" s="2"/>
      <c r="P44" s="2"/>
      <c r="Q44" s="31" t="s">
        <v>270</v>
      </c>
      <c r="R44" s="62"/>
      <c r="S44" s="62"/>
      <c r="T44" s="5"/>
    </row>
    <row r="45" spans="1:20">
      <c r="A45" s="2" t="s">
        <v>1372</v>
      </c>
      <c r="B45" s="2" t="s">
        <v>1442</v>
      </c>
      <c r="C45" s="2" t="s">
        <v>73</v>
      </c>
      <c r="D45" s="16">
        <v>30</v>
      </c>
      <c r="E45" s="2" t="s">
        <v>1389</v>
      </c>
      <c r="F45" s="2" t="s">
        <v>271</v>
      </c>
      <c r="G45" s="2" t="s">
        <v>1443</v>
      </c>
      <c r="H45" s="17">
        <v>1492</v>
      </c>
      <c r="I45" s="2"/>
      <c r="J45" s="2"/>
      <c r="K45" s="17">
        <v>1492</v>
      </c>
      <c r="L45" s="2"/>
      <c r="M45" s="17">
        <v>1492</v>
      </c>
      <c r="N45" s="17">
        <v>1492</v>
      </c>
      <c r="O45" s="2"/>
      <c r="P45" s="2"/>
      <c r="Q45" s="31" t="s">
        <v>270</v>
      </c>
      <c r="R45" s="62"/>
      <c r="S45" s="62"/>
      <c r="T45" s="5"/>
    </row>
    <row r="46" spans="1:20">
      <c r="A46" s="2" t="s">
        <v>1372</v>
      </c>
      <c r="B46" s="2" t="s">
        <v>1444</v>
      </c>
      <c r="C46" s="2" t="s">
        <v>73</v>
      </c>
      <c r="D46" s="16">
        <v>30</v>
      </c>
      <c r="E46" s="2" t="s">
        <v>1389</v>
      </c>
      <c r="F46" s="2" t="s">
        <v>271</v>
      </c>
      <c r="G46" s="2" t="s">
        <v>1445</v>
      </c>
      <c r="H46" s="17">
        <v>67230</v>
      </c>
      <c r="I46" s="2"/>
      <c r="J46" s="2"/>
      <c r="K46" s="17">
        <v>67230</v>
      </c>
      <c r="L46" s="2"/>
      <c r="M46" s="17">
        <v>67230</v>
      </c>
      <c r="N46" s="17">
        <v>67230</v>
      </c>
      <c r="O46" s="2"/>
      <c r="P46" s="2"/>
      <c r="Q46" s="31" t="s">
        <v>270</v>
      </c>
      <c r="R46" s="62"/>
      <c r="S46" s="62"/>
      <c r="T46" s="5"/>
    </row>
    <row r="47" spans="1:20">
      <c r="A47" s="2" t="s">
        <v>1372</v>
      </c>
      <c r="B47" s="2" t="s">
        <v>1446</v>
      </c>
      <c r="C47" s="2" t="s">
        <v>73</v>
      </c>
      <c r="D47" s="16">
        <v>30</v>
      </c>
      <c r="E47" s="2" t="s">
        <v>1389</v>
      </c>
      <c r="F47" s="2" t="s">
        <v>271</v>
      </c>
      <c r="G47" s="2" t="s">
        <v>1447</v>
      </c>
      <c r="H47" s="17">
        <v>14655</v>
      </c>
      <c r="I47" s="2"/>
      <c r="J47" s="2"/>
      <c r="K47" s="17">
        <v>14655</v>
      </c>
      <c r="L47" s="2"/>
      <c r="M47" s="17">
        <v>14655</v>
      </c>
      <c r="N47" s="17">
        <v>14655</v>
      </c>
      <c r="O47" s="2"/>
      <c r="P47" s="2"/>
      <c r="Q47" s="31" t="s">
        <v>270</v>
      </c>
      <c r="R47" s="62"/>
      <c r="S47" s="62"/>
      <c r="T47" s="5"/>
    </row>
    <row r="48" spans="1:20">
      <c r="A48" s="2" t="s">
        <v>1372</v>
      </c>
      <c r="B48" s="2" t="s">
        <v>1448</v>
      </c>
      <c r="C48" s="2" t="s">
        <v>73</v>
      </c>
      <c r="D48" s="16">
        <v>30</v>
      </c>
      <c r="E48" s="2" t="s">
        <v>1389</v>
      </c>
      <c r="F48" s="2" t="s">
        <v>271</v>
      </c>
      <c r="G48" s="2" t="s">
        <v>1449</v>
      </c>
      <c r="H48" s="17">
        <v>2984</v>
      </c>
      <c r="I48" s="2"/>
      <c r="J48" s="2"/>
      <c r="K48" s="17">
        <v>2984</v>
      </c>
      <c r="L48" s="2"/>
      <c r="M48" s="17">
        <v>2984</v>
      </c>
      <c r="N48" s="17">
        <v>2984</v>
      </c>
      <c r="O48" s="2"/>
      <c r="P48" s="2"/>
      <c r="Q48" s="31" t="s">
        <v>270</v>
      </c>
      <c r="R48" s="63"/>
      <c r="S48" s="62"/>
      <c r="T48" s="5"/>
    </row>
    <row r="49" spans="1:20">
      <c r="A49" s="2" t="s">
        <v>689</v>
      </c>
      <c r="B49" s="2" t="s">
        <v>703</v>
      </c>
      <c r="C49" s="2" t="s">
        <v>73</v>
      </c>
      <c r="D49" s="16">
        <v>30</v>
      </c>
      <c r="E49" s="2" t="s">
        <v>704</v>
      </c>
      <c r="F49" s="2" t="s">
        <v>705</v>
      </c>
      <c r="G49" s="2" t="s">
        <v>706</v>
      </c>
      <c r="H49" s="17">
        <v>88200</v>
      </c>
      <c r="I49" s="2"/>
      <c r="J49" s="2"/>
      <c r="K49" s="17">
        <v>88200</v>
      </c>
      <c r="L49" s="17">
        <v>9450</v>
      </c>
      <c r="M49" s="17">
        <v>78750</v>
      </c>
      <c r="N49" s="17">
        <v>88200</v>
      </c>
      <c r="O49" s="2"/>
      <c r="P49" s="2"/>
      <c r="Q49" s="31" t="s">
        <v>270</v>
      </c>
      <c r="R49" s="32">
        <f>+K49</f>
        <v>88200</v>
      </c>
      <c r="S49" s="62"/>
      <c r="T49" s="5"/>
    </row>
    <row r="50" spans="1:20">
      <c r="A50" s="2" t="s">
        <v>1217</v>
      </c>
      <c r="B50" s="2" t="s">
        <v>1216</v>
      </c>
      <c r="C50" s="2" t="s">
        <v>60</v>
      </c>
      <c r="D50" s="16">
        <v>0</v>
      </c>
      <c r="E50" s="2" t="s">
        <v>1217</v>
      </c>
      <c r="F50" s="2" t="s">
        <v>1218</v>
      </c>
      <c r="G50" s="2" t="s">
        <v>1219</v>
      </c>
      <c r="H50" s="17">
        <v>37000</v>
      </c>
      <c r="I50" s="2"/>
      <c r="J50" s="2"/>
      <c r="K50" s="17">
        <v>37000</v>
      </c>
      <c r="L50" s="17">
        <v>3964.29</v>
      </c>
      <c r="M50" s="17">
        <v>33035.71</v>
      </c>
      <c r="N50" s="17">
        <v>37000</v>
      </c>
      <c r="O50" s="2"/>
      <c r="P50" s="2"/>
      <c r="Q50" s="31" t="s">
        <v>270</v>
      </c>
      <c r="R50" s="61">
        <f>+K50+K51</f>
        <v>59200</v>
      </c>
      <c r="S50" s="62"/>
      <c r="T50" s="5"/>
    </row>
    <row r="51" spans="1:20">
      <c r="A51" s="2" t="s">
        <v>1217</v>
      </c>
      <c r="B51" s="2" t="s">
        <v>1228</v>
      </c>
      <c r="C51" s="2" t="s">
        <v>60</v>
      </c>
      <c r="D51" s="16">
        <v>0</v>
      </c>
      <c r="E51" s="2" t="s">
        <v>1217</v>
      </c>
      <c r="F51" s="2" t="s">
        <v>1218</v>
      </c>
      <c r="G51" s="2" t="s">
        <v>1229</v>
      </c>
      <c r="H51" s="17">
        <v>22200</v>
      </c>
      <c r="I51" s="2"/>
      <c r="J51" s="2"/>
      <c r="K51" s="17">
        <v>22200</v>
      </c>
      <c r="L51" s="17">
        <v>2378.5700000000002</v>
      </c>
      <c r="M51" s="17">
        <v>19821.43</v>
      </c>
      <c r="N51" s="17">
        <v>22200</v>
      </c>
      <c r="O51" s="2"/>
      <c r="P51" s="2"/>
      <c r="Q51" s="31" t="s">
        <v>270</v>
      </c>
      <c r="R51" s="63"/>
      <c r="S51" s="62"/>
      <c r="T51" s="5"/>
    </row>
    <row r="52" spans="1:20">
      <c r="A52" s="2" t="s">
        <v>282</v>
      </c>
      <c r="B52" s="2" t="s">
        <v>299</v>
      </c>
      <c r="C52" s="2" t="s">
        <v>60</v>
      </c>
      <c r="D52" s="16">
        <v>0</v>
      </c>
      <c r="E52" s="2" t="s">
        <v>282</v>
      </c>
      <c r="F52" s="2" t="s">
        <v>300</v>
      </c>
      <c r="G52" s="2" t="s">
        <v>301</v>
      </c>
      <c r="H52" s="17">
        <v>67461.240000000005</v>
      </c>
      <c r="I52" s="2"/>
      <c r="J52" s="2"/>
      <c r="K52" s="17">
        <v>67461.240000000005</v>
      </c>
      <c r="L52" s="17">
        <v>7227.99</v>
      </c>
      <c r="M52" s="17">
        <v>60233.25</v>
      </c>
      <c r="N52" s="17">
        <v>67461.240000000005</v>
      </c>
      <c r="O52" s="2"/>
      <c r="P52" s="2"/>
      <c r="Q52" s="31" t="s">
        <v>270</v>
      </c>
      <c r="R52" s="32">
        <f>+K52</f>
        <v>67461.240000000005</v>
      </c>
      <c r="S52" s="62"/>
      <c r="T52" s="5"/>
    </row>
    <row r="53" spans="1:20">
      <c r="A53" s="2" t="s">
        <v>282</v>
      </c>
      <c r="B53" s="2" t="s">
        <v>339</v>
      </c>
      <c r="C53" s="2" t="s">
        <v>333</v>
      </c>
      <c r="D53" s="16">
        <v>30</v>
      </c>
      <c r="E53" s="2" t="s">
        <v>296</v>
      </c>
      <c r="F53" s="2" t="s">
        <v>340</v>
      </c>
      <c r="G53" s="2" t="s">
        <v>341</v>
      </c>
      <c r="H53" s="17">
        <v>309050</v>
      </c>
      <c r="I53" s="2"/>
      <c r="J53" s="2"/>
      <c r="K53" s="17">
        <v>309050</v>
      </c>
      <c r="L53" s="17">
        <v>33112.5</v>
      </c>
      <c r="M53" s="17">
        <v>275937.5</v>
      </c>
      <c r="N53" s="17">
        <v>309050</v>
      </c>
      <c r="O53" s="2"/>
      <c r="P53" s="2"/>
      <c r="Q53" s="31" t="s">
        <v>270</v>
      </c>
      <c r="R53" s="61">
        <f>+K53+K54</f>
        <v>505162</v>
      </c>
      <c r="S53" s="62"/>
      <c r="T53" s="5"/>
    </row>
    <row r="54" spans="1:20">
      <c r="A54" s="2" t="s">
        <v>282</v>
      </c>
      <c r="B54" s="2" t="s">
        <v>342</v>
      </c>
      <c r="C54" s="2" t="s">
        <v>333</v>
      </c>
      <c r="D54" s="16">
        <v>30</v>
      </c>
      <c r="E54" s="2" t="s">
        <v>296</v>
      </c>
      <c r="F54" s="2" t="s">
        <v>340</v>
      </c>
      <c r="G54" s="2" t="s">
        <v>343</v>
      </c>
      <c r="H54" s="17">
        <v>196112</v>
      </c>
      <c r="I54" s="2"/>
      <c r="J54" s="2"/>
      <c r="K54" s="17">
        <v>196112</v>
      </c>
      <c r="L54" s="17">
        <v>21012</v>
      </c>
      <c r="M54" s="17">
        <v>175100</v>
      </c>
      <c r="N54" s="17">
        <v>196112</v>
      </c>
      <c r="O54" s="2"/>
      <c r="P54" s="2"/>
      <c r="Q54" s="31" t="s">
        <v>270</v>
      </c>
      <c r="R54" s="63"/>
      <c r="S54" s="62"/>
      <c r="T54" s="5"/>
    </row>
    <row r="55" spans="1:20">
      <c r="A55" s="2" t="s">
        <v>1372</v>
      </c>
      <c r="B55" s="2" t="s">
        <v>1383</v>
      </c>
      <c r="C55" s="2" t="s">
        <v>60</v>
      </c>
      <c r="D55" s="16">
        <v>0</v>
      </c>
      <c r="E55" s="2" t="s">
        <v>1372</v>
      </c>
      <c r="F55" s="2" t="s">
        <v>1384</v>
      </c>
      <c r="G55" s="2" t="s">
        <v>1385</v>
      </c>
      <c r="H55" s="17">
        <v>241920</v>
      </c>
      <c r="I55" s="2"/>
      <c r="J55" s="2"/>
      <c r="K55" s="17">
        <v>241920</v>
      </c>
      <c r="L55" s="17">
        <v>25920</v>
      </c>
      <c r="M55" s="17">
        <v>216000</v>
      </c>
      <c r="N55" s="17">
        <v>241920</v>
      </c>
      <c r="O55" s="2"/>
      <c r="P55" s="2"/>
      <c r="Q55" s="31" t="s">
        <v>270</v>
      </c>
      <c r="R55" s="32">
        <f>+K55</f>
        <v>241920</v>
      </c>
      <c r="S55" s="62"/>
      <c r="T55" s="5"/>
    </row>
    <row r="56" spans="1:20">
      <c r="A56" s="2" t="s">
        <v>282</v>
      </c>
      <c r="B56" s="2" t="s">
        <v>336</v>
      </c>
      <c r="C56" s="2" t="s">
        <v>237</v>
      </c>
      <c r="D56" s="16">
        <v>60</v>
      </c>
      <c r="E56" s="2" t="s">
        <v>286</v>
      </c>
      <c r="F56" s="2" t="s">
        <v>337</v>
      </c>
      <c r="G56" s="2" t="s">
        <v>338</v>
      </c>
      <c r="H56" s="17">
        <v>143215</v>
      </c>
      <c r="I56" s="2"/>
      <c r="J56" s="2"/>
      <c r="K56" s="17">
        <v>143215</v>
      </c>
      <c r="L56" s="17">
        <v>15344.46</v>
      </c>
      <c r="M56" s="17">
        <v>127870.54</v>
      </c>
      <c r="N56" s="17">
        <v>143215</v>
      </c>
      <c r="O56" s="2"/>
      <c r="P56" s="2"/>
      <c r="Q56" s="31" t="s">
        <v>270</v>
      </c>
      <c r="R56" s="61">
        <f>+K56+K57+K58</f>
        <v>855310</v>
      </c>
      <c r="S56" s="62"/>
      <c r="T56" s="5"/>
    </row>
    <row r="57" spans="1:20">
      <c r="A57" s="2" t="s">
        <v>1117</v>
      </c>
      <c r="B57" s="2" t="s">
        <v>1136</v>
      </c>
      <c r="C57" s="2" t="s">
        <v>333</v>
      </c>
      <c r="D57" s="16">
        <v>30</v>
      </c>
      <c r="E57" s="2" t="s">
        <v>1118</v>
      </c>
      <c r="F57" s="2" t="s">
        <v>337</v>
      </c>
      <c r="G57" s="2" t="s">
        <v>1137</v>
      </c>
      <c r="H57" s="17">
        <v>568880</v>
      </c>
      <c r="I57" s="2"/>
      <c r="J57" s="2"/>
      <c r="K57" s="17">
        <v>568880</v>
      </c>
      <c r="L57" s="17">
        <v>60951.43</v>
      </c>
      <c r="M57" s="17">
        <v>507928.57</v>
      </c>
      <c r="N57" s="17">
        <v>568880</v>
      </c>
      <c r="O57" s="2"/>
      <c r="P57" s="2"/>
      <c r="Q57" s="31" t="s">
        <v>270</v>
      </c>
      <c r="R57" s="62"/>
      <c r="S57" s="62"/>
      <c r="T57" s="5"/>
    </row>
    <row r="58" spans="1:20">
      <c r="A58" s="2" t="s">
        <v>1117</v>
      </c>
      <c r="B58" s="2" t="s">
        <v>1138</v>
      </c>
      <c r="C58" s="2" t="s">
        <v>237</v>
      </c>
      <c r="D58" s="16">
        <v>60</v>
      </c>
      <c r="E58" s="2" t="s">
        <v>1139</v>
      </c>
      <c r="F58" s="2" t="s">
        <v>337</v>
      </c>
      <c r="G58" s="2" t="s">
        <v>338</v>
      </c>
      <c r="H58" s="17">
        <v>143215</v>
      </c>
      <c r="I58" s="2"/>
      <c r="J58" s="2"/>
      <c r="K58" s="17">
        <v>143215</v>
      </c>
      <c r="L58" s="17">
        <v>15344.46</v>
      </c>
      <c r="M58" s="17">
        <v>127870.54</v>
      </c>
      <c r="N58" s="17">
        <v>143215</v>
      </c>
      <c r="O58" s="2"/>
      <c r="P58" s="2"/>
      <c r="Q58" s="31" t="s">
        <v>270</v>
      </c>
      <c r="R58" s="63"/>
      <c r="S58" s="62"/>
      <c r="T58" s="5"/>
    </row>
    <row r="59" spans="1:20">
      <c r="A59" s="2" t="s">
        <v>1553</v>
      </c>
      <c r="B59" s="2" t="s">
        <v>1573</v>
      </c>
      <c r="C59" s="2" t="s">
        <v>18</v>
      </c>
      <c r="D59" s="16">
        <v>0</v>
      </c>
      <c r="E59" s="2" t="s">
        <v>1553</v>
      </c>
      <c r="F59" s="2" t="s">
        <v>70</v>
      </c>
      <c r="G59" s="2" t="s">
        <v>1574</v>
      </c>
      <c r="H59" s="17">
        <v>24540</v>
      </c>
      <c r="I59" s="2"/>
      <c r="J59" s="2"/>
      <c r="K59" s="17">
        <v>24540</v>
      </c>
      <c r="L59" s="17">
        <v>2629.29</v>
      </c>
      <c r="M59" s="17">
        <v>21910.71</v>
      </c>
      <c r="N59" s="17">
        <v>24540</v>
      </c>
      <c r="O59" s="2"/>
      <c r="P59" s="2"/>
      <c r="Q59" s="31" t="s">
        <v>270</v>
      </c>
      <c r="R59" s="32">
        <f>+K59</f>
        <v>24540</v>
      </c>
      <c r="S59" s="62"/>
      <c r="T59" s="5"/>
    </row>
    <row r="60" spans="1:20">
      <c r="A60" s="2" t="s">
        <v>596</v>
      </c>
      <c r="B60" s="2" t="s">
        <v>595</v>
      </c>
      <c r="C60" s="2" t="s">
        <v>146</v>
      </c>
      <c r="D60" s="16">
        <v>90</v>
      </c>
      <c r="E60" s="2" t="s">
        <v>597</v>
      </c>
      <c r="F60" s="2" t="s">
        <v>598</v>
      </c>
      <c r="G60" s="2" t="s">
        <v>599</v>
      </c>
      <c r="H60" s="17">
        <v>53721</v>
      </c>
      <c r="I60" s="2"/>
      <c r="J60" s="2"/>
      <c r="K60" s="17">
        <v>53721</v>
      </c>
      <c r="L60" s="17">
        <v>5755.82</v>
      </c>
      <c r="M60" s="17">
        <v>47965.18</v>
      </c>
      <c r="N60" s="17">
        <v>53721</v>
      </c>
      <c r="O60" s="2"/>
      <c r="P60" s="2"/>
      <c r="Q60" s="31" t="s">
        <v>270</v>
      </c>
      <c r="R60" s="32">
        <f>+K60</f>
        <v>53721</v>
      </c>
      <c r="S60" s="63"/>
      <c r="T60" s="5"/>
    </row>
    <row r="61" spans="1:20">
      <c r="A61" s="2" t="s">
        <v>689</v>
      </c>
      <c r="B61" s="2" t="s">
        <v>726</v>
      </c>
      <c r="C61" s="2" t="s">
        <v>151</v>
      </c>
      <c r="D61" s="16">
        <v>60</v>
      </c>
      <c r="E61" s="2" t="s">
        <v>692</v>
      </c>
      <c r="F61" s="2" t="s">
        <v>728</v>
      </c>
      <c r="G61" s="2" t="s">
        <v>729</v>
      </c>
      <c r="H61" s="17">
        <v>113168</v>
      </c>
      <c r="I61" s="2"/>
      <c r="J61" s="2"/>
      <c r="K61" s="17">
        <v>113168</v>
      </c>
      <c r="L61" s="17">
        <v>12125.14</v>
      </c>
      <c r="M61" s="17">
        <v>101042.86</v>
      </c>
      <c r="N61" s="17">
        <v>113168</v>
      </c>
      <c r="O61" s="2"/>
      <c r="P61" s="2"/>
      <c r="Q61" s="31" t="s">
        <v>727</v>
      </c>
      <c r="R61" s="61">
        <f>+K61+K62+K63+K64+K65+K66+K67</f>
        <v>2195878</v>
      </c>
      <c r="S61" s="61">
        <f>+R61</f>
        <v>2195878</v>
      </c>
      <c r="T61" s="5"/>
    </row>
    <row r="62" spans="1:20">
      <c r="A62" s="2" t="s">
        <v>689</v>
      </c>
      <c r="B62" s="2" t="s">
        <v>730</v>
      </c>
      <c r="C62" s="2" t="s">
        <v>151</v>
      </c>
      <c r="D62" s="16">
        <v>60</v>
      </c>
      <c r="E62" s="2" t="s">
        <v>692</v>
      </c>
      <c r="F62" s="2" t="s">
        <v>728</v>
      </c>
      <c r="G62" s="2" t="s">
        <v>731</v>
      </c>
      <c r="H62" s="17">
        <v>686000</v>
      </c>
      <c r="I62" s="2"/>
      <c r="J62" s="2"/>
      <c r="K62" s="17">
        <v>686000</v>
      </c>
      <c r="L62" s="17">
        <v>73500</v>
      </c>
      <c r="M62" s="17">
        <v>612500</v>
      </c>
      <c r="N62" s="17">
        <v>686000</v>
      </c>
      <c r="O62" s="2"/>
      <c r="P62" s="2"/>
      <c r="Q62" s="31" t="s">
        <v>727</v>
      </c>
      <c r="R62" s="62"/>
      <c r="S62" s="62"/>
      <c r="T62" s="5"/>
    </row>
    <row r="63" spans="1:20">
      <c r="A63" s="2" t="s">
        <v>689</v>
      </c>
      <c r="B63" s="2" t="s">
        <v>732</v>
      </c>
      <c r="C63" s="2" t="s">
        <v>151</v>
      </c>
      <c r="D63" s="16">
        <v>60</v>
      </c>
      <c r="E63" s="2" t="s">
        <v>692</v>
      </c>
      <c r="F63" s="2" t="s">
        <v>728</v>
      </c>
      <c r="G63" s="2" t="s">
        <v>733</v>
      </c>
      <c r="H63" s="17">
        <v>313000</v>
      </c>
      <c r="I63" s="2"/>
      <c r="J63" s="2"/>
      <c r="K63" s="17">
        <v>313000</v>
      </c>
      <c r="L63" s="17">
        <v>33535.71</v>
      </c>
      <c r="M63" s="17">
        <v>279464.28999999998</v>
      </c>
      <c r="N63" s="17">
        <v>313000</v>
      </c>
      <c r="O63" s="2"/>
      <c r="P63" s="2"/>
      <c r="Q63" s="31" t="s">
        <v>727</v>
      </c>
      <c r="R63" s="62"/>
      <c r="S63" s="62"/>
      <c r="T63" s="5"/>
    </row>
    <row r="64" spans="1:20">
      <c r="A64" s="2" t="s">
        <v>689</v>
      </c>
      <c r="B64" s="2" t="s">
        <v>734</v>
      </c>
      <c r="C64" s="2" t="s">
        <v>151</v>
      </c>
      <c r="D64" s="16">
        <v>60</v>
      </c>
      <c r="E64" s="2" t="s">
        <v>692</v>
      </c>
      <c r="F64" s="2" t="s">
        <v>728</v>
      </c>
      <c r="G64" s="2" t="s">
        <v>735</v>
      </c>
      <c r="H64" s="17">
        <v>111830</v>
      </c>
      <c r="I64" s="2"/>
      <c r="J64" s="2"/>
      <c r="K64" s="17">
        <v>111830</v>
      </c>
      <c r="L64" s="17">
        <v>11981.79</v>
      </c>
      <c r="M64" s="17">
        <v>99848.21</v>
      </c>
      <c r="N64" s="17">
        <v>111830</v>
      </c>
      <c r="O64" s="2"/>
      <c r="P64" s="2"/>
      <c r="Q64" s="31" t="s">
        <v>727</v>
      </c>
      <c r="R64" s="62"/>
      <c r="S64" s="62"/>
      <c r="T64" s="5"/>
    </row>
    <row r="65" spans="1:20">
      <c r="A65" s="2" t="s">
        <v>689</v>
      </c>
      <c r="B65" s="2" t="s">
        <v>736</v>
      </c>
      <c r="C65" s="2" t="s">
        <v>151</v>
      </c>
      <c r="D65" s="16">
        <v>60</v>
      </c>
      <c r="E65" s="2" t="s">
        <v>692</v>
      </c>
      <c r="F65" s="2" t="s">
        <v>728</v>
      </c>
      <c r="G65" s="2" t="s">
        <v>737</v>
      </c>
      <c r="H65" s="17">
        <v>313000</v>
      </c>
      <c r="I65" s="2"/>
      <c r="J65" s="2"/>
      <c r="K65" s="17">
        <v>313000</v>
      </c>
      <c r="L65" s="17">
        <v>33535.71</v>
      </c>
      <c r="M65" s="17">
        <v>279464.28999999998</v>
      </c>
      <c r="N65" s="17">
        <v>313000</v>
      </c>
      <c r="O65" s="2"/>
      <c r="P65" s="2"/>
      <c r="Q65" s="31" t="s">
        <v>727</v>
      </c>
      <c r="R65" s="62"/>
      <c r="S65" s="62"/>
      <c r="T65" s="5"/>
    </row>
    <row r="66" spans="1:20">
      <c r="A66" s="2" t="s">
        <v>689</v>
      </c>
      <c r="B66" s="2" t="s">
        <v>746</v>
      </c>
      <c r="C66" s="2" t="s">
        <v>151</v>
      </c>
      <c r="D66" s="16">
        <v>60</v>
      </c>
      <c r="E66" s="2" t="s">
        <v>692</v>
      </c>
      <c r="F66" s="2" t="s">
        <v>728</v>
      </c>
      <c r="G66" s="2" t="s">
        <v>747</v>
      </c>
      <c r="H66" s="17">
        <v>408480</v>
      </c>
      <c r="I66" s="2"/>
      <c r="J66" s="2"/>
      <c r="K66" s="17">
        <v>408480</v>
      </c>
      <c r="L66" s="17">
        <v>43765.71</v>
      </c>
      <c r="M66" s="17">
        <v>364714.29</v>
      </c>
      <c r="N66" s="17">
        <v>408480</v>
      </c>
      <c r="O66" s="2"/>
      <c r="P66" s="2"/>
      <c r="Q66" s="31" t="s">
        <v>727</v>
      </c>
      <c r="R66" s="62"/>
      <c r="S66" s="62"/>
      <c r="T66" s="5"/>
    </row>
    <row r="67" spans="1:20">
      <c r="A67" s="2" t="s">
        <v>689</v>
      </c>
      <c r="B67" s="2" t="s">
        <v>748</v>
      </c>
      <c r="C67" s="2" t="s">
        <v>151</v>
      </c>
      <c r="D67" s="16">
        <v>60</v>
      </c>
      <c r="E67" s="2" t="s">
        <v>692</v>
      </c>
      <c r="F67" s="2" t="s">
        <v>728</v>
      </c>
      <c r="G67" s="2" t="s">
        <v>749</v>
      </c>
      <c r="H67" s="17">
        <v>250400</v>
      </c>
      <c r="I67" s="2"/>
      <c r="J67" s="2"/>
      <c r="K67" s="17">
        <v>250400</v>
      </c>
      <c r="L67" s="17">
        <v>26828.57</v>
      </c>
      <c r="M67" s="17">
        <v>223571.43</v>
      </c>
      <c r="N67" s="17">
        <v>250400</v>
      </c>
      <c r="O67" s="2"/>
      <c r="P67" s="2"/>
      <c r="Q67" s="31" t="s">
        <v>727</v>
      </c>
      <c r="R67" s="63"/>
      <c r="S67" s="63"/>
      <c r="T67" s="5"/>
    </row>
    <row r="68" spans="1:20">
      <c r="A68" s="2" t="s">
        <v>1467</v>
      </c>
      <c r="B68" s="2" t="s">
        <v>1469</v>
      </c>
      <c r="C68" s="2" t="s">
        <v>18</v>
      </c>
      <c r="D68" s="16">
        <v>0</v>
      </c>
      <c r="E68" s="2" t="s">
        <v>1467</v>
      </c>
      <c r="F68" s="2" t="s">
        <v>1470</v>
      </c>
      <c r="G68" s="2" t="s">
        <v>1471</v>
      </c>
      <c r="H68" s="17">
        <v>107922</v>
      </c>
      <c r="I68" s="2"/>
      <c r="J68" s="17">
        <v>7500</v>
      </c>
      <c r="K68" s="17">
        <f>115422-J68</f>
        <v>107922</v>
      </c>
      <c r="L68" s="17">
        <v>12366.64</v>
      </c>
      <c r="M68" s="17">
        <v>103055.36</v>
      </c>
      <c r="N68" s="17">
        <v>115422</v>
      </c>
      <c r="O68" s="17" t="s">
        <v>1768</v>
      </c>
      <c r="P68" s="2"/>
      <c r="Q68" s="31" t="s">
        <v>25</v>
      </c>
      <c r="R68" s="32">
        <f>+K68</f>
        <v>107922</v>
      </c>
      <c r="S68" s="61">
        <f>+R68+R69+R70+R71+R72</f>
        <v>2849521</v>
      </c>
      <c r="T68" s="5"/>
    </row>
    <row r="69" spans="1:20">
      <c r="A69" s="2" t="s">
        <v>1217</v>
      </c>
      <c r="B69" s="2" t="s">
        <v>1241</v>
      </c>
      <c r="C69" s="2" t="s">
        <v>34</v>
      </c>
      <c r="D69" s="16">
        <v>60</v>
      </c>
      <c r="E69" s="2" t="s">
        <v>1223</v>
      </c>
      <c r="F69" s="2" t="s">
        <v>1242</v>
      </c>
      <c r="G69" s="2" t="s">
        <v>1243</v>
      </c>
      <c r="H69" s="17">
        <v>126034</v>
      </c>
      <c r="I69" s="2"/>
      <c r="J69" s="2"/>
      <c r="K69" s="17">
        <v>126034</v>
      </c>
      <c r="L69" s="17">
        <v>13503.64</v>
      </c>
      <c r="M69" s="17">
        <v>112530.36</v>
      </c>
      <c r="N69" s="17">
        <v>126034</v>
      </c>
      <c r="O69" s="2"/>
      <c r="P69" s="2"/>
      <c r="Q69" s="31" t="s">
        <v>25</v>
      </c>
      <c r="R69" s="32">
        <f>+K69</f>
        <v>126034</v>
      </c>
      <c r="S69" s="62"/>
      <c r="T69" s="5"/>
    </row>
    <row r="70" spans="1:20">
      <c r="A70" s="2" t="s">
        <v>866</v>
      </c>
      <c r="B70" s="2" t="s">
        <v>906</v>
      </c>
      <c r="C70" s="2" t="s">
        <v>146</v>
      </c>
      <c r="D70" s="16">
        <v>90</v>
      </c>
      <c r="E70" s="2" t="s">
        <v>885</v>
      </c>
      <c r="F70" s="2" t="s">
        <v>907</v>
      </c>
      <c r="G70" s="2" t="s">
        <v>908</v>
      </c>
      <c r="H70" s="17">
        <v>133902</v>
      </c>
      <c r="I70" s="2"/>
      <c r="J70" s="2"/>
      <c r="K70" s="17">
        <v>133902</v>
      </c>
      <c r="L70" s="17">
        <v>14346.64</v>
      </c>
      <c r="M70" s="17">
        <v>119555.36</v>
      </c>
      <c r="N70" s="17">
        <v>133902</v>
      </c>
      <c r="O70" s="2"/>
      <c r="P70" s="2"/>
      <c r="Q70" s="31" t="s">
        <v>25</v>
      </c>
      <c r="R70" s="32">
        <f>+K70</f>
        <v>133902</v>
      </c>
      <c r="S70" s="62"/>
      <c r="T70" s="5"/>
    </row>
    <row r="71" spans="1:20">
      <c r="A71" s="2" t="s">
        <v>1117</v>
      </c>
      <c r="B71" s="2" t="s">
        <v>1129</v>
      </c>
      <c r="C71" s="2" t="s">
        <v>18</v>
      </c>
      <c r="D71" s="16">
        <v>0</v>
      </c>
      <c r="E71" s="2" t="s">
        <v>1117</v>
      </c>
      <c r="F71" s="2" t="s">
        <v>1130</v>
      </c>
      <c r="G71" s="2" t="s">
        <v>1131</v>
      </c>
      <c r="H71" s="17">
        <v>104800</v>
      </c>
      <c r="I71" s="2"/>
      <c r="J71" s="2"/>
      <c r="K71" s="17">
        <v>104800</v>
      </c>
      <c r="L71" s="17">
        <v>11228.57</v>
      </c>
      <c r="M71" s="17">
        <v>93571.43</v>
      </c>
      <c r="N71" s="17">
        <v>104800</v>
      </c>
      <c r="O71" s="2"/>
      <c r="P71" s="2"/>
      <c r="Q71" s="31" t="s">
        <v>25</v>
      </c>
      <c r="R71" s="32">
        <f>+K71</f>
        <v>104800</v>
      </c>
      <c r="S71" s="62"/>
      <c r="T71" s="5"/>
    </row>
    <row r="72" spans="1:20">
      <c r="A72" s="2" t="s">
        <v>17</v>
      </c>
      <c r="B72" s="2" t="s">
        <v>22</v>
      </c>
      <c r="C72" s="2" t="s">
        <v>23</v>
      </c>
      <c r="D72" s="16">
        <v>30</v>
      </c>
      <c r="E72" s="2" t="s">
        <v>24</v>
      </c>
      <c r="F72" s="2" t="s">
        <v>26</v>
      </c>
      <c r="G72" s="2" t="s">
        <v>27</v>
      </c>
      <c r="H72" s="17">
        <v>344364.5</v>
      </c>
      <c r="I72" s="2"/>
      <c r="J72" s="2"/>
      <c r="K72" s="17">
        <v>344364.5</v>
      </c>
      <c r="L72" s="17">
        <v>36896.199999999997</v>
      </c>
      <c r="M72" s="17">
        <v>307468.3</v>
      </c>
      <c r="N72" s="17">
        <v>344364.5</v>
      </c>
      <c r="O72" s="2"/>
      <c r="P72" s="2"/>
      <c r="Q72" s="31" t="s">
        <v>25</v>
      </c>
      <c r="R72" s="61">
        <f>+K72+K73+K74+K75+K76+K77</f>
        <v>2376863</v>
      </c>
      <c r="S72" s="62"/>
      <c r="T72" s="5"/>
    </row>
    <row r="73" spans="1:20">
      <c r="A73" s="2" t="s">
        <v>1372</v>
      </c>
      <c r="B73" s="2" t="s">
        <v>1413</v>
      </c>
      <c r="C73" s="2" t="s">
        <v>64</v>
      </c>
      <c r="D73" s="16">
        <v>30</v>
      </c>
      <c r="E73" s="2" t="s">
        <v>1389</v>
      </c>
      <c r="F73" s="2" t="s">
        <v>26</v>
      </c>
      <c r="G73" s="2" t="s">
        <v>1414</v>
      </c>
      <c r="H73" s="17">
        <v>352731.5</v>
      </c>
      <c r="I73" s="2"/>
      <c r="J73" s="2"/>
      <c r="K73" s="17">
        <v>352731.5</v>
      </c>
      <c r="L73" s="17">
        <v>37792.660000000003</v>
      </c>
      <c r="M73" s="17">
        <v>314938.84000000003</v>
      </c>
      <c r="N73" s="17">
        <v>352731.5</v>
      </c>
      <c r="O73" s="2"/>
      <c r="P73" s="2"/>
      <c r="Q73" s="31" t="s">
        <v>25</v>
      </c>
      <c r="R73" s="62"/>
      <c r="S73" s="62"/>
      <c r="T73" s="5"/>
    </row>
    <row r="74" spans="1:20">
      <c r="A74" s="2" t="s">
        <v>1372</v>
      </c>
      <c r="B74" s="2" t="s">
        <v>1415</v>
      </c>
      <c r="C74" s="2" t="s">
        <v>64</v>
      </c>
      <c r="D74" s="16">
        <v>30</v>
      </c>
      <c r="E74" s="2" t="s">
        <v>1389</v>
      </c>
      <c r="F74" s="2" t="s">
        <v>26</v>
      </c>
      <c r="G74" s="2" t="s">
        <v>1416</v>
      </c>
      <c r="H74" s="17">
        <v>278419</v>
      </c>
      <c r="I74" s="2"/>
      <c r="J74" s="2"/>
      <c r="K74" s="17">
        <v>278419</v>
      </c>
      <c r="L74" s="17">
        <v>29830.61</v>
      </c>
      <c r="M74" s="17">
        <v>248588.39</v>
      </c>
      <c r="N74" s="17">
        <v>278419</v>
      </c>
      <c r="O74" s="2"/>
      <c r="P74" s="2"/>
      <c r="Q74" s="31" t="s">
        <v>25</v>
      </c>
      <c r="R74" s="62"/>
      <c r="S74" s="62"/>
      <c r="T74" s="5"/>
    </row>
    <row r="75" spans="1:20">
      <c r="A75" s="2" t="s">
        <v>1372</v>
      </c>
      <c r="B75" s="2" t="s">
        <v>1417</v>
      </c>
      <c r="C75" s="2" t="s">
        <v>64</v>
      </c>
      <c r="D75" s="16">
        <v>30</v>
      </c>
      <c r="E75" s="2" t="s">
        <v>1389</v>
      </c>
      <c r="F75" s="2" t="s">
        <v>26</v>
      </c>
      <c r="G75" s="2" t="s">
        <v>1418</v>
      </c>
      <c r="H75" s="17">
        <v>872800</v>
      </c>
      <c r="I75" s="2"/>
      <c r="J75" s="2"/>
      <c r="K75" s="17">
        <v>872800</v>
      </c>
      <c r="L75" s="17">
        <v>93514.29</v>
      </c>
      <c r="M75" s="17">
        <v>779285.71</v>
      </c>
      <c r="N75" s="17">
        <v>872800</v>
      </c>
      <c r="O75" s="2"/>
      <c r="P75" s="2"/>
      <c r="Q75" s="31" t="s">
        <v>25</v>
      </c>
      <c r="R75" s="62"/>
      <c r="S75" s="62"/>
      <c r="T75" s="5"/>
    </row>
    <row r="76" spans="1:20">
      <c r="A76" s="2" t="s">
        <v>1372</v>
      </c>
      <c r="B76" s="2" t="s">
        <v>1419</v>
      </c>
      <c r="C76" s="2" t="s">
        <v>64</v>
      </c>
      <c r="D76" s="16">
        <v>30</v>
      </c>
      <c r="E76" s="2" t="s">
        <v>1389</v>
      </c>
      <c r="F76" s="2" t="s">
        <v>26</v>
      </c>
      <c r="G76" s="2" t="s">
        <v>1420</v>
      </c>
      <c r="H76" s="17">
        <v>264274</v>
      </c>
      <c r="I76" s="2"/>
      <c r="J76" s="17">
        <v>35300</v>
      </c>
      <c r="K76" s="17">
        <f>299574-J76</f>
        <v>264274</v>
      </c>
      <c r="L76" s="17">
        <v>32097.21</v>
      </c>
      <c r="M76" s="17">
        <v>267476.78999999998</v>
      </c>
      <c r="N76" s="17">
        <v>299574</v>
      </c>
      <c r="O76" s="2"/>
      <c r="P76" s="2"/>
      <c r="Q76" s="31" t="s">
        <v>25</v>
      </c>
      <c r="R76" s="62"/>
      <c r="S76" s="62"/>
      <c r="T76" s="5"/>
    </row>
    <row r="77" spans="1:20">
      <c r="A77" s="2" t="s">
        <v>1553</v>
      </c>
      <c r="B77" s="2" t="s">
        <v>1586</v>
      </c>
      <c r="C77" s="2" t="s">
        <v>64</v>
      </c>
      <c r="D77" s="16">
        <v>30</v>
      </c>
      <c r="E77" s="2" t="s">
        <v>1569</v>
      </c>
      <c r="F77" s="2" t="s">
        <v>26</v>
      </c>
      <c r="G77" s="2" t="s">
        <v>1420</v>
      </c>
      <c r="H77" s="17">
        <v>264274</v>
      </c>
      <c r="I77" s="2"/>
      <c r="J77" s="17">
        <v>35300</v>
      </c>
      <c r="K77" s="17">
        <f>299574-J77</f>
        <v>264274</v>
      </c>
      <c r="L77" s="17">
        <v>32097.21</v>
      </c>
      <c r="M77" s="17">
        <v>267476.78999999998</v>
      </c>
      <c r="N77" s="17">
        <v>299574</v>
      </c>
      <c r="O77" s="2"/>
      <c r="P77" s="2"/>
      <c r="Q77" s="31" t="s">
        <v>25</v>
      </c>
      <c r="R77" s="63"/>
      <c r="S77" s="63"/>
      <c r="T77" s="5"/>
    </row>
    <row r="78" spans="1:20" hidden="1">
      <c r="A78" s="2" t="s">
        <v>915</v>
      </c>
      <c r="B78" s="2" t="s">
        <v>942</v>
      </c>
      <c r="C78" s="2" t="s">
        <v>104</v>
      </c>
      <c r="D78" s="16">
        <v>0</v>
      </c>
      <c r="E78" s="2" t="s">
        <v>915</v>
      </c>
      <c r="F78" s="2" t="s">
        <v>943</v>
      </c>
      <c r="G78" s="2" t="s">
        <v>944</v>
      </c>
      <c r="H78" s="17">
        <v>7500</v>
      </c>
      <c r="I78" s="2"/>
      <c r="J78" s="17">
        <v>7500</v>
      </c>
      <c r="K78" s="2">
        <v>0</v>
      </c>
      <c r="L78" s="2"/>
      <c r="M78" s="17">
        <v>7500</v>
      </c>
      <c r="N78" s="17">
        <v>7500</v>
      </c>
      <c r="O78" s="2" t="s">
        <v>1768</v>
      </c>
      <c r="P78" s="2"/>
      <c r="Q78" s="31" t="s">
        <v>25</v>
      </c>
      <c r="R78" s="5"/>
      <c r="S78" s="5"/>
      <c r="T78" s="5"/>
    </row>
    <row r="79" spans="1:20">
      <c r="A79" s="2" t="s">
        <v>1048</v>
      </c>
      <c r="B79" s="2" t="s">
        <v>1092</v>
      </c>
      <c r="C79" s="2" t="s">
        <v>60</v>
      </c>
      <c r="D79" s="16">
        <v>0</v>
      </c>
      <c r="E79" s="2" t="s">
        <v>1048</v>
      </c>
      <c r="F79" s="2" t="s">
        <v>1094</v>
      </c>
      <c r="G79" s="2" t="s">
        <v>1095</v>
      </c>
      <c r="H79" s="17">
        <v>220540</v>
      </c>
      <c r="I79" s="2"/>
      <c r="J79" s="2"/>
      <c r="K79" s="17">
        <v>220540</v>
      </c>
      <c r="L79" s="17">
        <v>23629.29</v>
      </c>
      <c r="M79" s="17">
        <v>196910.71</v>
      </c>
      <c r="N79" s="17">
        <v>220540</v>
      </c>
      <c r="O79" s="2"/>
      <c r="P79" s="2"/>
      <c r="Q79" s="31" t="s">
        <v>1093</v>
      </c>
      <c r="R79" s="32">
        <f>+K79</f>
        <v>220540</v>
      </c>
      <c r="S79" s="32">
        <f>+R79</f>
        <v>220540</v>
      </c>
      <c r="T79" s="5"/>
    </row>
    <row r="80" spans="1:20">
      <c r="A80" s="2" t="s">
        <v>368</v>
      </c>
      <c r="B80" s="2" t="s">
        <v>398</v>
      </c>
      <c r="C80" s="2" t="s">
        <v>162</v>
      </c>
      <c r="D80" s="16">
        <v>90</v>
      </c>
      <c r="E80" s="2" t="s">
        <v>383</v>
      </c>
      <c r="F80" s="2" t="s">
        <v>399</v>
      </c>
      <c r="G80" s="2" t="s">
        <v>400</v>
      </c>
      <c r="H80" s="17">
        <v>73090</v>
      </c>
      <c r="I80" s="2"/>
      <c r="J80" s="2"/>
      <c r="K80" s="17">
        <v>73090</v>
      </c>
      <c r="L80" s="17">
        <v>7831.07</v>
      </c>
      <c r="M80" s="17">
        <v>65258.93</v>
      </c>
      <c r="N80" s="17">
        <v>73090</v>
      </c>
      <c r="O80" s="2"/>
      <c r="P80" s="2"/>
      <c r="Q80" s="31" t="s">
        <v>204</v>
      </c>
      <c r="R80" s="64">
        <f>+K80+K81+K82+K83+K84</f>
        <v>206356</v>
      </c>
      <c r="S80" s="61">
        <f>+R80+R85+R87+R88+R90+R92+R93</f>
        <v>1047008</v>
      </c>
      <c r="T80" s="5"/>
    </row>
    <row r="81" spans="1:20">
      <c r="A81" s="2" t="s">
        <v>596</v>
      </c>
      <c r="B81" s="2" t="s">
        <v>616</v>
      </c>
      <c r="C81" s="2" t="s">
        <v>162</v>
      </c>
      <c r="D81" s="16">
        <v>90</v>
      </c>
      <c r="E81" s="2" t="s">
        <v>597</v>
      </c>
      <c r="F81" s="2" t="s">
        <v>399</v>
      </c>
      <c r="G81" s="2" t="s">
        <v>617</v>
      </c>
      <c r="H81" s="17">
        <v>24500</v>
      </c>
      <c r="I81" s="2"/>
      <c r="J81" s="2"/>
      <c r="K81" s="17">
        <v>24500</v>
      </c>
      <c r="L81" s="17">
        <v>2625</v>
      </c>
      <c r="M81" s="17">
        <v>21875</v>
      </c>
      <c r="N81" s="17">
        <v>24500</v>
      </c>
      <c r="O81" s="2"/>
      <c r="P81" s="2"/>
      <c r="Q81" s="31" t="s">
        <v>204</v>
      </c>
      <c r="R81" s="66"/>
      <c r="S81" s="62"/>
      <c r="T81" s="5"/>
    </row>
    <row r="82" spans="1:20">
      <c r="A82" s="2" t="s">
        <v>1467</v>
      </c>
      <c r="B82" s="2" t="s">
        <v>1524</v>
      </c>
      <c r="C82" s="2" t="s">
        <v>162</v>
      </c>
      <c r="D82" s="16">
        <v>90</v>
      </c>
      <c r="E82" s="2" t="s">
        <v>1479</v>
      </c>
      <c r="F82" s="2" t="s">
        <v>399</v>
      </c>
      <c r="G82" s="2" t="s">
        <v>1525</v>
      </c>
      <c r="H82" s="17">
        <v>27447</v>
      </c>
      <c r="I82" s="2"/>
      <c r="J82" s="2"/>
      <c r="K82" s="17">
        <v>27447</v>
      </c>
      <c r="L82" s="17">
        <v>2940.75</v>
      </c>
      <c r="M82" s="17">
        <v>24506.25</v>
      </c>
      <c r="N82" s="17">
        <v>27447</v>
      </c>
      <c r="O82" s="2"/>
      <c r="P82" s="2"/>
      <c r="Q82" s="31" t="s">
        <v>204</v>
      </c>
      <c r="R82" s="66"/>
      <c r="S82" s="62"/>
      <c r="T82" s="5"/>
    </row>
    <row r="83" spans="1:20">
      <c r="A83" s="2" t="s">
        <v>1467</v>
      </c>
      <c r="B83" s="2" t="s">
        <v>1526</v>
      </c>
      <c r="C83" s="2" t="s">
        <v>162</v>
      </c>
      <c r="D83" s="16">
        <v>90</v>
      </c>
      <c r="E83" s="2" t="s">
        <v>1479</v>
      </c>
      <c r="F83" s="2" t="s">
        <v>399</v>
      </c>
      <c r="G83" s="2" t="s">
        <v>1527</v>
      </c>
      <c r="H83" s="17">
        <v>54544</v>
      </c>
      <c r="I83" s="2"/>
      <c r="J83" s="2"/>
      <c r="K83" s="17">
        <v>54544</v>
      </c>
      <c r="L83" s="17">
        <v>5844</v>
      </c>
      <c r="M83" s="17">
        <v>48700</v>
      </c>
      <c r="N83" s="17">
        <v>54544</v>
      </c>
      <c r="O83" s="2"/>
      <c r="P83" s="2"/>
      <c r="Q83" s="31" t="s">
        <v>204</v>
      </c>
      <c r="R83" s="66"/>
      <c r="S83" s="62"/>
      <c r="T83" s="5"/>
    </row>
    <row r="84" spans="1:20">
      <c r="A84" s="2" t="s">
        <v>1467</v>
      </c>
      <c r="B84" s="2" t="s">
        <v>1528</v>
      </c>
      <c r="C84" s="2" t="s">
        <v>162</v>
      </c>
      <c r="D84" s="16">
        <v>90</v>
      </c>
      <c r="E84" s="2" t="s">
        <v>1479</v>
      </c>
      <c r="F84" s="2" t="s">
        <v>399</v>
      </c>
      <c r="G84" s="2" t="s">
        <v>1529</v>
      </c>
      <c r="H84" s="17">
        <v>26775</v>
      </c>
      <c r="I84" s="2"/>
      <c r="J84" s="2"/>
      <c r="K84" s="17">
        <v>26775</v>
      </c>
      <c r="L84" s="17">
        <v>2868.75</v>
      </c>
      <c r="M84" s="17">
        <v>23906.25</v>
      </c>
      <c r="N84" s="17">
        <v>26775</v>
      </c>
      <c r="O84" s="2"/>
      <c r="P84" s="2"/>
      <c r="Q84" s="31" t="s">
        <v>204</v>
      </c>
      <c r="R84" s="65"/>
      <c r="S84" s="62"/>
      <c r="T84" s="5"/>
    </row>
    <row r="85" spans="1:20">
      <c r="A85" s="2" t="s">
        <v>1553</v>
      </c>
      <c r="B85" s="2" t="s">
        <v>1613</v>
      </c>
      <c r="C85" s="2" t="s">
        <v>1011</v>
      </c>
      <c r="D85" s="16">
        <v>60</v>
      </c>
      <c r="E85" s="2" t="s">
        <v>1557</v>
      </c>
      <c r="F85" s="2" t="s">
        <v>1614</v>
      </c>
      <c r="G85" s="2" t="s">
        <v>1615</v>
      </c>
      <c r="H85" s="17">
        <v>163920</v>
      </c>
      <c r="I85" s="2"/>
      <c r="J85" s="2"/>
      <c r="K85" s="17">
        <v>163920</v>
      </c>
      <c r="L85" s="17">
        <v>17562.86</v>
      </c>
      <c r="M85" s="17">
        <v>146357.14000000001</v>
      </c>
      <c r="N85" s="17">
        <v>163920</v>
      </c>
      <c r="O85" s="2"/>
      <c r="P85" s="2"/>
      <c r="Q85" s="31" t="s">
        <v>204</v>
      </c>
      <c r="R85" s="64">
        <f>+K85+K86</f>
        <v>444898</v>
      </c>
      <c r="S85" s="62"/>
      <c r="T85" s="5"/>
    </row>
    <row r="86" spans="1:20">
      <c r="A86" s="2" t="s">
        <v>1553</v>
      </c>
      <c r="B86" s="2" t="s">
        <v>1616</v>
      </c>
      <c r="C86" s="2" t="s">
        <v>1011</v>
      </c>
      <c r="D86" s="16">
        <v>60</v>
      </c>
      <c r="E86" s="2" t="s">
        <v>1557</v>
      </c>
      <c r="F86" s="2" t="s">
        <v>1614</v>
      </c>
      <c r="G86" s="2" t="s">
        <v>1617</v>
      </c>
      <c r="H86" s="17">
        <v>280978</v>
      </c>
      <c r="I86" s="2"/>
      <c r="J86" s="2"/>
      <c r="K86" s="17">
        <v>280978</v>
      </c>
      <c r="L86" s="17">
        <v>30104.79</v>
      </c>
      <c r="M86" s="17">
        <v>250873.21</v>
      </c>
      <c r="N86" s="17">
        <v>280978</v>
      </c>
      <c r="O86" s="2"/>
      <c r="P86" s="2"/>
      <c r="Q86" s="31" t="s">
        <v>204</v>
      </c>
      <c r="R86" s="65"/>
      <c r="S86" s="62"/>
      <c r="T86" s="5"/>
    </row>
    <row r="87" spans="1:20">
      <c r="A87" s="2" t="s">
        <v>199</v>
      </c>
      <c r="B87" s="2" t="s">
        <v>203</v>
      </c>
      <c r="C87" s="2" t="s">
        <v>34</v>
      </c>
      <c r="D87" s="16">
        <v>60</v>
      </c>
      <c r="E87" s="2" t="s">
        <v>200</v>
      </c>
      <c r="F87" s="2" t="s">
        <v>205</v>
      </c>
      <c r="G87" s="2" t="s">
        <v>206</v>
      </c>
      <c r="H87" s="17">
        <v>45500</v>
      </c>
      <c r="I87" s="2"/>
      <c r="J87" s="2"/>
      <c r="K87" s="17">
        <v>45500</v>
      </c>
      <c r="L87" s="17">
        <v>4875</v>
      </c>
      <c r="M87" s="17">
        <v>40625</v>
      </c>
      <c r="N87" s="17">
        <v>45500</v>
      </c>
      <c r="O87" s="2"/>
      <c r="P87" s="2"/>
      <c r="Q87" s="31" t="s">
        <v>204</v>
      </c>
      <c r="R87" s="41">
        <f>+K87</f>
        <v>45500</v>
      </c>
      <c r="S87" s="62"/>
      <c r="T87" s="5"/>
    </row>
    <row r="88" spans="1:20">
      <c r="A88" s="2" t="s">
        <v>1117</v>
      </c>
      <c r="B88" s="2" t="s">
        <v>1155</v>
      </c>
      <c r="C88" s="2" t="s">
        <v>162</v>
      </c>
      <c r="D88" s="16">
        <v>90</v>
      </c>
      <c r="E88" s="2" t="s">
        <v>1156</v>
      </c>
      <c r="F88" s="2" t="s">
        <v>1157</v>
      </c>
      <c r="G88" s="2" t="s">
        <v>1158</v>
      </c>
      <c r="H88" s="17">
        <v>58498</v>
      </c>
      <c r="I88" s="2"/>
      <c r="J88" s="2"/>
      <c r="K88" s="17">
        <v>58498</v>
      </c>
      <c r="L88" s="17">
        <v>6267.64</v>
      </c>
      <c r="M88" s="17">
        <v>52230.36</v>
      </c>
      <c r="N88" s="17">
        <v>58498</v>
      </c>
      <c r="O88" s="2"/>
      <c r="P88" s="2"/>
      <c r="Q88" s="31" t="s">
        <v>204</v>
      </c>
      <c r="R88" s="64">
        <f>+K88+K89</f>
        <v>66802</v>
      </c>
      <c r="S88" s="62"/>
      <c r="T88" s="5"/>
    </row>
    <row r="89" spans="1:20">
      <c r="A89" s="2" t="s">
        <v>1117</v>
      </c>
      <c r="B89" s="2" t="s">
        <v>1159</v>
      </c>
      <c r="C89" s="2" t="s">
        <v>162</v>
      </c>
      <c r="D89" s="16">
        <v>90</v>
      </c>
      <c r="E89" s="2" t="s">
        <v>1156</v>
      </c>
      <c r="F89" s="2" t="s">
        <v>1157</v>
      </c>
      <c r="G89" s="2" t="s">
        <v>1160</v>
      </c>
      <c r="H89" s="17">
        <v>8304</v>
      </c>
      <c r="I89" s="2"/>
      <c r="J89" s="2"/>
      <c r="K89" s="17">
        <v>8304</v>
      </c>
      <c r="L89" s="18">
        <v>889.71</v>
      </c>
      <c r="M89" s="17">
        <v>7414.29</v>
      </c>
      <c r="N89" s="17">
        <v>8304</v>
      </c>
      <c r="O89" s="2"/>
      <c r="P89" s="2"/>
      <c r="Q89" s="31" t="s">
        <v>204</v>
      </c>
      <c r="R89" s="65"/>
      <c r="S89" s="62"/>
      <c r="T89" s="5"/>
    </row>
    <row r="90" spans="1:20">
      <c r="A90" s="2" t="s">
        <v>866</v>
      </c>
      <c r="B90" s="2" t="s">
        <v>903</v>
      </c>
      <c r="C90" s="2" t="s">
        <v>162</v>
      </c>
      <c r="D90" s="16">
        <v>90</v>
      </c>
      <c r="E90" s="2" t="s">
        <v>885</v>
      </c>
      <c r="F90" s="2" t="s">
        <v>904</v>
      </c>
      <c r="G90" s="2" t="s">
        <v>905</v>
      </c>
      <c r="H90" s="17">
        <v>80432</v>
      </c>
      <c r="I90" s="2"/>
      <c r="J90" s="2"/>
      <c r="K90" s="17">
        <v>80432</v>
      </c>
      <c r="L90" s="17">
        <v>8617.7099999999991</v>
      </c>
      <c r="M90" s="17">
        <v>71814.289999999994</v>
      </c>
      <c r="N90" s="17">
        <v>80432</v>
      </c>
      <c r="O90" s="2"/>
      <c r="P90" s="2"/>
      <c r="Q90" s="31" t="s">
        <v>204</v>
      </c>
      <c r="R90" s="64">
        <f>+K90+K91</f>
        <v>121532</v>
      </c>
      <c r="S90" s="62"/>
      <c r="T90" s="5"/>
    </row>
    <row r="91" spans="1:20">
      <c r="A91" s="2" t="s">
        <v>915</v>
      </c>
      <c r="B91" s="2" t="s">
        <v>945</v>
      </c>
      <c r="C91" s="2" t="s">
        <v>162</v>
      </c>
      <c r="D91" s="16">
        <v>90</v>
      </c>
      <c r="E91" s="2" t="s">
        <v>924</v>
      </c>
      <c r="F91" s="2" t="s">
        <v>904</v>
      </c>
      <c r="G91" s="2" t="s">
        <v>946</v>
      </c>
      <c r="H91" s="17">
        <v>41100</v>
      </c>
      <c r="I91" s="2"/>
      <c r="J91" s="2"/>
      <c r="K91" s="17">
        <v>41100</v>
      </c>
      <c r="L91" s="17">
        <v>4403.57</v>
      </c>
      <c r="M91" s="17">
        <v>36696.43</v>
      </c>
      <c r="N91" s="17">
        <v>41100</v>
      </c>
      <c r="O91" s="2"/>
      <c r="P91" s="2"/>
      <c r="Q91" s="31" t="s">
        <v>204</v>
      </c>
      <c r="R91" s="65"/>
      <c r="S91" s="62"/>
      <c r="T91" s="5"/>
    </row>
    <row r="92" spans="1:20">
      <c r="A92" s="2" t="s">
        <v>1372</v>
      </c>
      <c r="B92" s="2" t="s">
        <v>1375</v>
      </c>
      <c r="C92" s="2" t="s">
        <v>162</v>
      </c>
      <c r="D92" s="16">
        <v>90</v>
      </c>
      <c r="E92" s="2" t="s">
        <v>1376</v>
      </c>
      <c r="F92" s="2" t="s">
        <v>1377</v>
      </c>
      <c r="G92" s="2" t="s">
        <v>1378</v>
      </c>
      <c r="H92" s="17">
        <v>116200</v>
      </c>
      <c r="I92" s="2"/>
      <c r="J92" s="2"/>
      <c r="K92" s="17">
        <v>116200</v>
      </c>
      <c r="L92" s="17">
        <v>12450</v>
      </c>
      <c r="M92" s="17">
        <v>103750</v>
      </c>
      <c r="N92" s="17">
        <v>116200</v>
      </c>
      <c r="O92" s="2"/>
      <c r="P92" s="2"/>
      <c r="Q92" s="31" t="s">
        <v>204</v>
      </c>
      <c r="R92" s="41">
        <f>+K92</f>
        <v>116200</v>
      </c>
      <c r="S92" s="62"/>
      <c r="T92" s="5"/>
    </row>
    <row r="93" spans="1:20">
      <c r="A93" s="2" t="s">
        <v>1287</v>
      </c>
      <c r="B93" s="2" t="s">
        <v>1314</v>
      </c>
      <c r="C93" s="2" t="s">
        <v>162</v>
      </c>
      <c r="D93" s="16">
        <v>90</v>
      </c>
      <c r="E93" s="2" t="s">
        <v>1315</v>
      </c>
      <c r="F93" s="2" t="s">
        <v>1316</v>
      </c>
      <c r="G93" s="2" t="s">
        <v>1317</v>
      </c>
      <c r="H93" s="17">
        <v>45720</v>
      </c>
      <c r="I93" s="2"/>
      <c r="J93" s="2"/>
      <c r="K93" s="17">
        <v>45720</v>
      </c>
      <c r="L93" s="17">
        <v>4898.57</v>
      </c>
      <c r="M93" s="17">
        <v>40821.43</v>
      </c>
      <c r="N93" s="17">
        <v>45720</v>
      </c>
      <c r="O93" s="2"/>
      <c r="P93" s="2"/>
      <c r="Q93" s="31" t="s">
        <v>204</v>
      </c>
      <c r="R93" s="39">
        <f>+K93</f>
        <v>45720</v>
      </c>
      <c r="S93" s="63"/>
      <c r="T93" s="5"/>
    </row>
    <row r="94" spans="1:20">
      <c r="A94" s="2" t="s">
        <v>1553</v>
      </c>
      <c r="B94" s="2" t="s">
        <v>1579</v>
      </c>
      <c r="C94" s="2" t="s">
        <v>146</v>
      </c>
      <c r="D94" s="16">
        <v>90</v>
      </c>
      <c r="E94" s="2" t="s">
        <v>1554</v>
      </c>
      <c r="F94" s="2" t="s">
        <v>1580</v>
      </c>
      <c r="G94" s="2" t="s">
        <v>1581</v>
      </c>
      <c r="H94" s="17">
        <v>2105000</v>
      </c>
      <c r="I94" s="2"/>
      <c r="J94" s="2"/>
      <c r="K94" s="17">
        <v>2105000</v>
      </c>
      <c r="L94" s="17">
        <v>225535.71</v>
      </c>
      <c r="M94" s="17">
        <v>1879464.29</v>
      </c>
      <c r="N94" s="17">
        <v>2105000</v>
      </c>
      <c r="O94" s="2"/>
      <c r="P94" s="2"/>
      <c r="Q94" s="31" t="s">
        <v>759</v>
      </c>
      <c r="R94" s="61">
        <f>+K94+K95</f>
        <v>3601900</v>
      </c>
      <c r="S94" s="61">
        <f>+R94+R96+R99+R100+R102</f>
        <v>8375219</v>
      </c>
      <c r="T94" s="5"/>
    </row>
    <row r="95" spans="1:20">
      <c r="A95" s="2" t="s">
        <v>1553</v>
      </c>
      <c r="B95" s="2" t="s">
        <v>1582</v>
      </c>
      <c r="C95" s="2" t="s">
        <v>146</v>
      </c>
      <c r="D95" s="16">
        <v>90</v>
      </c>
      <c r="E95" s="2" t="s">
        <v>1554</v>
      </c>
      <c r="F95" s="2" t="s">
        <v>1580</v>
      </c>
      <c r="G95" s="2" t="s">
        <v>1583</v>
      </c>
      <c r="H95" s="17">
        <v>1496900</v>
      </c>
      <c r="I95" s="2"/>
      <c r="J95" s="2"/>
      <c r="K95" s="17">
        <v>1496900</v>
      </c>
      <c r="L95" s="17">
        <v>160382.14000000001</v>
      </c>
      <c r="M95" s="17">
        <v>1336517.8600000001</v>
      </c>
      <c r="N95" s="17">
        <v>1496900</v>
      </c>
      <c r="O95" s="2"/>
      <c r="P95" s="2"/>
      <c r="Q95" s="31" t="s">
        <v>759</v>
      </c>
      <c r="R95" s="63"/>
      <c r="S95" s="62"/>
      <c r="T95" s="5"/>
    </row>
    <row r="96" spans="1:20">
      <c r="A96" s="2" t="s">
        <v>689</v>
      </c>
      <c r="B96" s="2" t="s">
        <v>758</v>
      </c>
      <c r="C96" s="2" t="s">
        <v>237</v>
      </c>
      <c r="D96" s="16">
        <v>60</v>
      </c>
      <c r="E96" s="2" t="s">
        <v>692</v>
      </c>
      <c r="F96" s="2" t="s">
        <v>760</v>
      </c>
      <c r="G96" s="2" t="s">
        <v>761</v>
      </c>
      <c r="H96" s="17">
        <v>89550</v>
      </c>
      <c r="I96" s="2"/>
      <c r="J96" s="2"/>
      <c r="K96" s="17">
        <v>89550</v>
      </c>
      <c r="L96" s="17">
        <v>9594.64</v>
      </c>
      <c r="M96" s="17">
        <v>79955.360000000001</v>
      </c>
      <c r="N96" s="17">
        <v>89550</v>
      </c>
      <c r="O96" s="2"/>
      <c r="P96" s="2"/>
      <c r="Q96" s="31" t="s">
        <v>759</v>
      </c>
      <c r="R96" s="61">
        <f>+K96+K97+K98</f>
        <v>574350</v>
      </c>
      <c r="S96" s="62"/>
      <c r="T96" s="5"/>
    </row>
    <row r="97" spans="1:20">
      <c r="A97" s="2" t="s">
        <v>1372</v>
      </c>
      <c r="B97" s="2" t="s">
        <v>1426</v>
      </c>
      <c r="C97" s="2" t="s">
        <v>237</v>
      </c>
      <c r="D97" s="16">
        <v>60</v>
      </c>
      <c r="E97" s="2" t="s">
        <v>1373</v>
      </c>
      <c r="F97" s="2" t="s">
        <v>760</v>
      </c>
      <c r="G97" s="2" t="s">
        <v>1427</v>
      </c>
      <c r="H97" s="17">
        <v>242400</v>
      </c>
      <c r="I97" s="2"/>
      <c r="J97" s="2"/>
      <c r="K97" s="17">
        <v>242400</v>
      </c>
      <c r="L97" s="17">
        <v>25971.43</v>
      </c>
      <c r="M97" s="17">
        <v>216428.57</v>
      </c>
      <c r="N97" s="17">
        <v>242400</v>
      </c>
      <c r="O97" s="2"/>
      <c r="P97" s="2"/>
      <c r="Q97" s="31" t="s">
        <v>759</v>
      </c>
      <c r="R97" s="62"/>
      <c r="S97" s="62"/>
      <c r="T97" s="5"/>
    </row>
    <row r="98" spans="1:20">
      <c r="A98" s="2" t="s">
        <v>1372</v>
      </c>
      <c r="B98" s="2" t="s">
        <v>1428</v>
      </c>
      <c r="C98" s="2" t="s">
        <v>237</v>
      </c>
      <c r="D98" s="16">
        <v>60</v>
      </c>
      <c r="E98" s="2" t="s">
        <v>1373</v>
      </c>
      <c r="F98" s="2" t="s">
        <v>760</v>
      </c>
      <c r="G98" s="2" t="s">
        <v>1429</v>
      </c>
      <c r="H98" s="17">
        <v>242400</v>
      </c>
      <c r="I98" s="2"/>
      <c r="J98" s="2"/>
      <c r="K98" s="17">
        <v>242400</v>
      </c>
      <c r="L98" s="17">
        <v>25971.43</v>
      </c>
      <c r="M98" s="17">
        <v>216428.57</v>
      </c>
      <c r="N98" s="17">
        <v>242400</v>
      </c>
      <c r="O98" s="2"/>
      <c r="P98" s="2"/>
      <c r="Q98" s="31" t="s">
        <v>759</v>
      </c>
      <c r="R98" s="63"/>
      <c r="S98" s="62"/>
      <c r="T98" s="5"/>
    </row>
    <row r="99" spans="1:20">
      <c r="A99" s="2" t="s">
        <v>1217</v>
      </c>
      <c r="B99" s="2" t="s">
        <v>1254</v>
      </c>
      <c r="C99" s="2" t="s">
        <v>146</v>
      </c>
      <c r="D99" s="16">
        <v>90</v>
      </c>
      <c r="E99" s="2" t="s">
        <v>1235</v>
      </c>
      <c r="F99" s="2" t="s">
        <v>1255</v>
      </c>
      <c r="G99" s="2" t="s">
        <v>1256</v>
      </c>
      <c r="H99" s="17">
        <v>2280000</v>
      </c>
      <c r="I99" s="2"/>
      <c r="J99" s="2"/>
      <c r="K99" s="17">
        <v>2280000</v>
      </c>
      <c r="L99" s="17">
        <v>244285.71</v>
      </c>
      <c r="M99" s="17">
        <v>2035714.29</v>
      </c>
      <c r="N99" s="17">
        <v>2280000</v>
      </c>
      <c r="O99" s="2"/>
      <c r="P99" s="2"/>
      <c r="Q99" s="31" t="s">
        <v>759</v>
      </c>
      <c r="R99" s="32">
        <f>+K99</f>
        <v>2280000</v>
      </c>
      <c r="S99" s="62"/>
      <c r="T99" s="5"/>
    </row>
    <row r="100" spans="1:20">
      <c r="A100" s="2" t="s">
        <v>689</v>
      </c>
      <c r="B100" s="2" t="s">
        <v>765</v>
      </c>
      <c r="C100" s="2" t="s">
        <v>146</v>
      </c>
      <c r="D100" s="16">
        <v>90</v>
      </c>
      <c r="E100" s="2" t="s">
        <v>751</v>
      </c>
      <c r="F100" s="2" t="s">
        <v>766</v>
      </c>
      <c r="G100" s="2" t="s">
        <v>767</v>
      </c>
      <c r="H100" s="17">
        <v>89550</v>
      </c>
      <c r="I100" s="2"/>
      <c r="J100" s="2"/>
      <c r="K100" s="17">
        <v>89550</v>
      </c>
      <c r="L100" s="17">
        <v>9594.64</v>
      </c>
      <c r="M100" s="17">
        <v>79955.360000000001</v>
      </c>
      <c r="N100" s="17">
        <v>89550</v>
      </c>
      <c r="O100" s="2"/>
      <c r="P100" s="2"/>
      <c r="Q100" s="31" t="s">
        <v>759</v>
      </c>
      <c r="R100" s="61">
        <f>+K100+K101</f>
        <v>331911</v>
      </c>
      <c r="S100" s="62"/>
      <c r="T100" s="5"/>
    </row>
    <row r="101" spans="1:20">
      <c r="A101" s="2" t="s">
        <v>915</v>
      </c>
      <c r="B101" s="2" t="s">
        <v>923</v>
      </c>
      <c r="C101" s="2" t="s">
        <v>146</v>
      </c>
      <c r="D101" s="16">
        <v>90</v>
      </c>
      <c r="E101" s="2" t="s">
        <v>924</v>
      </c>
      <c r="F101" s="2" t="s">
        <v>766</v>
      </c>
      <c r="G101" s="2" t="s">
        <v>925</v>
      </c>
      <c r="H101" s="17">
        <v>242361</v>
      </c>
      <c r="I101" s="2"/>
      <c r="J101" s="2"/>
      <c r="K101" s="17">
        <v>242361</v>
      </c>
      <c r="L101" s="17">
        <v>25967.25</v>
      </c>
      <c r="M101" s="17">
        <v>216393.75</v>
      </c>
      <c r="N101" s="17">
        <v>242361</v>
      </c>
      <c r="O101" s="2"/>
      <c r="P101" s="2"/>
      <c r="Q101" s="31" t="s">
        <v>759</v>
      </c>
      <c r="R101" s="63"/>
      <c r="S101" s="62"/>
      <c r="T101" s="5"/>
    </row>
    <row r="102" spans="1:20">
      <c r="A102" s="2" t="s">
        <v>689</v>
      </c>
      <c r="B102" s="2" t="s">
        <v>762</v>
      </c>
      <c r="C102" s="2" t="s">
        <v>146</v>
      </c>
      <c r="D102" s="16">
        <v>90</v>
      </c>
      <c r="E102" s="2" t="s">
        <v>751</v>
      </c>
      <c r="F102" s="2" t="s">
        <v>763</v>
      </c>
      <c r="G102" s="2" t="s">
        <v>764</v>
      </c>
      <c r="H102" s="17">
        <v>49500</v>
      </c>
      <c r="I102" s="2"/>
      <c r="J102" s="2"/>
      <c r="K102" s="17">
        <v>49500</v>
      </c>
      <c r="L102" s="17">
        <v>5303.57</v>
      </c>
      <c r="M102" s="17">
        <v>44196.43</v>
      </c>
      <c r="N102" s="17">
        <v>49500</v>
      </c>
      <c r="O102" s="2"/>
      <c r="P102" s="2"/>
      <c r="Q102" s="31" t="s">
        <v>759</v>
      </c>
      <c r="R102" s="61">
        <f>+K102+K103+K104+K105</f>
        <v>1587058</v>
      </c>
      <c r="S102" s="62"/>
      <c r="T102" s="5"/>
    </row>
    <row r="103" spans="1:20">
      <c r="A103" s="2" t="s">
        <v>971</v>
      </c>
      <c r="B103" s="2" t="s">
        <v>985</v>
      </c>
      <c r="C103" s="2" t="s">
        <v>162</v>
      </c>
      <c r="D103" s="16">
        <v>90</v>
      </c>
      <c r="E103" s="2" t="s">
        <v>986</v>
      </c>
      <c r="F103" s="2" t="s">
        <v>763</v>
      </c>
      <c r="G103" s="2" t="s">
        <v>987</v>
      </c>
      <c r="H103" s="17">
        <v>20070</v>
      </c>
      <c r="I103" s="2"/>
      <c r="J103" s="2"/>
      <c r="K103" s="17">
        <v>20070</v>
      </c>
      <c r="L103" s="17">
        <v>2150.36</v>
      </c>
      <c r="M103" s="17">
        <v>17919.64</v>
      </c>
      <c r="N103" s="17">
        <v>20070</v>
      </c>
      <c r="O103" s="2"/>
      <c r="P103" s="2"/>
      <c r="Q103" s="31" t="s">
        <v>759</v>
      </c>
      <c r="R103" s="62"/>
      <c r="S103" s="62"/>
      <c r="T103" s="5"/>
    </row>
    <row r="104" spans="1:20">
      <c r="A104" s="2" t="s">
        <v>971</v>
      </c>
      <c r="B104" s="2" t="s">
        <v>988</v>
      </c>
      <c r="C104" s="2" t="s">
        <v>162</v>
      </c>
      <c r="D104" s="16">
        <v>90</v>
      </c>
      <c r="E104" s="2" t="s">
        <v>986</v>
      </c>
      <c r="F104" s="2" t="s">
        <v>763</v>
      </c>
      <c r="G104" s="2" t="s">
        <v>989</v>
      </c>
      <c r="H104" s="17">
        <v>781060</v>
      </c>
      <c r="I104" s="2"/>
      <c r="J104" s="2"/>
      <c r="K104" s="17">
        <v>781060</v>
      </c>
      <c r="L104" s="17">
        <v>83685</v>
      </c>
      <c r="M104" s="17">
        <v>697375</v>
      </c>
      <c r="N104" s="17">
        <v>781060</v>
      </c>
      <c r="O104" s="2"/>
      <c r="P104" s="2"/>
      <c r="Q104" s="31" t="s">
        <v>759</v>
      </c>
      <c r="R104" s="62"/>
      <c r="S104" s="62"/>
      <c r="T104" s="5"/>
    </row>
    <row r="105" spans="1:20">
      <c r="A105" s="2" t="s">
        <v>1467</v>
      </c>
      <c r="B105" s="2" t="s">
        <v>1522</v>
      </c>
      <c r="C105" s="2" t="s">
        <v>162</v>
      </c>
      <c r="D105" s="16">
        <v>90</v>
      </c>
      <c r="E105" s="2" t="s">
        <v>1479</v>
      </c>
      <c r="F105" s="2" t="s">
        <v>763</v>
      </c>
      <c r="G105" s="2" t="s">
        <v>1523</v>
      </c>
      <c r="H105" s="17">
        <v>736428</v>
      </c>
      <c r="I105" s="2"/>
      <c r="J105" s="2"/>
      <c r="K105" s="17">
        <v>736428</v>
      </c>
      <c r="L105" s="17">
        <v>78903</v>
      </c>
      <c r="M105" s="17">
        <v>657525</v>
      </c>
      <c r="N105" s="17">
        <v>736428</v>
      </c>
      <c r="O105" s="2"/>
      <c r="P105" s="2"/>
      <c r="Q105" s="31" t="s">
        <v>759</v>
      </c>
      <c r="R105" s="63"/>
      <c r="S105" s="63"/>
      <c r="T105" s="5"/>
    </row>
    <row r="106" spans="1:20">
      <c r="A106" s="2" t="s">
        <v>368</v>
      </c>
      <c r="B106" s="2" t="s">
        <v>422</v>
      </c>
      <c r="C106" s="2" t="s">
        <v>162</v>
      </c>
      <c r="D106" s="16">
        <v>90</v>
      </c>
      <c r="E106" s="2" t="s">
        <v>383</v>
      </c>
      <c r="F106" s="2" t="s">
        <v>424</v>
      </c>
      <c r="G106" s="2" t="s">
        <v>425</v>
      </c>
      <c r="H106" s="17">
        <v>32000</v>
      </c>
      <c r="I106" s="2"/>
      <c r="J106" s="2"/>
      <c r="K106" s="17">
        <v>32000</v>
      </c>
      <c r="L106" s="17">
        <v>3428.57</v>
      </c>
      <c r="M106" s="17">
        <v>28571.43</v>
      </c>
      <c r="N106" s="17">
        <v>32000</v>
      </c>
      <c r="O106" s="2"/>
      <c r="P106" s="2"/>
      <c r="Q106" s="31" t="s">
        <v>423</v>
      </c>
      <c r="R106" s="61">
        <f>+K106+K107+K108</f>
        <v>137000</v>
      </c>
      <c r="S106" s="61">
        <f>+R106</f>
        <v>137000</v>
      </c>
      <c r="T106" s="5"/>
    </row>
    <row r="107" spans="1:20">
      <c r="A107" s="2" t="s">
        <v>637</v>
      </c>
      <c r="B107" s="2" t="s">
        <v>675</v>
      </c>
      <c r="C107" s="2" t="s">
        <v>162</v>
      </c>
      <c r="D107" s="16">
        <v>90</v>
      </c>
      <c r="E107" s="2" t="s">
        <v>655</v>
      </c>
      <c r="F107" s="2" t="s">
        <v>424</v>
      </c>
      <c r="G107" s="2" t="s">
        <v>676</v>
      </c>
      <c r="H107" s="17">
        <v>88200</v>
      </c>
      <c r="I107" s="2"/>
      <c r="J107" s="2"/>
      <c r="K107" s="17">
        <v>88200</v>
      </c>
      <c r="L107" s="17">
        <v>9450</v>
      </c>
      <c r="M107" s="17">
        <v>78750</v>
      </c>
      <c r="N107" s="17">
        <v>88200</v>
      </c>
      <c r="O107" s="2"/>
      <c r="P107" s="2"/>
      <c r="Q107" s="31" t="s">
        <v>423</v>
      </c>
      <c r="R107" s="62"/>
      <c r="S107" s="62"/>
      <c r="T107" s="5"/>
    </row>
    <row r="108" spans="1:20">
      <c r="A108" s="2" t="s">
        <v>1287</v>
      </c>
      <c r="B108" s="2" t="s">
        <v>1369</v>
      </c>
      <c r="C108" s="2" t="s">
        <v>162</v>
      </c>
      <c r="D108" s="16">
        <v>90</v>
      </c>
      <c r="E108" s="2" t="s">
        <v>1315</v>
      </c>
      <c r="F108" s="2" t="s">
        <v>424</v>
      </c>
      <c r="G108" s="2" t="s">
        <v>1370</v>
      </c>
      <c r="H108" s="17">
        <v>16800</v>
      </c>
      <c r="I108" s="2"/>
      <c r="J108" s="2"/>
      <c r="K108" s="17">
        <v>16800</v>
      </c>
      <c r="L108" s="17">
        <v>1800</v>
      </c>
      <c r="M108" s="17">
        <v>15000</v>
      </c>
      <c r="N108" s="17">
        <v>16800</v>
      </c>
      <c r="O108" s="2"/>
      <c r="P108" s="2"/>
      <c r="Q108" s="31" t="s">
        <v>423</v>
      </c>
      <c r="R108" s="63"/>
      <c r="S108" s="63"/>
      <c r="T108" s="5"/>
    </row>
    <row r="109" spans="1:20">
      <c r="A109" s="2" t="s">
        <v>368</v>
      </c>
      <c r="B109" s="2" t="s">
        <v>405</v>
      </c>
      <c r="C109" s="2" t="s">
        <v>60</v>
      </c>
      <c r="D109" s="16">
        <v>0</v>
      </c>
      <c r="E109" s="2" t="s">
        <v>368</v>
      </c>
      <c r="F109" s="2" t="s">
        <v>406</v>
      </c>
      <c r="G109" s="2" t="s">
        <v>407</v>
      </c>
      <c r="H109" s="17">
        <v>117600</v>
      </c>
      <c r="I109" s="19">
        <v>-3528</v>
      </c>
      <c r="J109" s="2"/>
      <c r="K109" s="17">
        <v>114072</v>
      </c>
      <c r="L109" s="17">
        <v>12222</v>
      </c>
      <c r="M109" s="17">
        <v>101850</v>
      </c>
      <c r="N109" s="17">
        <v>114072</v>
      </c>
      <c r="O109" s="2"/>
      <c r="P109" s="2"/>
      <c r="Q109" s="31" t="s">
        <v>30</v>
      </c>
      <c r="R109" s="64">
        <f>+K109+K110</f>
        <v>820232</v>
      </c>
      <c r="S109" s="61">
        <f>+R109+R111+R114+R115+R116+R118+R119+R120+R122+R125+R126+R132+R133+R134+R174+R176+R179+R183+R184+R195+R200</f>
        <v>16117059.59</v>
      </c>
      <c r="T109" s="5"/>
    </row>
    <row r="110" spans="1:20">
      <c r="A110" s="2" t="s">
        <v>1553</v>
      </c>
      <c r="B110" s="2" t="s">
        <v>1591</v>
      </c>
      <c r="C110" s="2" t="s">
        <v>60</v>
      </c>
      <c r="D110" s="16">
        <v>0</v>
      </c>
      <c r="E110" s="2" t="s">
        <v>1553</v>
      </c>
      <c r="F110" s="2" t="s">
        <v>406</v>
      </c>
      <c r="G110" s="2" t="s">
        <v>1592</v>
      </c>
      <c r="H110" s="17">
        <v>728000</v>
      </c>
      <c r="I110" s="19">
        <v>-21840</v>
      </c>
      <c r="J110" s="2"/>
      <c r="K110" s="17">
        <v>706160</v>
      </c>
      <c r="L110" s="17">
        <v>75660</v>
      </c>
      <c r="M110" s="17">
        <v>630500</v>
      </c>
      <c r="N110" s="17">
        <v>706160</v>
      </c>
      <c r="O110" s="2"/>
      <c r="P110" s="2"/>
      <c r="Q110" s="31" t="s">
        <v>30</v>
      </c>
      <c r="R110" s="65"/>
      <c r="S110" s="62"/>
      <c r="T110" s="5"/>
    </row>
    <row r="111" spans="1:20">
      <c r="A111" s="2" t="s">
        <v>448</v>
      </c>
      <c r="B111" s="2" t="s">
        <v>489</v>
      </c>
      <c r="C111" s="2" t="s">
        <v>104</v>
      </c>
      <c r="D111" s="16">
        <v>0</v>
      </c>
      <c r="E111" s="2" t="s">
        <v>448</v>
      </c>
      <c r="F111" s="2" t="s">
        <v>490</v>
      </c>
      <c r="G111" s="2" t="s">
        <v>491</v>
      </c>
      <c r="H111" s="17">
        <v>625460</v>
      </c>
      <c r="I111" s="2"/>
      <c r="J111" s="2"/>
      <c r="K111" s="17">
        <v>625460</v>
      </c>
      <c r="L111" s="17">
        <v>67013.570000000007</v>
      </c>
      <c r="M111" s="17">
        <v>558446.43000000005</v>
      </c>
      <c r="N111" s="17">
        <v>625460</v>
      </c>
      <c r="O111" s="2"/>
      <c r="P111" s="2"/>
      <c r="Q111" s="31" t="s">
        <v>30</v>
      </c>
      <c r="R111" s="64">
        <f>+K111+K112+K113</f>
        <v>1698032</v>
      </c>
      <c r="S111" s="62"/>
      <c r="T111" s="5"/>
    </row>
    <row r="112" spans="1:20">
      <c r="A112" s="2" t="s">
        <v>689</v>
      </c>
      <c r="B112" s="2" t="s">
        <v>740</v>
      </c>
      <c r="C112" s="2" t="s">
        <v>104</v>
      </c>
      <c r="D112" s="16">
        <v>0</v>
      </c>
      <c r="E112" s="2" t="s">
        <v>689</v>
      </c>
      <c r="F112" s="2" t="s">
        <v>490</v>
      </c>
      <c r="G112" s="2" t="s">
        <v>741</v>
      </c>
      <c r="H112" s="17">
        <v>770100</v>
      </c>
      <c r="I112" s="2"/>
      <c r="J112" s="2"/>
      <c r="K112" s="17">
        <v>770100</v>
      </c>
      <c r="L112" s="17">
        <v>82510.710000000006</v>
      </c>
      <c r="M112" s="17">
        <v>687589.29</v>
      </c>
      <c r="N112" s="17">
        <v>770100</v>
      </c>
      <c r="O112" s="2"/>
      <c r="P112" s="2"/>
      <c r="Q112" s="31" t="s">
        <v>30</v>
      </c>
      <c r="R112" s="66"/>
      <c r="S112" s="62"/>
      <c r="T112" s="5"/>
    </row>
    <row r="113" spans="1:20">
      <c r="A113" s="2" t="s">
        <v>769</v>
      </c>
      <c r="B113" s="2" t="s">
        <v>843</v>
      </c>
      <c r="C113" s="2" t="s">
        <v>104</v>
      </c>
      <c r="D113" s="16">
        <v>0</v>
      </c>
      <c r="E113" s="2" t="s">
        <v>769</v>
      </c>
      <c r="F113" s="2" t="s">
        <v>490</v>
      </c>
      <c r="G113" s="2" t="s">
        <v>844</v>
      </c>
      <c r="H113" s="17">
        <v>302472</v>
      </c>
      <c r="I113" s="2"/>
      <c r="J113" s="2"/>
      <c r="K113" s="17">
        <v>302472</v>
      </c>
      <c r="L113" s="17">
        <v>32407.71</v>
      </c>
      <c r="M113" s="17">
        <v>270064.28999999998</v>
      </c>
      <c r="N113" s="17">
        <v>302472</v>
      </c>
      <c r="O113" s="2"/>
      <c r="P113" s="2"/>
      <c r="Q113" s="31" t="s">
        <v>30</v>
      </c>
      <c r="R113" s="65"/>
      <c r="S113" s="62"/>
      <c r="T113" s="5"/>
    </row>
    <row r="114" spans="1:20">
      <c r="A114" s="2" t="s">
        <v>505</v>
      </c>
      <c r="B114" s="2" t="s">
        <v>585</v>
      </c>
      <c r="C114" s="2" t="s">
        <v>18</v>
      </c>
      <c r="D114" s="16">
        <v>0</v>
      </c>
      <c r="E114" s="2" t="s">
        <v>505</v>
      </c>
      <c r="F114" s="2" t="s">
        <v>586</v>
      </c>
      <c r="G114" s="2" t="s">
        <v>587</v>
      </c>
      <c r="H114" s="17">
        <v>140000</v>
      </c>
      <c r="I114" s="2"/>
      <c r="J114" s="2"/>
      <c r="K114" s="17">
        <v>140000</v>
      </c>
      <c r="L114" s="17">
        <v>15000</v>
      </c>
      <c r="M114" s="17">
        <v>125000</v>
      </c>
      <c r="N114" s="17">
        <v>140000</v>
      </c>
      <c r="O114" s="2"/>
      <c r="P114" s="2"/>
      <c r="Q114" s="31" t="s">
        <v>30</v>
      </c>
      <c r="R114" s="41">
        <f>+K114</f>
        <v>140000</v>
      </c>
      <c r="S114" s="62"/>
      <c r="T114" s="5"/>
    </row>
    <row r="115" spans="1:20">
      <c r="A115" s="2" t="s">
        <v>93</v>
      </c>
      <c r="B115" s="2" t="s">
        <v>131</v>
      </c>
      <c r="C115" s="2" t="s">
        <v>132</v>
      </c>
      <c r="D115" s="16">
        <v>0</v>
      </c>
      <c r="E115" s="2" t="s">
        <v>93</v>
      </c>
      <c r="F115" s="2" t="s">
        <v>133</v>
      </c>
      <c r="G115" s="2" t="s">
        <v>134</v>
      </c>
      <c r="H115" s="17">
        <v>55350</v>
      </c>
      <c r="I115" s="2"/>
      <c r="J115" s="2"/>
      <c r="K115" s="17">
        <v>55350</v>
      </c>
      <c r="L115" s="17">
        <v>5930.36</v>
      </c>
      <c r="M115" s="17">
        <v>49419.64</v>
      </c>
      <c r="N115" s="17">
        <v>55350</v>
      </c>
      <c r="O115" s="2"/>
      <c r="P115" s="2"/>
      <c r="Q115" s="31" t="s">
        <v>30</v>
      </c>
      <c r="R115" s="41">
        <f>+K115</f>
        <v>55350</v>
      </c>
      <c r="S115" s="62"/>
      <c r="T115" s="5"/>
    </row>
    <row r="116" spans="1:20">
      <c r="A116" s="2" t="s">
        <v>93</v>
      </c>
      <c r="B116" s="2" t="s">
        <v>183</v>
      </c>
      <c r="C116" s="2" t="s">
        <v>60</v>
      </c>
      <c r="D116" s="16">
        <v>0</v>
      </c>
      <c r="E116" s="2" t="s">
        <v>93</v>
      </c>
      <c r="F116" s="2" t="s">
        <v>184</v>
      </c>
      <c r="G116" s="2" t="s">
        <v>185</v>
      </c>
      <c r="H116" s="17">
        <v>110631.75</v>
      </c>
      <c r="I116" s="2"/>
      <c r="J116" s="2"/>
      <c r="K116" s="17">
        <v>110631.75</v>
      </c>
      <c r="L116" s="17">
        <v>11853.4</v>
      </c>
      <c r="M116" s="17">
        <v>98778.35</v>
      </c>
      <c r="N116" s="17">
        <v>110631.75</v>
      </c>
      <c r="O116" s="2"/>
      <c r="P116" s="2"/>
      <c r="Q116" s="31" t="s">
        <v>30</v>
      </c>
      <c r="R116" s="64">
        <f>+K116+K117</f>
        <v>315631.75</v>
      </c>
      <c r="S116" s="62"/>
      <c r="T116" s="5"/>
    </row>
    <row r="117" spans="1:20">
      <c r="A117" s="2" t="s">
        <v>769</v>
      </c>
      <c r="B117" s="2" t="s">
        <v>776</v>
      </c>
      <c r="C117" s="2" t="s">
        <v>60</v>
      </c>
      <c r="D117" s="16">
        <v>0</v>
      </c>
      <c r="E117" s="2" t="s">
        <v>769</v>
      </c>
      <c r="F117" s="2" t="s">
        <v>184</v>
      </c>
      <c r="G117" s="2" t="s">
        <v>777</v>
      </c>
      <c r="H117" s="17">
        <v>205000</v>
      </c>
      <c r="I117" s="2"/>
      <c r="J117" s="2"/>
      <c r="K117" s="17">
        <v>205000</v>
      </c>
      <c r="L117" s="17">
        <v>21964.29</v>
      </c>
      <c r="M117" s="17">
        <v>183035.71</v>
      </c>
      <c r="N117" s="17">
        <v>205000</v>
      </c>
      <c r="O117" s="2"/>
      <c r="P117" s="2"/>
      <c r="Q117" s="31" t="s">
        <v>30</v>
      </c>
      <c r="R117" s="65"/>
      <c r="S117" s="62"/>
      <c r="T117" s="5"/>
    </row>
    <row r="118" spans="1:20">
      <c r="A118" s="2" t="s">
        <v>971</v>
      </c>
      <c r="B118" s="2" t="s">
        <v>970</v>
      </c>
      <c r="C118" s="2" t="s">
        <v>972</v>
      </c>
      <c r="D118" s="16">
        <v>15</v>
      </c>
      <c r="E118" s="2" t="s">
        <v>296</v>
      </c>
      <c r="F118" s="2" t="s">
        <v>973</v>
      </c>
      <c r="G118" s="2" t="s">
        <v>974</v>
      </c>
      <c r="H118" s="17">
        <v>45600</v>
      </c>
      <c r="I118" s="2"/>
      <c r="J118" s="2"/>
      <c r="K118" s="17">
        <v>45600</v>
      </c>
      <c r="L118" s="17">
        <v>4885.71</v>
      </c>
      <c r="M118" s="17">
        <v>40714.29</v>
      </c>
      <c r="N118" s="17">
        <v>45600</v>
      </c>
      <c r="O118" s="2"/>
      <c r="P118" s="2"/>
      <c r="Q118" s="31" t="s">
        <v>30</v>
      </c>
      <c r="R118" s="41">
        <f>+K118</f>
        <v>45600</v>
      </c>
      <c r="S118" s="62"/>
      <c r="T118" s="5"/>
    </row>
    <row r="119" spans="1:20">
      <c r="A119" s="2" t="s">
        <v>1117</v>
      </c>
      <c r="B119" s="2" t="s">
        <v>1148</v>
      </c>
      <c r="C119" s="2" t="s">
        <v>23</v>
      </c>
      <c r="D119" s="16">
        <v>30</v>
      </c>
      <c r="E119" s="2" t="s">
        <v>1118</v>
      </c>
      <c r="F119" s="2" t="s">
        <v>1149</v>
      </c>
      <c r="G119" s="2" t="s">
        <v>1150</v>
      </c>
      <c r="H119" s="17">
        <v>77750</v>
      </c>
      <c r="I119" s="2"/>
      <c r="J119" s="2"/>
      <c r="K119" s="17">
        <v>77750</v>
      </c>
      <c r="L119" s="17">
        <v>8330.36</v>
      </c>
      <c r="M119" s="17">
        <v>69419.64</v>
      </c>
      <c r="N119" s="17">
        <v>77750</v>
      </c>
      <c r="O119" s="2"/>
      <c r="P119" s="2"/>
      <c r="Q119" s="31" t="s">
        <v>30</v>
      </c>
      <c r="R119" s="41">
        <f>+K119</f>
        <v>77750</v>
      </c>
      <c r="S119" s="62"/>
      <c r="T119" s="5"/>
    </row>
    <row r="120" spans="1:20">
      <c r="A120" s="2" t="s">
        <v>368</v>
      </c>
      <c r="B120" s="2" t="s">
        <v>382</v>
      </c>
      <c r="C120" s="2" t="s">
        <v>146</v>
      </c>
      <c r="D120" s="16">
        <v>90</v>
      </c>
      <c r="E120" s="2" t="s">
        <v>383</v>
      </c>
      <c r="F120" s="2" t="s">
        <v>384</v>
      </c>
      <c r="G120" s="2" t="s">
        <v>385</v>
      </c>
      <c r="H120" s="17">
        <v>723750</v>
      </c>
      <c r="I120" s="2"/>
      <c r="J120" s="2"/>
      <c r="K120" s="17">
        <v>723750</v>
      </c>
      <c r="L120" s="17">
        <v>77544.639999999999</v>
      </c>
      <c r="M120" s="17">
        <v>646205.36</v>
      </c>
      <c r="N120" s="17">
        <v>723750</v>
      </c>
      <c r="O120" s="2"/>
      <c r="P120" s="2"/>
      <c r="Q120" s="31" t="s">
        <v>30</v>
      </c>
      <c r="R120" s="64">
        <f>+K120+K121</f>
        <v>2039550</v>
      </c>
      <c r="S120" s="62"/>
      <c r="T120" s="5"/>
    </row>
    <row r="121" spans="1:20">
      <c r="A121" s="2" t="s">
        <v>866</v>
      </c>
      <c r="B121" s="2" t="s">
        <v>893</v>
      </c>
      <c r="C121" s="2" t="s">
        <v>146</v>
      </c>
      <c r="D121" s="16">
        <v>90</v>
      </c>
      <c r="E121" s="2" t="s">
        <v>885</v>
      </c>
      <c r="F121" s="2" t="s">
        <v>384</v>
      </c>
      <c r="G121" s="2" t="s">
        <v>894</v>
      </c>
      <c r="H121" s="17">
        <v>1315800</v>
      </c>
      <c r="I121" s="2"/>
      <c r="J121" s="2"/>
      <c r="K121" s="17">
        <v>1315800</v>
      </c>
      <c r="L121" s="17">
        <v>140978.57</v>
      </c>
      <c r="M121" s="17">
        <v>1174821.43</v>
      </c>
      <c r="N121" s="17">
        <v>1315800</v>
      </c>
      <c r="O121" s="2"/>
      <c r="P121" s="2"/>
      <c r="Q121" s="31" t="s">
        <v>30</v>
      </c>
      <c r="R121" s="65"/>
      <c r="S121" s="62"/>
      <c r="T121" s="5"/>
    </row>
    <row r="122" spans="1:20">
      <c r="A122" s="2" t="s">
        <v>596</v>
      </c>
      <c r="B122" s="2" t="s">
        <v>612</v>
      </c>
      <c r="C122" s="2" t="s">
        <v>151</v>
      </c>
      <c r="D122" s="16">
        <v>60</v>
      </c>
      <c r="E122" s="2" t="s">
        <v>613</v>
      </c>
      <c r="F122" s="2" t="s">
        <v>614</v>
      </c>
      <c r="G122" s="2" t="s">
        <v>615</v>
      </c>
      <c r="H122" s="17">
        <v>75600</v>
      </c>
      <c r="I122" s="2"/>
      <c r="J122" s="2"/>
      <c r="K122" s="17">
        <v>75600</v>
      </c>
      <c r="L122" s="17">
        <v>8100</v>
      </c>
      <c r="M122" s="17">
        <v>67500</v>
      </c>
      <c r="N122" s="17">
        <v>75600</v>
      </c>
      <c r="O122" s="2"/>
      <c r="P122" s="2"/>
      <c r="Q122" s="31" t="s">
        <v>30</v>
      </c>
      <c r="R122" s="64">
        <f>+K122+K123+K124</f>
        <v>156225</v>
      </c>
      <c r="S122" s="62"/>
      <c r="T122" s="5"/>
    </row>
    <row r="123" spans="1:20">
      <c r="A123" s="2" t="s">
        <v>915</v>
      </c>
      <c r="B123" s="2" t="s">
        <v>917</v>
      </c>
      <c r="C123" s="2" t="s">
        <v>151</v>
      </c>
      <c r="D123" s="16">
        <v>60</v>
      </c>
      <c r="E123" s="2" t="s">
        <v>918</v>
      </c>
      <c r="F123" s="2" t="s">
        <v>614</v>
      </c>
      <c r="G123" s="2" t="s">
        <v>919</v>
      </c>
      <c r="H123" s="17">
        <v>48720</v>
      </c>
      <c r="I123" s="2"/>
      <c r="J123" s="2"/>
      <c r="K123" s="17">
        <v>48720</v>
      </c>
      <c r="L123" s="17">
        <v>5220</v>
      </c>
      <c r="M123" s="17">
        <v>43500</v>
      </c>
      <c r="N123" s="17">
        <v>48720</v>
      </c>
      <c r="O123" s="2"/>
      <c r="P123" s="2"/>
      <c r="Q123" s="31" t="s">
        <v>30</v>
      </c>
      <c r="R123" s="66"/>
      <c r="S123" s="62"/>
      <c r="T123" s="5"/>
    </row>
    <row r="124" spans="1:20">
      <c r="A124" s="2" t="s">
        <v>1287</v>
      </c>
      <c r="B124" s="2" t="s">
        <v>1330</v>
      </c>
      <c r="C124" s="2" t="s">
        <v>151</v>
      </c>
      <c r="D124" s="16">
        <v>60</v>
      </c>
      <c r="E124" s="2" t="s">
        <v>1331</v>
      </c>
      <c r="F124" s="2" t="s">
        <v>614</v>
      </c>
      <c r="G124" s="2" t="s">
        <v>1332</v>
      </c>
      <c r="H124" s="17">
        <v>31905</v>
      </c>
      <c r="I124" s="2"/>
      <c r="J124" s="2"/>
      <c r="K124" s="17">
        <v>31905</v>
      </c>
      <c r="L124" s="17">
        <v>3418.39</v>
      </c>
      <c r="M124" s="17">
        <v>28486.61</v>
      </c>
      <c r="N124" s="17">
        <v>31905</v>
      </c>
      <c r="O124" s="2"/>
      <c r="P124" s="2"/>
      <c r="Q124" s="31" t="s">
        <v>30</v>
      </c>
      <c r="R124" s="65"/>
      <c r="S124" s="62"/>
      <c r="T124" s="5"/>
    </row>
    <row r="125" spans="1:20">
      <c r="A125" s="2" t="s">
        <v>1287</v>
      </c>
      <c r="B125" s="2" t="s">
        <v>1333</v>
      </c>
      <c r="C125" s="2" t="s">
        <v>104</v>
      </c>
      <c r="D125" s="16">
        <v>0</v>
      </c>
      <c r="E125" s="2" t="s">
        <v>1287</v>
      </c>
      <c r="F125" s="2" t="s">
        <v>1334</v>
      </c>
      <c r="G125" s="2" t="s">
        <v>1335</v>
      </c>
      <c r="H125" s="17">
        <v>1144800</v>
      </c>
      <c r="I125" s="19">
        <v>-34344</v>
      </c>
      <c r="J125" s="2"/>
      <c r="K125" s="17">
        <v>1110456</v>
      </c>
      <c r="L125" s="17">
        <v>118977.43</v>
      </c>
      <c r="M125" s="17">
        <v>991478.57</v>
      </c>
      <c r="N125" s="17">
        <v>1110456</v>
      </c>
      <c r="O125" s="2"/>
      <c r="P125" s="2"/>
      <c r="Q125" s="31" t="s">
        <v>30</v>
      </c>
      <c r="R125" s="41">
        <f>+K125</f>
        <v>1110456</v>
      </c>
      <c r="S125" s="62"/>
      <c r="T125" s="5"/>
    </row>
    <row r="126" spans="1:20">
      <c r="A126" s="2" t="s">
        <v>199</v>
      </c>
      <c r="B126" s="2" t="s">
        <v>198</v>
      </c>
      <c r="C126" s="2" t="s">
        <v>34</v>
      </c>
      <c r="D126" s="16">
        <v>60</v>
      </c>
      <c r="E126" s="2" t="s">
        <v>200</v>
      </c>
      <c r="F126" s="2" t="s">
        <v>201</v>
      </c>
      <c r="G126" s="2" t="s">
        <v>202</v>
      </c>
      <c r="H126" s="17">
        <v>7200</v>
      </c>
      <c r="I126" s="2"/>
      <c r="J126" s="2"/>
      <c r="K126" s="17">
        <v>7200</v>
      </c>
      <c r="L126" s="18">
        <v>771.43</v>
      </c>
      <c r="M126" s="17">
        <v>6428.57</v>
      </c>
      <c r="N126" s="17">
        <v>7200</v>
      </c>
      <c r="O126" s="2"/>
      <c r="P126" s="2"/>
      <c r="Q126" s="31" t="s">
        <v>30</v>
      </c>
      <c r="R126" s="64">
        <f>+K126+K127+K128+K129+K130+K131</f>
        <v>146340</v>
      </c>
      <c r="S126" s="62"/>
      <c r="T126" s="5"/>
    </row>
    <row r="127" spans="1:20">
      <c r="A127" s="2" t="s">
        <v>368</v>
      </c>
      <c r="B127" s="2" t="s">
        <v>375</v>
      </c>
      <c r="C127" s="2" t="s">
        <v>34</v>
      </c>
      <c r="D127" s="16">
        <v>60</v>
      </c>
      <c r="E127" s="2" t="s">
        <v>376</v>
      </c>
      <c r="F127" s="2" t="s">
        <v>201</v>
      </c>
      <c r="G127" s="2" t="s">
        <v>377</v>
      </c>
      <c r="H127" s="17">
        <v>48000</v>
      </c>
      <c r="I127" s="2"/>
      <c r="J127" s="2"/>
      <c r="K127" s="17">
        <v>48000</v>
      </c>
      <c r="L127" s="17">
        <v>5142.8599999999997</v>
      </c>
      <c r="M127" s="17">
        <v>42857.14</v>
      </c>
      <c r="N127" s="17">
        <v>48000</v>
      </c>
      <c r="O127" s="2"/>
      <c r="P127" s="2"/>
      <c r="Q127" s="31" t="s">
        <v>30</v>
      </c>
      <c r="R127" s="66"/>
      <c r="S127" s="62"/>
      <c r="T127" s="5"/>
    </row>
    <row r="128" spans="1:20">
      <c r="A128" s="2" t="s">
        <v>505</v>
      </c>
      <c r="B128" s="2" t="s">
        <v>508</v>
      </c>
      <c r="C128" s="2" t="s">
        <v>34</v>
      </c>
      <c r="D128" s="16">
        <v>60</v>
      </c>
      <c r="E128" s="2" t="s">
        <v>509</v>
      </c>
      <c r="F128" s="2" t="s">
        <v>201</v>
      </c>
      <c r="G128" s="2" t="s">
        <v>510</v>
      </c>
      <c r="H128" s="17">
        <v>60000</v>
      </c>
      <c r="I128" s="2"/>
      <c r="J128" s="2"/>
      <c r="K128" s="17">
        <v>60000</v>
      </c>
      <c r="L128" s="17">
        <v>6428.57</v>
      </c>
      <c r="M128" s="17">
        <v>53571.43</v>
      </c>
      <c r="N128" s="17">
        <v>60000</v>
      </c>
      <c r="O128" s="2"/>
      <c r="P128" s="2"/>
      <c r="Q128" s="31" t="s">
        <v>30</v>
      </c>
      <c r="R128" s="66"/>
      <c r="S128" s="62"/>
      <c r="T128" s="5"/>
    </row>
    <row r="129" spans="1:20">
      <c r="A129" s="2" t="s">
        <v>689</v>
      </c>
      <c r="B129" s="2" t="s">
        <v>709</v>
      </c>
      <c r="C129" s="2" t="s">
        <v>34</v>
      </c>
      <c r="D129" s="16">
        <v>60</v>
      </c>
      <c r="E129" s="2" t="s">
        <v>692</v>
      </c>
      <c r="F129" s="2" t="s">
        <v>201</v>
      </c>
      <c r="G129" s="2" t="s">
        <v>710</v>
      </c>
      <c r="H129" s="17">
        <v>9540</v>
      </c>
      <c r="I129" s="2"/>
      <c r="J129" s="2"/>
      <c r="K129" s="17">
        <v>9540</v>
      </c>
      <c r="L129" s="17">
        <v>1022.14</v>
      </c>
      <c r="M129" s="17">
        <v>8517.86</v>
      </c>
      <c r="N129" s="17">
        <v>9540</v>
      </c>
      <c r="O129" s="2"/>
      <c r="P129" s="2"/>
      <c r="Q129" s="31" t="s">
        <v>30</v>
      </c>
      <c r="R129" s="66"/>
      <c r="S129" s="62"/>
      <c r="T129" s="5"/>
    </row>
    <row r="130" spans="1:20">
      <c r="A130" s="2" t="s">
        <v>915</v>
      </c>
      <c r="B130" s="2" t="s">
        <v>947</v>
      </c>
      <c r="C130" s="2" t="s">
        <v>34</v>
      </c>
      <c r="D130" s="16">
        <v>60</v>
      </c>
      <c r="E130" s="2" t="s">
        <v>918</v>
      </c>
      <c r="F130" s="2" t="s">
        <v>201</v>
      </c>
      <c r="G130" s="2" t="s">
        <v>948</v>
      </c>
      <c r="H130" s="17">
        <v>14400</v>
      </c>
      <c r="I130" s="2"/>
      <c r="J130" s="2"/>
      <c r="K130" s="17">
        <v>14400</v>
      </c>
      <c r="L130" s="17">
        <v>1542.86</v>
      </c>
      <c r="M130" s="17">
        <v>12857.14</v>
      </c>
      <c r="N130" s="17">
        <v>14400</v>
      </c>
      <c r="O130" s="2"/>
      <c r="P130" s="2"/>
      <c r="Q130" s="31" t="s">
        <v>30</v>
      </c>
      <c r="R130" s="66"/>
      <c r="S130" s="62"/>
      <c r="T130" s="5"/>
    </row>
    <row r="131" spans="1:20">
      <c r="A131" s="2" t="s">
        <v>1217</v>
      </c>
      <c r="B131" s="2" t="s">
        <v>1222</v>
      </c>
      <c r="C131" s="2" t="s">
        <v>34</v>
      </c>
      <c r="D131" s="16">
        <v>60</v>
      </c>
      <c r="E131" s="2" t="s">
        <v>1223</v>
      </c>
      <c r="F131" s="2" t="s">
        <v>201</v>
      </c>
      <c r="G131" s="2" t="s">
        <v>1224</v>
      </c>
      <c r="H131" s="17">
        <v>7200</v>
      </c>
      <c r="I131" s="2"/>
      <c r="J131" s="2"/>
      <c r="K131" s="17">
        <v>7200</v>
      </c>
      <c r="L131" s="18">
        <v>771.43</v>
      </c>
      <c r="M131" s="17">
        <v>6428.57</v>
      </c>
      <c r="N131" s="17">
        <v>7200</v>
      </c>
      <c r="O131" s="2"/>
      <c r="P131" s="2"/>
      <c r="Q131" s="31" t="s">
        <v>30</v>
      </c>
      <c r="R131" s="65"/>
      <c r="S131" s="62"/>
      <c r="T131" s="5"/>
    </row>
    <row r="132" spans="1:20">
      <c r="A132" s="2" t="s">
        <v>1461</v>
      </c>
      <c r="B132" s="2" t="s">
        <v>1463</v>
      </c>
      <c r="C132" s="2" t="s">
        <v>681</v>
      </c>
      <c r="D132" s="16">
        <v>0</v>
      </c>
      <c r="E132" s="2" t="s">
        <v>1461</v>
      </c>
      <c r="F132" s="2" t="s">
        <v>1464</v>
      </c>
      <c r="G132" s="2" t="s">
        <v>1465</v>
      </c>
      <c r="H132" s="17">
        <v>31056</v>
      </c>
      <c r="I132" s="2"/>
      <c r="J132" s="2"/>
      <c r="K132" s="17">
        <v>31056</v>
      </c>
      <c r="L132" s="17">
        <v>3327.43</v>
      </c>
      <c r="M132" s="17">
        <v>27728.57</v>
      </c>
      <c r="N132" s="17">
        <v>31056</v>
      </c>
      <c r="O132" s="2"/>
      <c r="P132" s="2"/>
      <c r="Q132" s="31" t="s">
        <v>30</v>
      </c>
      <c r="R132" s="41">
        <f>+K132</f>
        <v>31056</v>
      </c>
      <c r="S132" s="62"/>
      <c r="T132" s="5"/>
    </row>
    <row r="133" spans="1:20">
      <c r="A133" s="2" t="s">
        <v>1287</v>
      </c>
      <c r="B133" s="2" t="s">
        <v>1348</v>
      </c>
      <c r="C133" s="2" t="s">
        <v>162</v>
      </c>
      <c r="D133" s="16">
        <v>90</v>
      </c>
      <c r="E133" s="2" t="s">
        <v>1315</v>
      </c>
      <c r="F133" s="2" t="s">
        <v>1349</v>
      </c>
      <c r="G133" s="2" t="s">
        <v>1350</v>
      </c>
      <c r="H133" s="17">
        <v>172200</v>
      </c>
      <c r="I133" s="2"/>
      <c r="J133" s="2"/>
      <c r="K133" s="17">
        <v>172200</v>
      </c>
      <c r="L133" s="17">
        <v>18450</v>
      </c>
      <c r="M133" s="17">
        <v>153750</v>
      </c>
      <c r="N133" s="17">
        <v>172200</v>
      </c>
      <c r="O133" s="2"/>
      <c r="P133" s="2"/>
      <c r="Q133" s="31" t="s">
        <v>30</v>
      </c>
      <c r="R133" s="41">
        <f>+K133</f>
        <v>172200</v>
      </c>
      <c r="S133" s="62"/>
      <c r="T133" s="5"/>
    </row>
    <row r="134" spans="1:20" ht="12.6" customHeight="1">
      <c r="A134" s="2" t="s">
        <v>17</v>
      </c>
      <c r="B134" s="2" t="s">
        <v>28</v>
      </c>
      <c r="C134" s="2" t="s">
        <v>29</v>
      </c>
      <c r="D134" s="16">
        <v>0</v>
      </c>
      <c r="E134" s="2" t="s">
        <v>17</v>
      </c>
      <c r="F134" s="2" t="s">
        <v>31</v>
      </c>
      <c r="G134" s="2" t="s">
        <v>32</v>
      </c>
      <c r="H134" s="17">
        <v>208698</v>
      </c>
      <c r="I134" s="2"/>
      <c r="J134" s="2"/>
      <c r="K134" s="17">
        <v>208698</v>
      </c>
      <c r="L134" s="17">
        <v>22360.5</v>
      </c>
      <c r="M134" s="17">
        <v>186337.5</v>
      </c>
      <c r="N134" s="17">
        <v>208698</v>
      </c>
      <c r="O134" s="2"/>
      <c r="P134" s="2"/>
      <c r="Q134" s="31" t="s">
        <v>30</v>
      </c>
      <c r="R134" s="64">
        <v>2832788</v>
      </c>
      <c r="S134" s="62"/>
      <c r="T134" s="5"/>
    </row>
    <row r="135" spans="1:20">
      <c r="A135" s="2" t="s">
        <v>199</v>
      </c>
      <c r="B135" s="2" t="s">
        <v>226</v>
      </c>
      <c r="C135" s="2" t="s">
        <v>29</v>
      </c>
      <c r="D135" s="16">
        <v>0</v>
      </c>
      <c r="E135" s="2" t="s">
        <v>199</v>
      </c>
      <c r="F135" s="2" t="s">
        <v>31</v>
      </c>
      <c r="G135" s="2" t="s">
        <v>227</v>
      </c>
      <c r="H135" s="17">
        <v>23901</v>
      </c>
      <c r="I135" s="2"/>
      <c r="J135" s="2"/>
      <c r="K135" s="17">
        <v>23901</v>
      </c>
      <c r="L135" s="17">
        <v>2560.8200000000002</v>
      </c>
      <c r="M135" s="17">
        <v>21340.18</v>
      </c>
      <c r="N135" s="17">
        <v>23901</v>
      </c>
      <c r="O135" s="2"/>
      <c r="P135" s="2"/>
      <c r="Q135" s="31" t="s">
        <v>30</v>
      </c>
      <c r="R135" s="66"/>
      <c r="S135" s="62"/>
      <c r="T135" s="5"/>
    </row>
    <row r="136" spans="1:20">
      <c r="A136" s="2" t="s">
        <v>199</v>
      </c>
      <c r="B136" s="2" t="s">
        <v>228</v>
      </c>
      <c r="C136" s="2" t="s">
        <v>29</v>
      </c>
      <c r="D136" s="16">
        <v>0</v>
      </c>
      <c r="E136" s="2" t="s">
        <v>199</v>
      </c>
      <c r="F136" s="2" t="s">
        <v>31</v>
      </c>
      <c r="G136" s="2" t="s">
        <v>229</v>
      </c>
      <c r="H136" s="17">
        <v>266668</v>
      </c>
      <c r="I136" s="2"/>
      <c r="J136" s="2"/>
      <c r="K136" s="17">
        <v>266668</v>
      </c>
      <c r="L136" s="17">
        <v>28571.57</v>
      </c>
      <c r="M136" s="17">
        <v>238096.43</v>
      </c>
      <c r="N136" s="17">
        <v>266668</v>
      </c>
      <c r="O136" s="2"/>
      <c r="P136" s="2"/>
      <c r="Q136" s="31" t="s">
        <v>30</v>
      </c>
      <c r="R136" s="66"/>
      <c r="S136" s="62"/>
      <c r="T136" s="5"/>
    </row>
    <row r="137" spans="1:20">
      <c r="A137" s="2" t="s">
        <v>368</v>
      </c>
      <c r="B137" s="2" t="s">
        <v>401</v>
      </c>
      <c r="C137" s="2" t="s">
        <v>29</v>
      </c>
      <c r="D137" s="16">
        <v>0</v>
      </c>
      <c r="E137" s="2" t="s">
        <v>368</v>
      </c>
      <c r="F137" s="2" t="s">
        <v>31</v>
      </c>
      <c r="G137" s="2" t="s">
        <v>402</v>
      </c>
      <c r="H137" s="17">
        <v>49593</v>
      </c>
      <c r="I137" s="2"/>
      <c r="J137" s="2"/>
      <c r="K137" s="17">
        <v>49593</v>
      </c>
      <c r="L137" s="17">
        <v>5313.54</v>
      </c>
      <c r="M137" s="17">
        <v>44279.46</v>
      </c>
      <c r="N137" s="17">
        <v>49593</v>
      </c>
      <c r="O137" s="2"/>
      <c r="P137" s="2"/>
      <c r="Q137" s="31" t="s">
        <v>30</v>
      </c>
      <c r="R137" s="66"/>
      <c r="S137" s="62"/>
      <c r="T137" s="5"/>
    </row>
    <row r="138" spans="1:20">
      <c r="A138" s="2" t="s">
        <v>368</v>
      </c>
      <c r="B138" s="2" t="s">
        <v>403</v>
      </c>
      <c r="C138" s="2" t="s">
        <v>29</v>
      </c>
      <c r="D138" s="16">
        <v>0</v>
      </c>
      <c r="E138" s="2" t="s">
        <v>368</v>
      </c>
      <c r="F138" s="2" t="s">
        <v>31</v>
      </c>
      <c r="G138" s="2" t="s">
        <v>404</v>
      </c>
      <c r="H138" s="17">
        <v>148779</v>
      </c>
      <c r="I138" s="2"/>
      <c r="J138" s="2"/>
      <c r="K138" s="17">
        <v>148779</v>
      </c>
      <c r="L138" s="17">
        <v>15940.61</v>
      </c>
      <c r="M138" s="17">
        <v>132838.39000000001</v>
      </c>
      <c r="N138" s="17">
        <v>148779</v>
      </c>
      <c r="O138" s="2"/>
      <c r="P138" s="2"/>
      <c r="Q138" s="31" t="s">
        <v>30</v>
      </c>
      <c r="R138" s="66"/>
      <c r="S138" s="62"/>
      <c r="T138" s="5"/>
    </row>
    <row r="139" spans="1:20">
      <c r="A139" s="2" t="s">
        <v>448</v>
      </c>
      <c r="B139" s="2" t="s">
        <v>464</v>
      </c>
      <c r="C139" s="2" t="s">
        <v>29</v>
      </c>
      <c r="D139" s="16">
        <v>0</v>
      </c>
      <c r="E139" s="2" t="s">
        <v>448</v>
      </c>
      <c r="F139" s="2" t="s">
        <v>31</v>
      </c>
      <c r="G139" s="2" t="s">
        <v>465</v>
      </c>
      <c r="H139" s="17">
        <v>22500</v>
      </c>
      <c r="I139" s="2"/>
      <c r="J139" s="2"/>
      <c r="K139" s="17">
        <v>22500</v>
      </c>
      <c r="L139" s="17">
        <v>2410.71</v>
      </c>
      <c r="M139" s="17">
        <v>20089.29</v>
      </c>
      <c r="N139" s="17">
        <v>22500</v>
      </c>
      <c r="O139" s="2"/>
      <c r="P139" s="2"/>
      <c r="Q139" s="31" t="s">
        <v>30</v>
      </c>
      <c r="R139" s="66"/>
      <c r="S139" s="62"/>
      <c r="T139" s="5"/>
    </row>
    <row r="140" spans="1:20">
      <c r="A140" s="2" t="s">
        <v>448</v>
      </c>
      <c r="B140" s="2" t="s">
        <v>466</v>
      </c>
      <c r="C140" s="2" t="s">
        <v>29</v>
      </c>
      <c r="D140" s="16">
        <v>0</v>
      </c>
      <c r="E140" s="2" t="s">
        <v>448</v>
      </c>
      <c r="F140" s="2" t="s">
        <v>31</v>
      </c>
      <c r="G140" s="2" t="s">
        <v>467</v>
      </c>
      <c r="H140" s="17">
        <v>17740</v>
      </c>
      <c r="I140" s="2"/>
      <c r="J140" s="2"/>
      <c r="K140" s="17">
        <v>17740</v>
      </c>
      <c r="L140" s="17">
        <v>1900.71</v>
      </c>
      <c r="M140" s="17">
        <v>15839.29</v>
      </c>
      <c r="N140" s="17">
        <v>17740</v>
      </c>
      <c r="O140" s="2"/>
      <c r="P140" s="2"/>
      <c r="Q140" s="31" t="s">
        <v>30</v>
      </c>
      <c r="R140" s="66"/>
      <c r="S140" s="62"/>
      <c r="T140" s="5"/>
    </row>
    <row r="141" spans="1:20">
      <c r="A141" s="2" t="s">
        <v>448</v>
      </c>
      <c r="B141" s="2" t="s">
        <v>468</v>
      </c>
      <c r="C141" s="2" t="s">
        <v>29</v>
      </c>
      <c r="D141" s="16">
        <v>0</v>
      </c>
      <c r="E141" s="2" t="s">
        <v>448</v>
      </c>
      <c r="F141" s="2" t="s">
        <v>31</v>
      </c>
      <c r="G141" s="2" t="s">
        <v>469</v>
      </c>
      <c r="H141" s="17">
        <v>28458</v>
      </c>
      <c r="I141" s="2"/>
      <c r="J141" s="2"/>
      <c r="K141" s="17">
        <v>28458</v>
      </c>
      <c r="L141" s="17">
        <v>3049.07</v>
      </c>
      <c r="M141" s="17">
        <v>25408.93</v>
      </c>
      <c r="N141" s="17">
        <v>28458</v>
      </c>
      <c r="O141" s="2"/>
      <c r="P141" s="2"/>
      <c r="Q141" s="31" t="s">
        <v>30</v>
      </c>
      <c r="R141" s="66"/>
      <c r="S141" s="62"/>
      <c r="T141" s="5"/>
    </row>
    <row r="142" spans="1:20">
      <c r="A142" s="2" t="s">
        <v>448</v>
      </c>
      <c r="B142" s="2" t="s">
        <v>472</v>
      </c>
      <c r="C142" s="2" t="s">
        <v>29</v>
      </c>
      <c r="D142" s="16">
        <v>0</v>
      </c>
      <c r="E142" s="2" t="s">
        <v>448</v>
      </c>
      <c r="F142" s="2" t="s">
        <v>31</v>
      </c>
      <c r="G142" s="2" t="s">
        <v>473</v>
      </c>
      <c r="H142" s="17">
        <v>152120</v>
      </c>
      <c r="I142" s="2"/>
      <c r="J142" s="2"/>
      <c r="K142" s="17">
        <v>152120</v>
      </c>
      <c r="L142" s="17">
        <v>16298.57</v>
      </c>
      <c r="M142" s="17">
        <v>135821.43</v>
      </c>
      <c r="N142" s="17">
        <v>152120</v>
      </c>
      <c r="O142" s="2"/>
      <c r="P142" s="2"/>
      <c r="Q142" s="31" t="s">
        <v>30</v>
      </c>
      <c r="R142" s="66"/>
      <c r="S142" s="62"/>
      <c r="T142" s="5"/>
    </row>
    <row r="143" spans="1:20">
      <c r="A143" s="2" t="s">
        <v>448</v>
      </c>
      <c r="B143" s="2" t="s">
        <v>474</v>
      </c>
      <c r="C143" s="2" t="s">
        <v>29</v>
      </c>
      <c r="D143" s="16">
        <v>0</v>
      </c>
      <c r="E143" s="2" t="s">
        <v>448</v>
      </c>
      <c r="F143" s="2" t="s">
        <v>31</v>
      </c>
      <c r="G143" s="2" t="s">
        <v>475</v>
      </c>
      <c r="H143" s="17">
        <v>121248</v>
      </c>
      <c r="I143" s="2"/>
      <c r="J143" s="2"/>
      <c r="K143" s="17">
        <v>121248</v>
      </c>
      <c r="L143" s="17">
        <v>12990.86</v>
      </c>
      <c r="M143" s="17">
        <v>108257.14</v>
      </c>
      <c r="N143" s="17">
        <v>121248</v>
      </c>
      <c r="O143" s="2"/>
      <c r="P143" s="2"/>
      <c r="Q143" s="31" t="s">
        <v>30</v>
      </c>
      <c r="R143" s="66"/>
      <c r="S143" s="62"/>
      <c r="T143" s="5"/>
    </row>
    <row r="144" spans="1:20">
      <c r="A144" s="2" t="s">
        <v>505</v>
      </c>
      <c r="B144" s="2" t="s">
        <v>565</v>
      </c>
      <c r="C144" s="2" t="s">
        <v>29</v>
      </c>
      <c r="D144" s="16">
        <v>0</v>
      </c>
      <c r="E144" s="2" t="s">
        <v>505</v>
      </c>
      <c r="F144" s="2" t="s">
        <v>31</v>
      </c>
      <c r="G144" s="2" t="s">
        <v>566</v>
      </c>
      <c r="H144" s="17">
        <v>41600</v>
      </c>
      <c r="I144" s="2"/>
      <c r="J144" s="2"/>
      <c r="K144" s="17">
        <v>41600</v>
      </c>
      <c r="L144" s="17">
        <v>4457.1400000000003</v>
      </c>
      <c r="M144" s="17">
        <v>37142.86</v>
      </c>
      <c r="N144" s="17">
        <v>41600</v>
      </c>
      <c r="O144" s="2"/>
      <c r="P144" s="2"/>
      <c r="Q144" s="31" t="s">
        <v>30</v>
      </c>
      <c r="R144" s="66"/>
      <c r="S144" s="62"/>
      <c r="T144" s="5"/>
    </row>
    <row r="145" spans="1:20">
      <c r="A145" s="2" t="s">
        <v>505</v>
      </c>
      <c r="B145" s="2" t="s">
        <v>569</v>
      </c>
      <c r="C145" s="2" t="s">
        <v>29</v>
      </c>
      <c r="D145" s="16">
        <v>0</v>
      </c>
      <c r="E145" s="2" t="s">
        <v>505</v>
      </c>
      <c r="F145" s="2" t="s">
        <v>31</v>
      </c>
      <c r="G145" s="2" t="s">
        <v>570</v>
      </c>
      <c r="H145" s="17">
        <v>99186</v>
      </c>
      <c r="I145" s="2"/>
      <c r="J145" s="2"/>
      <c r="K145" s="17">
        <v>99186</v>
      </c>
      <c r="L145" s="17">
        <v>10627.07</v>
      </c>
      <c r="M145" s="17">
        <v>88558.93</v>
      </c>
      <c r="N145" s="17">
        <v>99186</v>
      </c>
      <c r="O145" s="2"/>
      <c r="P145" s="2"/>
      <c r="Q145" s="31" t="s">
        <v>30</v>
      </c>
      <c r="R145" s="66"/>
      <c r="S145" s="62"/>
      <c r="T145" s="5"/>
    </row>
    <row r="146" spans="1:20">
      <c r="A146" s="2" t="s">
        <v>637</v>
      </c>
      <c r="B146" s="2" t="s">
        <v>644</v>
      </c>
      <c r="C146" s="2" t="s">
        <v>29</v>
      </c>
      <c r="D146" s="16">
        <v>0</v>
      </c>
      <c r="E146" s="2" t="s">
        <v>637</v>
      </c>
      <c r="F146" s="2" t="s">
        <v>31</v>
      </c>
      <c r="G146" s="2" t="s">
        <v>645</v>
      </c>
      <c r="H146" s="17">
        <v>62535</v>
      </c>
      <c r="I146" s="2"/>
      <c r="J146" s="2"/>
      <c r="K146" s="17">
        <v>62535</v>
      </c>
      <c r="L146" s="17">
        <v>6700.18</v>
      </c>
      <c r="M146" s="17">
        <v>55834.82</v>
      </c>
      <c r="N146" s="17">
        <v>62535</v>
      </c>
      <c r="O146" s="2"/>
      <c r="P146" s="2"/>
      <c r="Q146" s="31" t="s">
        <v>30</v>
      </c>
      <c r="R146" s="66"/>
      <c r="S146" s="62"/>
      <c r="T146" s="5"/>
    </row>
    <row r="147" spans="1:20">
      <c r="A147" s="2" t="s">
        <v>637</v>
      </c>
      <c r="B147" s="2" t="s">
        <v>646</v>
      </c>
      <c r="C147" s="2" t="s">
        <v>29</v>
      </c>
      <c r="D147" s="16">
        <v>0</v>
      </c>
      <c r="E147" s="2" t="s">
        <v>637</v>
      </c>
      <c r="F147" s="2" t="s">
        <v>31</v>
      </c>
      <c r="G147" s="2" t="s">
        <v>647</v>
      </c>
      <c r="H147" s="17">
        <v>31800</v>
      </c>
      <c r="I147" s="2"/>
      <c r="J147" s="2"/>
      <c r="K147" s="17">
        <v>31800</v>
      </c>
      <c r="L147" s="17">
        <v>3407.14</v>
      </c>
      <c r="M147" s="17">
        <v>28392.86</v>
      </c>
      <c r="N147" s="17">
        <v>31800</v>
      </c>
      <c r="O147" s="2"/>
      <c r="P147" s="2"/>
      <c r="Q147" s="31" t="s">
        <v>30</v>
      </c>
      <c r="R147" s="66"/>
      <c r="S147" s="62"/>
      <c r="T147" s="5"/>
    </row>
    <row r="148" spans="1:20">
      <c r="A148" s="2" t="s">
        <v>637</v>
      </c>
      <c r="B148" s="2" t="s">
        <v>648</v>
      </c>
      <c r="C148" s="2" t="s">
        <v>29</v>
      </c>
      <c r="D148" s="16">
        <v>0</v>
      </c>
      <c r="E148" s="2" t="s">
        <v>637</v>
      </c>
      <c r="F148" s="2" t="s">
        <v>31</v>
      </c>
      <c r="G148" s="2" t="s">
        <v>649</v>
      </c>
      <c r="H148" s="17">
        <v>6400</v>
      </c>
      <c r="I148" s="2"/>
      <c r="J148" s="2"/>
      <c r="K148" s="17">
        <v>6400</v>
      </c>
      <c r="L148" s="18">
        <v>685.71</v>
      </c>
      <c r="M148" s="17">
        <v>5714.29</v>
      </c>
      <c r="N148" s="17">
        <v>6400</v>
      </c>
      <c r="O148" s="2"/>
      <c r="P148" s="2"/>
      <c r="Q148" s="31" t="s">
        <v>30</v>
      </c>
      <c r="R148" s="66"/>
      <c r="S148" s="62"/>
      <c r="T148" s="5"/>
    </row>
    <row r="149" spans="1:20">
      <c r="A149" s="2" t="s">
        <v>637</v>
      </c>
      <c r="B149" s="2" t="s">
        <v>650</v>
      </c>
      <c r="C149" s="2" t="s">
        <v>29</v>
      </c>
      <c r="D149" s="16">
        <v>0</v>
      </c>
      <c r="E149" s="2" t="s">
        <v>637</v>
      </c>
      <c r="F149" s="2" t="s">
        <v>31</v>
      </c>
      <c r="G149" s="2" t="s">
        <v>651</v>
      </c>
      <c r="H149" s="17">
        <v>142800</v>
      </c>
      <c r="I149" s="2"/>
      <c r="J149" s="2"/>
      <c r="K149" s="17">
        <v>142800</v>
      </c>
      <c r="L149" s="17">
        <v>15300</v>
      </c>
      <c r="M149" s="17">
        <v>127500</v>
      </c>
      <c r="N149" s="17">
        <v>142800</v>
      </c>
      <c r="O149" s="2"/>
      <c r="P149" s="2"/>
      <c r="Q149" s="31" t="s">
        <v>30</v>
      </c>
      <c r="R149" s="66"/>
      <c r="S149" s="62"/>
      <c r="T149" s="5"/>
    </row>
    <row r="150" spans="1:20">
      <c r="A150" s="2" t="s">
        <v>769</v>
      </c>
      <c r="B150" s="2" t="s">
        <v>859</v>
      </c>
      <c r="C150" s="2" t="s">
        <v>29</v>
      </c>
      <c r="D150" s="16">
        <v>0</v>
      </c>
      <c r="E150" s="2" t="s">
        <v>769</v>
      </c>
      <c r="F150" s="2" t="s">
        <v>31</v>
      </c>
      <c r="G150" s="2" t="s">
        <v>860</v>
      </c>
      <c r="H150" s="17">
        <v>26190</v>
      </c>
      <c r="I150" s="2"/>
      <c r="J150" s="2"/>
      <c r="K150" s="17">
        <v>26190</v>
      </c>
      <c r="L150" s="17">
        <v>2806.07</v>
      </c>
      <c r="M150" s="17">
        <v>23383.93</v>
      </c>
      <c r="N150" s="17">
        <v>26190</v>
      </c>
      <c r="O150" s="2"/>
      <c r="P150" s="2"/>
      <c r="Q150" s="31" t="s">
        <v>30</v>
      </c>
      <c r="R150" s="66"/>
      <c r="S150" s="62"/>
      <c r="T150" s="5"/>
    </row>
    <row r="151" spans="1:20">
      <c r="A151" s="2" t="s">
        <v>769</v>
      </c>
      <c r="B151" s="2" t="s">
        <v>861</v>
      </c>
      <c r="C151" s="2" t="s">
        <v>29</v>
      </c>
      <c r="D151" s="16">
        <v>0</v>
      </c>
      <c r="E151" s="2" t="s">
        <v>769</v>
      </c>
      <c r="F151" s="2" t="s">
        <v>31</v>
      </c>
      <c r="G151" s="2" t="s">
        <v>862</v>
      </c>
      <c r="H151" s="17">
        <v>81120</v>
      </c>
      <c r="I151" s="2"/>
      <c r="J151" s="2"/>
      <c r="K151" s="17">
        <v>81120</v>
      </c>
      <c r="L151" s="17">
        <v>8691.43</v>
      </c>
      <c r="M151" s="17">
        <v>72428.570000000007</v>
      </c>
      <c r="N151" s="17">
        <v>81120</v>
      </c>
      <c r="O151" s="2"/>
      <c r="P151" s="2"/>
      <c r="Q151" s="31" t="s">
        <v>30</v>
      </c>
      <c r="R151" s="66"/>
      <c r="S151" s="62"/>
      <c r="T151" s="5"/>
    </row>
    <row r="152" spans="1:20">
      <c r="A152" s="2" t="s">
        <v>769</v>
      </c>
      <c r="B152" s="2" t="s">
        <v>863</v>
      </c>
      <c r="C152" s="2" t="s">
        <v>29</v>
      </c>
      <c r="D152" s="16">
        <v>0</v>
      </c>
      <c r="E152" s="2" t="s">
        <v>769</v>
      </c>
      <c r="F152" s="2" t="s">
        <v>31</v>
      </c>
      <c r="G152" s="2" t="s">
        <v>864</v>
      </c>
      <c r="H152" s="17">
        <v>13320</v>
      </c>
      <c r="I152" s="2"/>
      <c r="J152" s="2"/>
      <c r="K152" s="17">
        <v>13320</v>
      </c>
      <c r="L152" s="17">
        <v>1427.14</v>
      </c>
      <c r="M152" s="17">
        <v>11892.86</v>
      </c>
      <c r="N152" s="17">
        <v>13320</v>
      </c>
      <c r="O152" s="2"/>
      <c r="P152" s="2"/>
      <c r="Q152" s="31" t="s">
        <v>30</v>
      </c>
      <c r="R152" s="66"/>
      <c r="S152" s="62"/>
      <c r="T152" s="5"/>
    </row>
    <row r="153" spans="1:20">
      <c r="A153" s="2" t="s">
        <v>915</v>
      </c>
      <c r="B153" s="2" t="s">
        <v>953</v>
      </c>
      <c r="C153" s="2" t="s">
        <v>29</v>
      </c>
      <c r="D153" s="16">
        <v>0</v>
      </c>
      <c r="E153" s="2" t="s">
        <v>915</v>
      </c>
      <c r="F153" s="2" t="s">
        <v>31</v>
      </c>
      <c r="G153" s="2" t="s">
        <v>954</v>
      </c>
      <c r="H153" s="17">
        <v>5460</v>
      </c>
      <c r="I153" s="2"/>
      <c r="J153" s="2"/>
      <c r="K153" s="17">
        <v>5460</v>
      </c>
      <c r="L153" s="18">
        <v>585</v>
      </c>
      <c r="M153" s="17">
        <v>4875</v>
      </c>
      <c r="N153" s="17">
        <v>5460</v>
      </c>
      <c r="O153" s="2"/>
      <c r="P153" s="2"/>
      <c r="Q153" s="31" t="s">
        <v>30</v>
      </c>
      <c r="R153" s="66"/>
      <c r="S153" s="62"/>
      <c r="T153" s="5"/>
    </row>
    <row r="154" spans="1:20">
      <c r="A154" s="2" t="s">
        <v>915</v>
      </c>
      <c r="B154" s="2" t="s">
        <v>955</v>
      </c>
      <c r="C154" s="2" t="s">
        <v>29</v>
      </c>
      <c r="D154" s="16">
        <v>0</v>
      </c>
      <c r="E154" s="2" t="s">
        <v>915</v>
      </c>
      <c r="F154" s="2" t="s">
        <v>31</v>
      </c>
      <c r="G154" s="2" t="s">
        <v>956</v>
      </c>
      <c r="H154" s="17">
        <v>13144</v>
      </c>
      <c r="I154" s="2"/>
      <c r="J154" s="2"/>
      <c r="K154" s="17">
        <v>13144</v>
      </c>
      <c r="L154" s="17">
        <v>1408.29</v>
      </c>
      <c r="M154" s="17">
        <v>11735.71</v>
      </c>
      <c r="N154" s="17">
        <v>13144</v>
      </c>
      <c r="O154" s="2"/>
      <c r="P154" s="2"/>
      <c r="Q154" s="31" t="s">
        <v>30</v>
      </c>
      <c r="R154" s="66"/>
      <c r="S154" s="62"/>
      <c r="T154" s="5"/>
    </row>
    <row r="155" spans="1:20">
      <c r="A155" s="2" t="s">
        <v>1048</v>
      </c>
      <c r="B155" s="2" t="s">
        <v>1052</v>
      </c>
      <c r="C155" s="2" t="s">
        <v>29</v>
      </c>
      <c r="D155" s="16">
        <v>0</v>
      </c>
      <c r="E155" s="2" t="s">
        <v>1048</v>
      </c>
      <c r="F155" s="2" t="s">
        <v>31</v>
      </c>
      <c r="G155" s="2" t="s">
        <v>1053</v>
      </c>
      <c r="H155" s="17">
        <v>142620</v>
      </c>
      <c r="I155" s="2"/>
      <c r="J155" s="2"/>
      <c r="K155" s="17">
        <v>142620</v>
      </c>
      <c r="L155" s="17">
        <v>15280.71</v>
      </c>
      <c r="M155" s="17">
        <v>127339.29</v>
      </c>
      <c r="N155" s="17">
        <v>142620</v>
      </c>
      <c r="O155" s="2"/>
      <c r="P155" s="2"/>
      <c r="Q155" s="31" t="s">
        <v>30</v>
      </c>
      <c r="R155" s="66"/>
      <c r="S155" s="62"/>
      <c r="T155" s="5"/>
    </row>
    <row r="156" spans="1:20">
      <c r="A156" s="2" t="s">
        <v>1048</v>
      </c>
      <c r="B156" s="2" t="s">
        <v>1086</v>
      </c>
      <c r="C156" s="2" t="s">
        <v>29</v>
      </c>
      <c r="D156" s="16">
        <v>0</v>
      </c>
      <c r="E156" s="2" t="s">
        <v>1048</v>
      </c>
      <c r="F156" s="2" t="s">
        <v>31</v>
      </c>
      <c r="G156" s="2" t="s">
        <v>1087</v>
      </c>
      <c r="H156" s="17">
        <v>1840</v>
      </c>
      <c r="I156" s="2"/>
      <c r="J156" s="2"/>
      <c r="K156" s="17">
        <v>1840</v>
      </c>
      <c r="L156" s="18">
        <v>197.14</v>
      </c>
      <c r="M156" s="17">
        <v>1642.86</v>
      </c>
      <c r="N156" s="17">
        <v>1840</v>
      </c>
      <c r="O156" s="2"/>
      <c r="P156" s="2"/>
      <c r="Q156" s="31" t="s">
        <v>30</v>
      </c>
      <c r="R156" s="66"/>
      <c r="S156" s="62"/>
      <c r="T156" s="5"/>
    </row>
    <row r="157" spans="1:20">
      <c r="A157" s="2" t="s">
        <v>1048</v>
      </c>
      <c r="B157" s="2" t="s">
        <v>1090</v>
      </c>
      <c r="C157" s="2" t="s">
        <v>29</v>
      </c>
      <c r="D157" s="16">
        <v>0</v>
      </c>
      <c r="E157" s="2" t="s">
        <v>1048</v>
      </c>
      <c r="F157" s="2" t="s">
        <v>31</v>
      </c>
      <c r="G157" s="2" t="s">
        <v>1091</v>
      </c>
      <c r="H157" s="17">
        <v>244000</v>
      </c>
      <c r="I157" s="2"/>
      <c r="J157" s="2"/>
      <c r="K157" s="17">
        <v>244000</v>
      </c>
      <c r="L157" s="17">
        <v>26142.86</v>
      </c>
      <c r="M157" s="17">
        <v>217857.14</v>
      </c>
      <c r="N157" s="17">
        <v>244000</v>
      </c>
      <c r="O157" s="2"/>
      <c r="P157" s="2"/>
      <c r="Q157" s="31" t="s">
        <v>30</v>
      </c>
      <c r="R157" s="66"/>
      <c r="S157" s="62"/>
      <c r="T157" s="5"/>
    </row>
    <row r="158" spans="1:20">
      <c r="A158" s="2" t="s">
        <v>1117</v>
      </c>
      <c r="B158" s="2" t="s">
        <v>1161</v>
      </c>
      <c r="C158" s="2" t="s">
        <v>29</v>
      </c>
      <c r="D158" s="16">
        <v>0</v>
      </c>
      <c r="E158" s="2" t="s">
        <v>1117</v>
      </c>
      <c r="F158" s="2" t="s">
        <v>31</v>
      </c>
      <c r="G158" s="2" t="s">
        <v>1162</v>
      </c>
      <c r="H158" s="17">
        <v>294000</v>
      </c>
      <c r="I158" s="2"/>
      <c r="J158" s="2"/>
      <c r="K158" s="17">
        <v>294000</v>
      </c>
      <c r="L158" s="17">
        <v>31500</v>
      </c>
      <c r="M158" s="17">
        <v>262500</v>
      </c>
      <c r="N158" s="17">
        <v>294000</v>
      </c>
      <c r="O158" s="2"/>
      <c r="P158" s="2"/>
      <c r="Q158" s="31" t="s">
        <v>30</v>
      </c>
      <c r="R158" s="66"/>
      <c r="S158" s="62"/>
      <c r="T158" s="5"/>
    </row>
    <row r="159" spans="1:20">
      <c r="A159" s="2" t="s">
        <v>1372</v>
      </c>
      <c r="B159" s="2" t="s">
        <v>1432</v>
      </c>
      <c r="C159" s="2" t="s">
        <v>29</v>
      </c>
      <c r="D159" s="16">
        <v>0</v>
      </c>
      <c r="E159" s="2" t="s">
        <v>1372</v>
      </c>
      <c r="F159" s="2" t="s">
        <v>31</v>
      </c>
      <c r="G159" s="2" t="s">
        <v>1433</v>
      </c>
      <c r="H159" s="17">
        <v>40960</v>
      </c>
      <c r="I159" s="2"/>
      <c r="J159" s="2"/>
      <c r="K159" s="17">
        <v>40960</v>
      </c>
      <c r="L159" s="17">
        <v>4388.57</v>
      </c>
      <c r="M159" s="17">
        <v>36571.43</v>
      </c>
      <c r="N159" s="17">
        <v>40960</v>
      </c>
      <c r="O159" s="2"/>
      <c r="P159" s="2"/>
      <c r="Q159" s="31" t="s">
        <v>30</v>
      </c>
      <c r="R159" s="66"/>
      <c r="S159" s="62"/>
      <c r="T159" s="5"/>
    </row>
    <row r="160" spans="1:20">
      <c r="A160" s="2" t="s">
        <v>1372</v>
      </c>
      <c r="B160" s="2" t="s">
        <v>1434</v>
      </c>
      <c r="C160" s="2" t="s">
        <v>29</v>
      </c>
      <c r="D160" s="16">
        <v>0</v>
      </c>
      <c r="E160" s="2" t="s">
        <v>1372</v>
      </c>
      <c r="F160" s="2" t="s">
        <v>31</v>
      </c>
      <c r="G160" s="2" t="s">
        <v>1435</v>
      </c>
      <c r="H160" s="17">
        <v>3670</v>
      </c>
      <c r="I160" s="2"/>
      <c r="J160" s="2"/>
      <c r="K160" s="17">
        <v>3670</v>
      </c>
      <c r="L160" s="18">
        <v>393.21</v>
      </c>
      <c r="M160" s="17">
        <v>3276.79</v>
      </c>
      <c r="N160" s="17">
        <v>3670</v>
      </c>
      <c r="O160" s="2"/>
      <c r="P160" s="2"/>
      <c r="Q160" s="31" t="s">
        <v>30</v>
      </c>
      <c r="R160" s="66"/>
      <c r="S160" s="62"/>
      <c r="T160" s="5"/>
    </row>
    <row r="161" spans="1:20">
      <c r="A161" s="2" t="s">
        <v>1372</v>
      </c>
      <c r="B161" s="2" t="s">
        <v>1436</v>
      </c>
      <c r="C161" s="2" t="s">
        <v>29</v>
      </c>
      <c r="D161" s="16">
        <v>0</v>
      </c>
      <c r="E161" s="2" t="s">
        <v>1372</v>
      </c>
      <c r="F161" s="2" t="s">
        <v>31</v>
      </c>
      <c r="G161" s="2" t="s">
        <v>1437</v>
      </c>
      <c r="H161" s="17">
        <v>7250</v>
      </c>
      <c r="I161" s="2"/>
      <c r="J161" s="2"/>
      <c r="K161" s="17">
        <v>7250</v>
      </c>
      <c r="L161" s="18">
        <v>776.79</v>
      </c>
      <c r="M161" s="17">
        <v>6473.21</v>
      </c>
      <c r="N161" s="17">
        <v>7250</v>
      </c>
      <c r="O161" s="2"/>
      <c r="P161" s="2"/>
      <c r="Q161" s="31" t="s">
        <v>30</v>
      </c>
      <c r="R161" s="66"/>
      <c r="S161" s="62"/>
      <c r="T161" s="5"/>
    </row>
    <row r="162" spans="1:20">
      <c r="A162" s="2" t="s">
        <v>1467</v>
      </c>
      <c r="B162" s="2" t="s">
        <v>1485</v>
      </c>
      <c r="C162" s="2" t="s">
        <v>29</v>
      </c>
      <c r="D162" s="16">
        <v>0</v>
      </c>
      <c r="E162" s="2" t="s">
        <v>1467</v>
      </c>
      <c r="F162" s="2" t="s">
        <v>31</v>
      </c>
      <c r="G162" s="2" t="s">
        <v>1486</v>
      </c>
      <c r="H162" s="17">
        <v>93896</v>
      </c>
      <c r="I162" s="2"/>
      <c r="J162" s="2"/>
      <c r="K162" s="17">
        <v>93896</v>
      </c>
      <c r="L162" s="17">
        <v>10060.290000000001</v>
      </c>
      <c r="M162" s="17">
        <v>83835.710000000006</v>
      </c>
      <c r="N162" s="17">
        <v>93896</v>
      </c>
      <c r="O162" s="2"/>
      <c r="P162" s="2"/>
      <c r="Q162" s="31" t="s">
        <v>30</v>
      </c>
      <c r="R162" s="66"/>
      <c r="S162" s="62"/>
      <c r="T162" s="5"/>
    </row>
    <row r="163" spans="1:20">
      <c r="A163" s="2" t="s">
        <v>1467</v>
      </c>
      <c r="B163" s="2" t="s">
        <v>1487</v>
      </c>
      <c r="C163" s="2" t="s">
        <v>29</v>
      </c>
      <c r="D163" s="16">
        <v>0</v>
      </c>
      <c r="E163" s="2" t="s">
        <v>1467</v>
      </c>
      <c r="F163" s="2" t="s">
        <v>31</v>
      </c>
      <c r="G163" s="2" t="s">
        <v>1488</v>
      </c>
      <c r="H163" s="17">
        <v>3492</v>
      </c>
      <c r="I163" s="2"/>
      <c r="J163" s="2"/>
      <c r="K163" s="17">
        <v>3492</v>
      </c>
      <c r="L163" s="18">
        <v>374.14</v>
      </c>
      <c r="M163" s="17">
        <v>3117.86</v>
      </c>
      <c r="N163" s="17">
        <v>3492</v>
      </c>
      <c r="O163" s="2"/>
      <c r="P163" s="2"/>
      <c r="Q163" s="31" t="s">
        <v>30</v>
      </c>
      <c r="R163" s="66"/>
      <c r="S163" s="62"/>
      <c r="T163" s="5"/>
    </row>
    <row r="164" spans="1:20">
      <c r="A164" s="2" t="s">
        <v>1467</v>
      </c>
      <c r="B164" s="2" t="s">
        <v>1489</v>
      </c>
      <c r="C164" s="2" t="s">
        <v>29</v>
      </c>
      <c r="D164" s="16">
        <v>0</v>
      </c>
      <c r="E164" s="2" t="s">
        <v>1467</v>
      </c>
      <c r="F164" s="2" t="s">
        <v>31</v>
      </c>
      <c r="G164" s="2" t="s">
        <v>1490</v>
      </c>
      <c r="H164" s="17">
        <v>124548</v>
      </c>
      <c r="I164" s="2"/>
      <c r="J164" s="2"/>
      <c r="K164" s="17">
        <v>124548</v>
      </c>
      <c r="L164" s="17">
        <v>13344.43</v>
      </c>
      <c r="M164" s="17">
        <v>111203.57</v>
      </c>
      <c r="N164" s="17">
        <v>124548</v>
      </c>
      <c r="O164" s="2"/>
      <c r="P164" s="2"/>
      <c r="Q164" s="31" t="s">
        <v>30</v>
      </c>
      <c r="R164" s="66"/>
      <c r="S164" s="62"/>
      <c r="T164" s="5"/>
    </row>
    <row r="165" spans="1:20">
      <c r="A165" s="2" t="s">
        <v>1467</v>
      </c>
      <c r="B165" s="2" t="s">
        <v>1507</v>
      </c>
      <c r="C165" s="2" t="s">
        <v>29</v>
      </c>
      <c r="D165" s="16">
        <v>0</v>
      </c>
      <c r="E165" s="2" t="s">
        <v>1467</v>
      </c>
      <c r="F165" s="2" t="s">
        <v>31</v>
      </c>
      <c r="G165" s="2" t="s">
        <v>1508</v>
      </c>
      <c r="H165" s="17">
        <v>24000</v>
      </c>
      <c r="I165" s="2"/>
      <c r="J165" s="2"/>
      <c r="K165" s="17">
        <v>24000</v>
      </c>
      <c r="L165" s="17">
        <v>2571.4299999999998</v>
      </c>
      <c r="M165" s="17">
        <v>21428.57</v>
      </c>
      <c r="N165" s="17">
        <v>24000</v>
      </c>
      <c r="O165" s="2"/>
      <c r="P165" s="2"/>
      <c r="Q165" s="31" t="s">
        <v>30</v>
      </c>
      <c r="R165" s="66"/>
      <c r="S165" s="62"/>
      <c r="T165" s="5"/>
    </row>
    <row r="166" spans="1:20">
      <c r="A166" s="2" t="s">
        <v>1467</v>
      </c>
      <c r="B166" s="2" t="s">
        <v>1509</v>
      </c>
      <c r="C166" s="2" t="s">
        <v>29</v>
      </c>
      <c r="D166" s="16">
        <v>0</v>
      </c>
      <c r="E166" s="2" t="s">
        <v>1467</v>
      </c>
      <c r="F166" s="2" t="s">
        <v>31</v>
      </c>
      <c r="G166" s="2" t="s">
        <v>1510</v>
      </c>
      <c r="H166" s="17">
        <v>77690</v>
      </c>
      <c r="I166" s="2"/>
      <c r="J166" s="2"/>
      <c r="K166" s="17">
        <v>77690</v>
      </c>
      <c r="L166" s="17">
        <v>8323.93</v>
      </c>
      <c r="M166" s="17">
        <v>69366.070000000007</v>
      </c>
      <c r="N166" s="17">
        <v>77690</v>
      </c>
      <c r="O166" s="2"/>
      <c r="P166" s="2"/>
      <c r="Q166" s="31" t="s">
        <v>30</v>
      </c>
      <c r="R166" s="66"/>
      <c r="S166" s="62"/>
      <c r="T166" s="5"/>
    </row>
    <row r="167" spans="1:20">
      <c r="A167" s="2" t="s">
        <v>1467</v>
      </c>
      <c r="B167" s="2" t="s">
        <v>1511</v>
      </c>
      <c r="C167" s="2" t="s">
        <v>29</v>
      </c>
      <c r="D167" s="16">
        <v>0</v>
      </c>
      <c r="E167" s="2" t="s">
        <v>1467</v>
      </c>
      <c r="F167" s="2" t="s">
        <v>31</v>
      </c>
      <c r="G167" s="2" t="s">
        <v>1512</v>
      </c>
      <c r="H167" s="17">
        <v>2080</v>
      </c>
      <c r="I167" s="2"/>
      <c r="J167" s="2"/>
      <c r="K167" s="17">
        <v>2080</v>
      </c>
      <c r="L167" s="18">
        <v>222.86</v>
      </c>
      <c r="M167" s="17">
        <v>1857.14</v>
      </c>
      <c r="N167" s="17">
        <v>2080</v>
      </c>
      <c r="O167" s="2"/>
      <c r="P167" s="2"/>
      <c r="Q167" s="31" t="s">
        <v>30</v>
      </c>
      <c r="R167" s="66"/>
      <c r="S167" s="62"/>
      <c r="T167" s="5"/>
    </row>
    <row r="168" spans="1:20">
      <c r="A168" s="2" t="s">
        <v>1467</v>
      </c>
      <c r="B168" s="2" t="s">
        <v>1513</v>
      </c>
      <c r="C168" s="2" t="s">
        <v>29</v>
      </c>
      <c r="D168" s="16">
        <v>0</v>
      </c>
      <c r="E168" s="2" t="s">
        <v>1467</v>
      </c>
      <c r="F168" s="2" t="s">
        <v>31</v>
      </c>
      <c r="G168" s="2" t="s">
        <v>1514</v>
      </c>
      <c r="H168" s="17">
        <v>2400</v>
      </c>
      <c r="I168" s="2"/>
      <c r="J168" s="2"/>
      <c r="K168" s="17">
        <v>2400</v>
      </c>
      <c r="L168" s="18">
        <v>257.14</v>
      </c>
      <c r="M168" s="17">
        <v>2142.86</v>
      </c>
      <c r="N168" s="17">
        <v>2400</v>
      </c>
      <c r="O168" s="2"/>
      <c r="P168" s="2"/>
      <c r="Q168" s="31" t="s">
        <v>30</v>
      </c>
      <c r="R168" s="66"/>
      <c r="S168" s="62"/>
      <c r="T168" s="5"/>
    </row>
    <row r="169" spans="1:20">
      <c r="A169" s="2" t="s">
        <v>1467</v>
      </c>
      <c r="B169" s="2" t="s">
        <v>1536</v>
      </c>
      <c r="C169" s="2" t="s">
        <v>29</v>
      </c>
      <c r="D169" s="16">
        <v>0</v>
      </c>
      <c r="E169" s="2" t="s">
        <v>1467</v>
      </c>
      <c r="F169" s="2" t="s">
        <v>31</v>
      </c>
      <c r="G169" s="2" t="s">
        <v>1537</v>
      </c>
      <c r="H169" s="17">
        <v>112032</v>
      </c>
      <c r="I169" s="2"/>
      <c r="J169" s="2"/>
      <c r="K169" s="17">
        <v>112032</v>
      </c>
      <c r="L169" s="17">
        <v>12003.43</v>
      </c>
      <c r="M169" s="17">
        <v>100028.57</v>
      </c>
      <c r="N169" s="17">
        <v>112032</v>
      </c>
      <c r="O169" s="2"/>
      <c r="P169" s="2"/>
      <c r="Q169" s="31" t="s">
        <v>30</v>
      </c>
      <c r="R169" s="66"/>
      <c r="S169" s="62"/>
      <c r="T169" s="5"/>
    </row>
    <row r="170" spans="1:20">
      <c r="A170" s="2" t="s">
        <v>1467</v>
      </c>
      <c r="B170" s="2" t="s">
        <v>1540</v>
      </c>
      <c r="C170" s="2" t="s">
        <v>29</v>
      </c>
      <c r="D170" s="16">
        <v>0</v>
      </c>
      <c r="E170" s="2" t="s">
        <v>1467</v>
      </c>
      <c r="F170" s="2" t="s">
        <v>31</v>
      </c>
      <c r="G170" s="2" t="s">
        <v>1541</v>
      </c>
      <c r="H170" s="17">
        <v>47600</v>
      </c>
      <c r="I170" s="2"/>
      <c r="J170" s="2"/>
      <c r="K170" s="17">
        <v>47600</v>
      </c>
      <c r="L170" s="17">
        <v>5100</v>
      </c>
      <c r="M170" s="17">
        <v>42500</v>
      </c>
      <c r="N170" s="17">
        <v>47600</v>
      </c>
      <c r="O170" s="2"/>
      <c r="P170" s="2"/>
      <c r="Q170" s="31" t="s">
        <v>30</v>
      </c>
      <c r="R170" s="66"/>
      <c r="S170" s="62"/>
      <c r="T170" s="5"/>
    </row>
    <row r="171" spans="1:20">
      <c r="A171" s="2" t="s">
        <v>1467</v>
      </c>
      <c r="B171" s="2" t="s">
        <v>1544</v>
      </c>
      <c r="C171" s="2" t="s">
        <v>29</v>
      </c>
      <c r="D171" s="16">
        <v>0</v>
      </c>
      <c r="E171" s="2" t="s">
        <v>1467</v>
      </c>
      <c r="F171" s="2" t="s">
        <v>31</v>
      </c>
      <c r="G171" s="2" t="s">
        <v>1545</v>
      </c>
      <c r="H171" s="17">
        <v>12600</v>
      </c>
      <c r="I171" s="2"/>
      <c r="J171" s="2"/>
      <c r="K171" s="17">
        <v>12600</v>
      </c>
      <c r="L171" s="17">
        <v>1350</v>
      </c>
      <c r="M171" s="17">
        <v>11250</v>
      </c>
      <c r="N171" s="17">
        <v>12600</v>
      </c>
      <c r="O171" s="2"/>
      <c r="P171" s="2"/>
      <c r="Q171" s="31" t="s">
        <v>30</v>
      </c>
      <c r="R171" s="66"/>
      <c r="S171" s="62"/>
      <c r="T171" s="5"/>
    </row>
    <row r="172" spans="1:20">
      <c r="A172" s="2" t="s">
        <v>1467</v>
      </c>
      <c r="B172" s="2" t="s">
        <v>1546</v>
      </c>
      <c r="C172" s="2" t="s">
        <v>29</v>
      </c>
      <c r="D172" s="16">
        <v>0</v>
      </c>
      <c r="E172" s="2" t="s">
        <v>1467</v>
      </c>
      <c r="F172" s="2" t="s">
        <v>31</v>
      </c>
      <c r="G172" s="2" t="s">
        <v>1547</v>
      </c>
      <c r="H172" s="17">
        <v>2600</v>
      </c>
      <c r="I172" s="2"/>
      <c r="J172" s="2"/>
      <c r="K172" s="17">
        <v>2600</v>
      </c>
      <c r="L172" s="18">
        <v>278.57</v>
      </c>
      <c r="M172" s="17">
        <v>2321.4299999999998</v>
      </c>
      <c r="N172" s="17">
        <v>2600</v>
      </c>
      <c r="O172" s="2"/>
      <c r="P172" s="2"/>
      <c r="Q172" s="31" t="s">
        <v>30</v>
      </c>
      <c r="R172" s="66"/>
      <c r="S172" s="62"/>
      <c r="T172" s="5"/>
    </row>
    <row r="173" spans="1:20">
      <c r="A173" s="2" t="s">
        <v>1467</v>
      </c>
      <c r="B173" s="2" t="s">
        <v>1548</v>
      </c>
      <c r="C173" s="2" t="s">
        <v>29</v>
      </c>
      <c r="D173" s="16">
        <v>0</v>
      </c>
      <c r="E173" s="2" t="s">
        <v>1467</v>
      </c>
      <c r="F173" s="2" t="s">
        <v>31</v>
      </c>
      <c r="G173" s="2" t="s">
        <v>1549</v>
      </c>
      <c r="H173" s="17">
        <v>32250</v>
      </c>
      <c r="I173" s="2"/>
      <c r="J173" s="2"/>
      <c r="K173" s="17">
        <v>32250</v>
      </c>
      <c r="L173" s="17">
        <v>3455.36</v>
      </c>
      <c r="M173" s="17">
        <v>28794.639999999999</v>
      </c>
      <c r="N173" s="17">
        <v>32250</v>
      </c>
      <c r="O173" s="2"/>
      <c r="P173" s="2"/>
      <c r="Q173" s="31" t="s">
        <v>30</v>
      </c>
      <c r="R173" s="65"/>
      <c r="S173" s="62"/>
      <c r="T173" s="5"/>
    </row>
    <row r="174" spans="1:20">
      <c r="A174" s="2" t="s">
        <v>1217</v>
      </c>
      <c r="B174" s="2" t="s">
        <v>1247</v>
      </c>
      <c r="C174" s="2" t="s">
        <v>60</v>
      </c>
      <c r="D174" s="16">
        <v>0</v>
      </c>
      <c r="E174" s="2" t="s">
        <v>1217</v>
      </c>
      <c r="F174" s="2" t="s">
        <v>1248</v>
      </c>
      <c r="G174" s="2" t="s">
        <v>1249</v>
      </c>
      <c r="H174" s="17">
        <v>106715</v>
      </c>
      <c r="I174" s="2"/>
      <c r="J174" s="2"/>
      <c r="K174" s="17">
        <v>106715</v>
      </c>
      <c r="L174" s="17">
        <v>11433.75</v>
      </c>
      <c r="M174" s="17">
        <v>95281.25</v>
      </c>
      <c r="N174" s="17">
        <v>106715</v>
      </c>
      <c r="O174" s="2"/>
      <c r="P174" s="2"/>
      <c r="Q174" s="31" t="s">
        <v>30</v>
      </c>
      <c r="R174" s="61">
        <f>+K174+K175</f>
        <v>111045</v>
      </c>
      <c r="S174" s="62"/>
      <c r="T174" s="5"/>
    </row>
    <row r="175" spans="1:20">
      <c r="A175" s="2" t="s">
        <v>1287</v>
      </c>
      <c r="B175" s="2" t="s">
        <v>1318</v>
      </c>
      <c r="C175" s="2" t="s">
        <v>60</v>
      </c>
      <c r="D175" s="16">
        <v>0</v>
      </c>
      <c r="E175" s="2" t="s">
        <v>1287</v>
      </c>
      <c r="F175" s="2" t="s">
        <v>1248</v>
      </c>
      <c r="G175" s="2" t="s">
        <v>1319</v>
      </c>
      <c r="H175" s="17">
        <v>4330</v>
      </c>
      <c r="I175" s="2"/>
      <c r="J175" s="2"/>
      <c r="K175" s="17">
        <v>4330</v>
      </c>
      <c r="L175" s="18">
        <v>463.93</v>
      </c>
      <c r="M175" s="17">
        <v>3866.07</v>
      </c>
      <c r="N175" s="17">
        <v>4330</v>
      </c>
      <c r="O175" s="2"/>
      <c r="P175" s="2"/>
      <c r="Q175" s="31" t="s">
        <v>30</v>
      </c>
      <c r="R175" s="63"/>
      <c r="S175" s="62"/>
      <c r="T175" s="5"/>
    </row>
    <row r="176" spans="1:20">
      <c r="A176" s="2" t="s">
        <v>689</v>
      </c>
      <c r="B176" s="2" t="s">
        <v>711</v>
      </c>
      <c r="C176" s="2" t="s">
        <v>104</v>
      </c>
      <c r="D176" s="16">
        <v>0</v>
      </c>
      <c r="E176" s="2" t="s">
        <v>689</v>
      </c>
      <c r="F176" s="2" t="s">
        <v>712</v>
      </c>
      <c r="G176" s="2" t="s">
        <v>713</v>
      </c>
      <c r="H176" s="17">
        <v>397768</v>
      </c>
      <c r="I176" s="2"/>
      <c r="J176" s="2"/>
      <c r="K176" s="17">
        <v>397768</v>
      </c>
      <c r="L176" s="17">
        <v>42618</v>
      </c>
      <c r="M176" s="17">
        <v>355150</v>
      </c>
      <c r="N176" s="17">
        <v>397768</v>
      </c>
      <c r="O176" s="2"/>
      <c r="P176" s="2"/>
      <c r="Q176" s="31" t="s">
        <v>30</v>
      </c>
      <c r="R176" s="61">
        <f>+K176+K177+K178</f>
        <v>483656</v>
      </c>
      <c r="S176" s="62"/>
      <c r="T176" s="5"/>
    </row>
    <row r="177" spans="1:20">
      <c r="A177" s="2" t="s">
        <v>689</v>
      </c>
      <c r="B177" s="2" t="s">
        <v>714</v>
      </c>
      <c r="C177" s="2" t="s">
        <v>104</v>
      </c>
      <c r="D177" s="16">
        <v>0</v>
      </c>
      <c r="E177" s="2" t="s">
        <v>689</v>
      </c>
      <c r="F177" s="2" t="s">
        <v>712</v>
      </c>
      <c r="G177" s="2" t="s">
        <v>715</v>
      </c>
      <c r="H177" s="17">
        <v>38400</v>
      </c>
      <c r="I177" s="2"/>
      <c r="J177" s="2"/>
      <c r="K177" s="17">
        <v>38400</v>
      </c>
      <c r="L177" s="17">
        <v>4114.29</v>
      </c>
      <c r="M177" s="17">
        <v>34285.71</v>
      </c>
      <c r="N177" s="17">
        <v>38400</v>
      </c>
      <c r="O177" s="2"/>
      <c r="P177" s="2"/>
      <c r="Q177" s="31" t="s">
        <v>30</v>
      </c>
      <c r="R177" s="62"/>
      <c r="S177" s="62"/>
      <c r="T177" s="5"/>
    </row>
    <row r="178" spans="1:20">
      <c r="A178" s="2" t="s">
        <v>689</v>
      </c>
      <c r="B178" s="2" t="s">
        <v>716</v>
      </c>
      <c r="C178" s="2" t="s">
        <v>104</v>
      </c>
      <c r="D178" s="16">
        <v>0</v>
      </c>
      <c r="E178" s="2" t="s">
        <v>689</v>
      </c>
      <c r="F178" s="2" t="s">
        <v>712</v>
      </c>
      <c r="G178" s="2" t="s">
        <v>717</v>
      </c>
      <c r="H178" s="17">
        <v>47488</v>
      </c>
      <c r="I178" s="2"/>
      <c r="J178" s="2"/>
      <c r="K178" s="17">
        <v>47488</v>
      </c>
      <c r="L178" s="17">
        <v>5088</v>
      </c>
      <c r="M178" s="17">
        <v>42400</v>
      </c>
      <c r="N178" s="17">
        <v>47488</v>
      </c>
      <c r="O178" s="2"/>
      <c r="P178" s="2"/>
      <c r="Q178" s="31" t="s">
        <v>30</v>
      </c>
      <c r="R178" s="63"/>
      <c r="S178" s="62"/>
      <c r="T178" s="5"/>
    </row>
    <row r="179" spans="1:20">
      <c r="A179" s="2" t="s">
        <v>17</v>
      </c>
      <c r="B179" s="2" t="s">
        <v>39</v>
      </c>
      <c r="C179" s="2" t="s">
        <v>29</v>
      </c>
      <c r="D179" s="16">
        <v>0</v>
      </c>
      <c r="E179" s="2" t="s">
        <v>17</v>
      </c>
      <c r="F179" s="2" t="s">
        <v>40</v>
      </c>
      <c r="G179" s="2" t="s">
        <v>41</v>
      </c>
      <c r="H179" s="17">
        <v>186500</v>
      </c>
      <c r="I179" s="2"/>
      <c r="J179" s="2"/>
      <c r="K179" s="17">
        <v>186500</v>
      </c>
      <c r="L179" s="17">
        <v>19982.14</v>
      </c>
      <c r="M179" s="17">
        <v>166517.85999999999</v>
      </c>
      <c r="N179" s="17">
        <v>186500</v>
      </c>
      <c r="O179" s="2"/>
      <c r="P179" s="2"/>
      <c r="Q179" s="31" t="s">
        <v>30</v>
      </c>
      <c r="R179" s="61">
        <f>+K179+K180+K181+K182</f>
        <v>1339900</v>
      </c>
      <c r="S179" s="62"/>
      <c r="T179" s="5"/>
    </row>
    <row r="180" spans="1:20">
      <c r="A180" s="2" t="s">
        <v>17</v>
      </c>
      <c r="B180" s="2" t="s">
        <v>42</v>
      </c>
      <c r="C180" s="2" t="s">
        <v>29</v>
      </c>
      <c r="D180" s="16">
        <v>0</v>
      </c>
      <c r="E180" s="2" t="s">
        <v>17</v>
      </c>
      <c r="F180" s="2" t="s">
        <v>40</v>
      </c>
      <c r="G180" s="2" t="s">
        <v>43</v>
      </c>
      <c r="H180" s="17">
        <v>70000</v>
      </c>
      <c r="I180" s="2"/>
      <c r="J180" s="2"/>
      <c r="K180" s="17">
        <v>70000</v>
      </c>
      <c r="L180" s="17">
        <v>7500</v>
      </c>
      <c r="M180" s="17">
        <v>62500</v>
      </c>
      <c r="N180" s="17">
        <v>70000</v>
      </c>
      <c r="O180" s="2"/>
      <c r="P180" s="2"/>
      <c r="Q180" s="31" t="s">
        <v>30</v>
      </c>
      <c r="R180" s="62"/>
      <c r="S180" s="62"/>
      <c r="T180" s="5"/>
    </row>
    <row r="181" spans="1:20">
      <c r="A181" s="2" t="s">
        <v>17</v>
      </c>
      <c r="B181" s="2" t="s">
        <v>87</v>
      </c>
      <c r="C181" s="2" t="s">
        <v>29</v>
      </c>
      <c r="D181" s="16">
        <v>0</v>
      </c>
      <c r="E181" s="2" t="s">
        <v>17</v>
      </c>
      <c r="F181" s="2" t="s">
        <v>40</v>
      </c>
      <c r="G181" s="2" t="s">
        <v>88</v>
      </c>
      <c r="H181" s="17">
        <v>1008800</v>
      </c>
      <c r="I181" s="2"/>
      <c r="J181" s="2"/>
      <c r="K181" s="17">
        <v>1008800</v>
      </c>
      <c r="L181" s="17">
        <v>108085.71</v>
      </c>
      <c r="M181" s="17">
        <v>900714.29</v>
      </c>
      <c r="N181" s="17">
        <v>1008800</v>
      </c>
      <c r="O181" s="2"/>
      <c r="P181" s="2"/>
      <c r="Q181" s="31" t="s">
        <v>30</v>
      </c>
      <c r="R181" s="62"/>
      <c r="S181" s="62"/>
      <c r="T181" s="5"/>
    </row>
    <row r="182" spans="1:20">
      <c r="A182" s="2" t="s">
        <v>1217</v>
      </c>
      <c r="B182" s="2" t="s">
        <v>1284</v>
      </c>
      <c r="C182" s="2" t="s">
        <v>29</v>
      </c>
      <c r="D182" s="16">
        <v>0</v>
      </c>
      <c r="E182" s="2" t="s">
        <v>1217</v>
      </c>
      <c r="F182" s="2" t="s">
        <v>40</v>
      </c>
      <c r="G182" s="2" t="s">
        <v>1285</v>
      </c>
      <c r="H182" s="17">
        <v>74600</v>
      </c>
      <c r="I182" s="2"/>
      <c r="J182" s="2"/>
      <c r="K182" s="17">
        <v>74600</v>
      </c>
      <c r="L182" s="17">
        <v>7992.86</v>
      </c>
      <c r="M182" s="17">
        <v>66607.14</v>
      </c>
      <c r="N182" s="17">
        <v>74600</v>
      </c>
      <c r="O182" s="2"/>
      <c r="P182" s="2"/>
      <c r="Q182" s="31" t="s">
        <v>30</v>
      </c>
      <c r="R182" s="63"/>
      <c r="S182" s="62"/>
      <c r="T182" s="5"/>
    </row>
    <row r="183" spans="1:20">
      <c r="A183" s="2" t="s">
        <v>17</v>
      </c>
      <c r="B183" s="2" t="s">
        <v>84</v>
      </c>
      <c r="C183" s="2" t="s">
        <v>60</v>
      </c>
      <c r="D183" s="16">
        <v>0</v>
      </c>
      <c r="E183" s="2" t="s">
        <v>17</v>
      </c>
      <c r="F183" s="2" t="s">
        <v>85</v>
      </c>
      <c r="G183" s="2" t="s">
        <v>86</v>
      </c>
      <c r="H183" s="17">
        <v>266373</v>
      </c>
      <c r="I183" s="2"/>
      <c r="J183" s="2"/>
      <c r="K183" s="17">
        <v>266373</v>
      </c>
      <c r="L183" s="17">
        <v>28539.96</v>
      </c>
      <c r="M183" s="17">
        <v>237833.04</v>
      </c>
      <c r="N183" s="17">
        <v>266373</v>
      </c>
      <c r="O183" s="2"/>
      <c r="P183" s="2"/>
      <c r="Q183" s="31" t="s">
        <v>30</v>
      </c>
      <c r="R183" s="32">
        <f>+K183</f>
        <v>266373</v>
      </c>
      <c r="S183" s="62"/>
      <c r="T183" s="5"/>
    </row>
    <row r="184" spans="1:20">
      <c r="A184" s="2" t="s">
        <v>93</v>
      </c>
      <c r="B184" s="2" t="s">
        <v>154</v>
      </c>
      <c r="C184" s="2" t="s">
        <v>29</v>
      </c>
      <c r="D184" s="16">
        <v>0</v>
      </c>
      <c r="E184" s="2" t="s">
        <v>93</v>
      </c>
      <c r="F184" s="2" t="s">
        <v>155</v>
      </c>
      <c r="G184" s="2" t="s">
        <v>156</v>
      </c>
      <c r="H184" s="17">
        <v>168000</v>
      </c>
      <c r="I184" s="2"/>
      <c r="J184" s="2"/>
      <c r="K184" s="17">
        <v>168000</v>
      </c>
      <c r="L184" s="17">
        <v>18000</v>
      </c>
      <c r="M184" s="17">
        <v>150000</v>
      </c>
      <c r="N184" s="17">
        <v>168000</v>
      </c>
      <c r="O184" s="2"/>
      <c r="P184" s="2"/>
      <c r="Q184" s="31" t="s">
        <v>30</v>
      </c>
      <c r="R184" s="61">
        <f>+K184+K185+K186+K187+K188+K189+K190+K191+K192+K193+K194</f>
        <v>705028</v>
      </c>
      <c r="S184" s="62"/>
      <c r="T184" s="5"/>
    </row>
    <row r="185" spans="1:20">
      <c r="A185" s="2" t="s">
        <v>93</v>
      </c>
      <c r="B185" s="2" t="s">
        <v>157</v>
      </c>
      <c r="C185" s="2" t="s">
        <v>29</v>
      </c>
      <c r="D185" s="16">
        <v>0</v>
      </c>
      <c r="E185" s="2" t="s">
        <v>93</v>
      </c>
      <c r="F185" s="2" t="s">
        <v>155</v>
      </c>
      <c r="G185" s="2" t="s">
        <v>158</v>
      </c>
      <c r="H185" s="17">
        <v>13800</v>
      </c>
      <c r="I185" s="2"/>
      <c r="J185" s="2"/>
      <c r="K185" s="17">
        <v>13800</v>
      </c>
      <c r="L185" s="17">
        <v>1478.57</v>
      </c>
      <c r="M185" s="17">
        <v>12321.43</v>
      </c>
      <c r="N185" s="17">
        <v>13800</v>
      </c>
      <c r="O185" s="2"/>
      <c r="P185" s="2"/>
      <c r="Q185" s="31" t="s">
        <v>30</v>
      </c>
      <c r="R185" s="62"/>
      <c r="S185" s="62"/>
      <c r="T185" s="5"/>
    </row>
    <row r="186" spans="1:20">
      <c r="A186" s="2" t="s">
        <v>93</v>
      </c>
      <c r="B186" s="2" t="s">
        <v>159</v>
      </c>
      <c r="C186" s="2" t="s">
        <v>29</v>
      </c>
      <c r="D186" s="16">
        <v>0</v>
      </c>
      <c r="E186" s="2" t="s">
        <v>93</v>
      </c>
      <c r="F186" s="2" t="s">
        <v>155</v>
      </c>
      <c r="G186" s="2" t="s">
        <v>160</v>
      </c>
      <c r="H186" s="17">
        <v>109781</v>
      </c>
      <c r="I186" s="2"/>
      <c r="J186" s="2"/>
      <c r="K186" s="17">
        <v>109781</v>
      </c>
      <c r="L186" s="17">
        <v>11762.25</v>
      </c>
      <c r="M186" s="17">
        <v>98018.75</v>
      </c>
      <c r="N186" s="17">
        <v>109781</v>
      </c>
      <c r="O186" s="2"/>
      <c r="P186" s="2"/>
      <c r="Q186" s="31" t="s">
        <v>30</v>
      </c>
      <c r="R186" s="62"/>
      <c r="S186" s="62"/>
      <c r="T186" s="5"/>
    </row>
    <row r="187" spans="1:20">
      <c r="A187" s="2" t="s">
        <v>505</v>
      </c>
      <c r="B187" s="2" t="s">
        <v>567</v>
      </c>
      <c r="C187" s="2" t="s">
        <v>29</v>
      </c>
      <c r="D187" s="16">
        <v>0</v>
      </c>
      <c r="E187" s="2" t="s">
        <v>505</v>
      </c>
      <c r="F187" s="2" t="s">
        <v>155</v>
      </c>
      <c r="G187" s="2" t="s">
        <v>568</v>
      </c>
      <c r="H187" s="17">
        <v>100352</v>
      </c>
      <c r="I187" s="2"/>
      <c r="J187" s="2"/>
      <c r="K187" s="17">
        <v>100352</v>
      </c>
      <c r="L187" s="17">
        <v>10752</v>
      </c>
      <c r="M187" s="17">
        <v>89600</v>
      </c>
      <c r="N187" s="17">
        <v>100352</v>
      </c>
      <c r="O187" s="2"/>
      <c r="P187" s="2"/>
      <c r="Q187" s="31" t="s">
        <v>30</v>
      </c>
      <c r="R187" s="62"/>
      <c r="S187" s="62"/>
      <c r="T187" s="5"/>
    </row>
    <row r="188" spans="1:20">
      <c r="A188" s="2" t="s">
        <v>769</v>
      </c>
      <c r="B188" s="2" t="s">
        <v>798</v>
      </c>
      <c r="C188" s="2" t="s">
        <v>29</v>
      </c>
      <c r="D188" s="16">
        <v>0</v>
      </c>
      <c r="E188" s="2" t="s">
        <v>769</v>
      </c>
      <c r="F188" s="2" t="s">
        <v>155</v>
      </c>
      <c r="G188" s="2" t="s">
        <v>799</v>
      </c>
      <c r="H188" s="17">
        <v>103537</v>
      </c>
      <c r="I188" s="2"/>
      <c r="J188" s="2"/>
      <c r="K188" s="17">
        <v>103537</v>
      </c>
      <c r="L188" s="17">
        <v>11093.25</v>
      </c>
      <c r="M188" s="17">
        <v>92443.75</v>
      </c>
      <c r="N188" s="17">
        <v>103537</v>
      </c>
      <c r="O188" s="2"/>
      <c r="P188" s="2"/>
      <c r="Q188" s="31" t="s">
        <v>30</v>
      </c>
      <c r="R188" s="62"/>
      <c r="S188" s="62"/>
      <c r="T188" s="5"/>
    </row>
    <row r="189" spans="1:20">
      <c r="A189" s="2" t="s">
        <v>769</v>
      </c>
      <c r="B189" s="2" t="s">
        <v>800</v>
      </c>
      <c r="C189" s="2" t="s">
        <v>29</v>
      </c>
      <c r="D189" s="16">
        <v>0</v>
      </c>
      <c r="E189" s="2" t="s">
        <v>769</v>
      </c>
      <c r="F189" s="2" t="s">
        <v>155</v>
      </c>
      <c r="G189" s="2" t="s">
        <v>801</v>
      </c>
      <c r="H189" s="17">
        <v>58800</v>
      </c>
      <c r="I189" s="2"/>
      <c r="J189" s="2"/>
      <c r="K189" s="17">
        <v>58800</v>
      </c>
      <c r="L189" s="17">
        <v>6300</v>
      </c>
      <c r="M189" s="17">
        <v>52500</v>
      </c>
      <c r="N189" s="17">
        <v>58800</v>
      </c>
      <c r="O189" s="2"/>
      <c r="P189" s="2"/>
      <c r="Q189" s="31" t="s">
        <v>30</v>
      </c>
      <c r="R189" s="62"/>
      <c r="S189" s="62"/>
      <c r="T189" s="5"/>
    </row>
    <row r="190" spans="1:20">
      <c r="A190" s="2" t="s">
        <v>769</v>
      </c>
      <c r="B190" s="2" t="s">
        <v>802</v>
      </c>
      <c r="C190" s="2" t="s">
        <v>29</v>
      </c>
      <c r="D190" s="16">
        <v>0</v>
      </c>
      <c r="E190" s="2" t="s">
        <v>769</v>
      </c>
      <c r="F190" s="2" t="s">
        <v>155</v>
      </c>
      <c r="G190" s="2" t="s">
        <v>803</v>
      </c>
      <c r="H190" s="17">
        <v>8400</v>
      </c>
      <c r="I190" s="2"/>
      <c r="J190" s="2"/>
      <c r="K190" s="17">
        <v>8400</v>
      </c>
      <c r="L190" s="18">
        <v>900</v>
      </c>
      <c r="M190" s="17">
        <v>7500</v>
      </c>
      <c r="N190" s="17">
        <v>8400</v>
      </c>
      <c r="O190" s="2"/>
      <c r="P190" s="2"/>
      <c r="Q190" s="31" t="s">
        <v>30</v>
      </c>
      <c r="R190" s="62"/>
      <c r="S190" s="62"/>
      <c r="T190" s="5"/>
    </row>
    <row r="191" spans="1:20">
      <c r="A191" s="2" t="s">
        <v>1048</v>
      </c>
      <c r="B191" s="2" t="s">
        <v>1088</v>
      </c>
      <c r="C191" s="2" t="s">
        <v>29</v>
      </c>
      <c r="D191" s="16">
        <v>0</v>
      </c>
      <c r="E191" s="2" t="s">
        <v>1048</v>
      </c>
      <c r="F191" s="2" t="s">
        <v>155</v>
      </c>
      <c r="G191" s="2" t="s">
        <v>1089</v>
      </c>
      <c r="H191" s="17">
        <v>39208</v>
      </c>
      <c r="I191" s="2"/>
      <c r="J191" s="2"/>
      <c r="K191" s="17">
        <v>39208</v>
      </c>
      <c r="L191" s="17">
        <v>4200.8599999999997</v>
      </c>
      <c r="M191" s="17">
        <v>35007.14</v>
      </c>
      <c r="N191" s="17">
        <v>39208</v>
      </c>
      <c r="O191" s="2"/>
      <c r="P191" s="2"/>
      <c r="Q191" s="31" t="s">
        <v>30</v>
      </c>
      <c r="R191" s="62"/>
      <c r="S191" s="62"/>
      <c r="T191" s="5"/>
    </row>
    <row r="192" spans="1:20">
      <c r="A192" s="2" t="s">
        <v>1467</v>
      </c>
      <c r="B192" s="2" t="s">
        <v>1534</v>
      </c>
      <c r="C192" s="2" t="s">
        <v>29</v>
      </c>
      <c r="D192" s="16">
        <v>0</v>
      </c>
      <c r="E192" s="2" t="s">
        <v>1467</v>
      </c>
      <c r="F192" s="2" t="s">
        <v>155</v>
      </c>
      <c r="G192" s="2" t="s">
        <v>1535</v>
      </c>
      <c r="H192" s="17">
        <v>67200</v>
      </c>
      <c r="I192" s="2"/>
      <c r="J192" s="2"/>
      <c r="K192" s="17">
        <v>67200</v>
      </c>
      <c r="L192" s="17">
        <v>7200</v>
      </c>
      <c r="M192" s="17">
        <v>60000</v>
      </c>
      <c r="N192" s="17">
        <v>67200</v>
      </c>
      <c r="O192" s="2"/>
      <c r="P192" s="2"/>
      <c r="Q192" s="31" t="s">
        <v>30</v>
      </c>
      <c r="R192" s="62"/>
      <c r="S192" s="62"/>
      <c r="T192" s="5"/>
    </row>
    <row r="193" spans="1:20">
      <c r="A193" s="2" t="s">
        <v>1467</v>
      </c>
      <c r="B193" s="2" t="s">
        <v>1538</v>
      </c>
      <c r="C193" s="2" t="s">
        <v>29</v>
      </c>
      <c r="D193" s="16">
        <v>0</v>
      </c>
      <c r="E193" s="2" t="s">
        <v>1467</v>
      </c>
      <c r="F193" s="2" t="s">
        <v>155</v>
      </c>
      <c r="G193" s="2" t="s">
        <v>1539</v>
      </c>
      <c r="H193" s="17">
        <v>13775</v>
      </c>
      <c r="I193" s="2"/>
      <c r="J193" s="2"/>
      <c r="K193" s="17">
        <v>13775</v>
      </c>
      <c r="L193" s="17">
        <v>1475.89</v>
      </c>
      <c r="M193" s="17">
        <v>12299.11</v>
      </c>
      <c r="N193" s="17">
        <v>13775</v>
      </c>
      <c r="O193" s="2"/>
      <c r="P193" s="2"/>
      <c r="Q193" s="31" t="s">
        <v>30</v>
      </c>
      <c r="R193" s="62"/>
      <c r="S193" s="62"/>
      <c r="T193" s="5"/>
    </row>
    <row r="194" spans="1:20">
      <c r="A194" s="2" t="s">
        <v>1467</v>
      </c>
      <c r="B194" s="2" t="s">
        <v>1542</v>
      </c>
      <c r="C194" s="2" t="s">
        <v>29</v>
      </c>
      <c r="D194" s="16">
        <v>0</v>
      </c>
      <c r="E194" s="2" t="s">
        <v>1467</v>
      </c>
      <c r="F194" s="2" t="s">
        <v>155</v>
      </c>
      <c r="G194" s="2" t="s">
        <v>1543</v>
      </c>
      <c r="H194" s="17">
        <v>22175</v>
      </c>
      <c r="I194" s="2"/>
      <c r="J194" s="2"/>
      <c r="K194" s="17">
        <v>22175</v>
      </c>
      <c r="L194" s="17">
        <v>2375.89</v>
      </c>
      <c r="M194" s="17">
        <v>19799.11</v>
      </c>
      <c r="N194" s="17">
        <v>22175</v>
      </c>
      <c r="O194" s="2"/>
      <c r="P194" s="2"/>
      <c r="Q194" s="31" t="s">
        <v>30</v>
      </c>
      <c r="R194" s="63"/>
      <c r="S194" s="62"/>
      <c r="T194" s="5"/>
    </row>
    <row r="195" spans="1:20">
      <c r="A195" s="2" t="s">
        <v>505</v>
      </c>
      <c r="B195" s="2" t="s">
        <v>580</v>
      </c>
      <c r="C195" s="2" t="s">
        <v>18</v>
      </c>
      <c r="D195" s="16">
        <v>0</v>
      </c>
      <c r="E195" s="2" t="s">
        <v>505</v>
      </c>
      <c r="F195" s="2" t="s">
        <v>581</v>
      </c>
      <c r="G195" s="2" t="s">
        <v>582</v>
      </c>
      <c r="H195" s="17">
        <v>151200</v>
      </c>
      <c r="I195" s="2"/>
      <c r="J195" s="2"/>
      <c r="K195" s="17">
        <v>151200</v>
      </c>
      <c r="L195" s="17">
        <v>16200</v>
      </c>
      <c r="M195" s="17">
        <v>135000</v>
      </c>
      <c r="N195" s="17">
        <v>151200</v>
      </c>
      <c r="O195" s="2"/>
      <c r="P195" s="2"/>
      <c r="Q195" s="31" t="s">
        <v>30</v>
      </c>
      <c r="R195" s="61">
        <f>+K195+K196+K197+K198+K199</f>
        <v>1555960</v>
      </c>
      <c r="S195" s="62"/>
      <c r="T195" s="5"/>
    </row>
    <row r="196" spans="1:20">
      <c r="A196" s="2" t="s">
        <v>505</v>
      </c>
      <c r="B196" s="2" t="s">
        <v>583</v>
      </c>
      <c r="C196" s="2" t="s">
        <v>18</v>
      </c>
      <c r="D196" s="16">
        <v>0</v>
      </c>
      <c r="E196" s="2" t="s">
        <v>505</v>
      </c>
      <c r="F196" s="2" t="s">
        <v>581</v>
      </c>
      <c r="G196" s="2" t="s">
        <v>584</v>
      </c>
      <c r="H196" s="17">
        <v>23800</v>
      </c>
      <c r="I196" s="2"/>
      <c r="J196" s="2"/>
      <c r="K196" s="17">
        <v>23800</v>
      </c>
      <c r="L196" s="17">
        <v>2550</v>
      </c>
      <c r="M196" s="17">
        <v>21250</v>
      </c>
      <c r="N196" s="17">
        <v>23800</v>
      </c>
      <c r="O196" s="2"/>
      <c r="P196" s="2"/>
      <c r="Q196" s="31" t="s">
        <v>30</v>
      </c>
      <c r="R196" s="62"/>
      <c r="S196" s="62"/>
      <c r="T196" s="5"/>
    </row>
    <row r="197" spans="1:20">
      <c r="A197" s="2" t="s">
        <v>1553</v>
      </c>
      <c r="B197" s="2" t="s">
        <v>1605</v>
      </c>
      <c r="C197" s="2" t="s">
        <v>18</v>
      </c>
      <c r="D197" s="16">
        <v>0</v>
      </c>
      <c r="E197" s="2" t="s">
        <v>1553</v>
      </c>
      <c r="F197" s="2" t="s">
        <v>581</v>
      </c>
      <c r="G197" s="2" t="s">
        <v>1606</v>
      </c>
      <c r="H197" s="17">
        <v>353460</v>
      </c>
      <c r="I197" s="2"/>
      <c r="J197" s="2"/>
      <c r="K197" s="17">
        <v>353460</v>
      </c>
      <c r="L197" s="17">
        <v>37870.71</v>
      </c>
      <c r="M197" s="17">
        <v>315589.28999999998</v>
      </c>
      <c r="N197" s="17">
        <v>353460</v>
      </c>
      <c r="O197" s="2"/>
      <c r="P197" s="2"/>
      <c r="Q197" s="31" t="s">
        <v>30</v>
      </c>
      <c r="R197" s="62"/>
      <c r="S197" s="62"/>
      <c r="T197" s="5"/>
    </row>
    <row r="198" spans="1:20">
      <c r="A198" s="2" t="s">
        <v>1553</v>
      </c>
      <c r="B198" s="2" t="s">
        <v>1607</v>
      </c>
      <c r="C198" s="2" t="s">
        <v>18</v>
      </c>
      <c r="D198" s="16">
        <v>0</v>
      </c>
      <c r="E198" s="2" t="s">
        <v>1553</v>
      </c>
      <c r="F198" s="2" t="s">
        <v>581</v>
      </c>
      <c r="G198" s="2" t="s">
        <v>1608</v>
      </c>
      <c r="H198" s="17">
        <v>1011060</v>
      </c>
      <c r="I198" s="2"/>
      <c r="J198" s="2"/>
      <c r="K198" s="17">
        <v>1011060</v>
      </c>
      <c r="L198" s="17">
        <v>108327.86</v>
      </c>
      <c r="M198" s="17">
        <v>902732.14</v>
      </c>
      <c r="N198" s="17">
        <v>1011060</v>
      </c>
      <c r="O198" s="2"/>
      <c r="P198" s="2"/>
      <c r="Q198" s="31" t="s">
        <v>30</v>
      </c>
      <c r="R198" s="62"/>
      <c r="S198" s="62"/>
      <c r="T198" s="5"/>
    </row>
    <row r="199" spans="1:20">
      <c r="A199" s="2" t="s">
        <v>1553</v>
      </c>
      <c r="B199" s="2" t="s">
        <v>1609</v>
      </c>
      <c r="C199" s="2" t="s">
        <v>18</v>
      </c>
      <c r="D199" s="16">
        <v>0</v>
      </c>
      <c r="E199" s="2" t="s">
        <v>1553</v>
      </c>
      <c r="F199" s="2" t="s">
        <v>581</v>
      </c>
      <c r="G199" s="2" t="s">
        <v>1610</v>
      </c>
      <c r="H199" s="17">
        <v>16440</v>
      </c>
      <c r="I199" s="2"/>
      <c r="J199" s="2"/>
      <c r="K199" s="17">
        <v>16440</v>
      </c>
      <c r="L199" s="17">
        <v>1761.43</v>
      </c>
      <c r="M199" s="17">
        <v>14678.57</v>
      </c>
      <c r="N199" s="17">
        <v>16440</v>
      </c>
      <c r="O199" s="2"/>
      <c r="P199" s="2"/>
      <c r="Q199" s="31" t="s">
        <v>30</v>
      </c>
      <c r="R199" s="63"/>
      <c r="S199" s="62"/>
      <c r="T199" s="5"/>
    </row>
    <row r="200" spans="1:20">
      <c r="A200" s="2" t="s">
        <v>199</v>
      </c>
      <c r="B200" s="2" t="s">
        <v>217</v>
      </c>
      <c r="C200" s="2" t="s">
        <v>29</v>
      </c>
      <c r="D200" s="16">
        <v>0</v>
      </c>
      <c r="E200" s="2" t="s">
        <v>199</v>
      </c>
      <c r="F200" s="2" t="s">
        <v>218</v>
      </c>
      <c r="G200" s="2" t="s">
        <v>219</v>
      </c>
      <c r="H200" s="17">
        <v>1078560</v>
      </c>
      <c r="I200" s="19">
        <v>-32356.799999999999</v>
      </c>
      <c r="J200" s="2"/>
      <c r="K200" s="17">
        <v>1046203.2</v>
      </c>
      <c r="L200" s="17">
        <v>112093.2</v>
      </c>
      <c r="M200" s="17">
        <v>934110</v>
      </c>
      <c r="N200" s="17">
        <v>1046203.2</v>
      </c>
      <c r="O200" s="2"/>
      <c r="P200" s="2"/>
      <c r="Q200" s="31" t="s">
        <v>30</v>
      </c>
      <c r="R200" s="61">
        <f>+K200+K201+K202+K203+K204+K205+K206+K207+K208</f>
        <v>2013886.8399999999</v>
      </c>
      <c r="S200" s="62"/>
      <c r="T200" s="5"/>
    </row>
    <row r="201" spans="1:20">
      <c r="A201" s="2" t="s">
        <v>448</v>
      </c>
      <c r="B201" s="2" t="s">
        <v>470</v>
      </c>
      <c r="C201" s="2" t="s">
        <v>29</v>
      </c>
      <c r="D201" s="16">
        <v>0</v>
      </c>
      <c r="E201" s="2" t="s">
        <v>448</v>
      </c>
      <c r="F201" s="2" t="s">
        <v>218</v>
      </c>
      <c r="G201" s="2" t="s">
        <v>471</v>
      </c>
      <c r="H201" s="17">
        <v>3038</v>
      </c>
      <c r="I201" s="19">
        <v>-91.14</v>
      </c>
      <c r="J201" s="2"/>
      <c r="K201" s="17">
        <v>2946.86</v>
      </c>
      <c r="L201" s="18">
        <v>315.73</v>
      </c>
      <c r="M201" s="17">
        <v>2631.13</v>
      </c>
      <c r="N201" s="17">
        <v>2946.86</v>
      </c>
      <c r="O201" s="2"/>
      <c r="P201" s="2"/>
      <c r="Q201" s="31" t="s">
        <v>30</v>
      </c>
      <c r="R201" s="62"/>
      <c r="S201" s="62"/>
      <c r="T201" s="5"/>
    </row>
    <row r="202" spans="1:20">
      <c r="A202" s="2" t="s">
        <v>689</v>
      </c>
      <c r="B202" s="2" t="s">
        <v>742</v>
      </c>
      <c r="C202" s="2" t="s">
        <v>29</v>
      </c>
      <c r="D202" s="16">
        <v>0</v>
      </c>
      <c r="E202" s="2" t="s">
        <v>689</v>
      </c>
      <c r="F202" s="2" t="s">
        <v>218</v>
      </c>
      <c r="G202" s="2" t="s">
        <v>743</v>
      </c>
      <c r="H202" s="17">
        <v>22936</v>
      </c>
      <c r="I202" s="19">
        <v>-688.08</v>
      </c>
      <c r="J202" s="2"/>
      <c r="K202" s="17">
        <v>22247.919999999998</v>
      </c>
      <c r="L202" s="17">
        <v>2383.71</v>
      </c>
      <c r="M202" s="17">
        <v>19864.21</v>
      </c>
      <c r="N202" s="17">
        <v>22247.919999999998</v>
      </c>
      <c r="O202" s="2"/>
      <c r="P202" s="2"/>
      <c r="Q202" s="31" t="s">
        <v>30</v>
      </c>
      <c r="R202" s="62"/>
      <c r="S202" s="62"/>
      <c r="T202" s="5"/>
    </row>
    <row r="203" spans="1:20">
      <c r="A203" s="2" t="s">
        <v>689</v>
      </c>
      <c r="B203" s="2" t="s">
        <v>744</v>
      </c>
      <c r="C203" s="2" t="s">
        <v>29</v>
      </c>
      <c r="D203" s="16">
        <v>0</v>
      </c>
      <c r="E203" s="2" t="s">
        <v>689</v>
      </c>
      <c r="F203" s="2" t="s">
        <v>218</v>
      </c>
      <c r="G203" s="2" t="s">
        <v>745</v>
      </c>
      <c r="H203" s="17">
        <v>61692</v>
      </c>
      <c r="I203" s="19">
        <v>-1850.76</v>
      </c>
      <c r="J203" s="2"/>
      <c r="K203" s="17">
        <v>59841.24</v>
      </c>
      <c r="L203" s="17">
        <v>6411.56</v>
      </c>
      <c r="M203" s="17">
        <v>53429.68</v>
      </c>
      <c r="N203" s="17">
        <v>59841.24</v>
      </c>
      <c r="O203" s="2"/>
      <c r="P203" s="2"/>
      <c r="Q203" s="31" t="s">
        <v>30</v>
      </c>
      <c r="R203" s="62"/>
      <c r="S203" s="62"/>
      <c r="T203" s="5"/>
    </row>
    <row r="204" spans="1:20">
      <c r="A204" s="2" t="s">
        <v>866</v>
      </c>
      <c r="B204" s="2" t="s">
        <v>912</v>
      </c>
      <c r="C204" s="2" t="s">
        <v>29</v>
      </c>
      <c r="D204" s="16">
        <v>0</v>
      </c>
      <c r="E204" s="2" t="s">
        <v>866</v>
      </c>
      <c r="F204" s="2" t="s">
        <v>218</v>
      </c>
      <c r="G204" s="2" t="s">
        <v>913</v>
      </c>
      <c r="H204" s="17">
        <v>32004</v>
      </c>
      <c r="I204" s="19">
        <v>-960.12</v>
      </c>
      <c r="J204" s="2"/>
      <c r="K204" s="17">
        <v>31043.88</v>
      </c>
      <c r="L204" s="17">
        <v>3326.13</v>
      </c>
      <c r="M204" s="17">
        <v>27717.75</v>
      </c>
      <c r="N204" s="17">
        <v>31043.88</v>
      </c>
      <c r="O204" s="2"/>
      <c r="P204" s="2"/>
      <c r="Q204" s="31" t="s">
        <v>30</v>
      </c>
      <c r="R204" s="62"/>
      <c r="S204" s="62"/>
      <c r="T204" s="5"/>
    </row>
    <row r="205" spans="1:20">
      <c r="A205" s="2" t="s">
        <v>1467</v>
      </c>
      <c r="B205" s="2" t="s">
        <v>1474</v>
      </c>
      <c r="C205" s="2" t="s">
        <v>29</v>
      </c>
      <c r="D205" s="16">
        <v>0</v>
      </c>
      <c r="E205" s="2" t="s">
        <v>1467</v>
      </c>
      <c r="F205" s="2" t="s">
        <v>218</v>
      </c>
      <c r="G205" s="2" t="s">
        <v>1475</v>
      </c>
      <c r="H205" s="17">
        <v>166560</v>
      </c>
      <c r="I205" s="19">
        <v>-4996.8</v>
      </c>
      <c r="J205" s="2"/>
      <c r="K205" s="17">
        <v>161563.20000000001</v>
      </c>
      <c r="L205" s="17">
        <v>17310.34</v>
      </c>
      <c r="M205" s="17">
        <v>144252.85999999999</v>
      </c>
      <c r="N205" s="17">
        <v>161563.20000000001</v>
      </c>
      <c r="O205" s="2"/>
      <c r="P205" s="2"/>
      <c r="Q205" s="31" t="s">
        <v>30</v>
      </c>
      <c r="R205" s="62"/>
      <c r="S205" s="62"/>
      <c r="T205" s="5"/>
    </row>
    <row r="206" spans="1:20">
      <c r="A206" s="2" t="s">
        <v>1467</v>
      </c>
      <c r="B206" s="2" t="s">
        <v>1476</v>
      </c>
      <c r="C206" s="2" t="s">
        <v>29</v>
      </c>
      <c r="D206" s="16">
        <v>0</v>
      </c>
      <c r="E206" s="2" t="s">
        <v>1467</v>
      </c>
      <c r="F206" s="2" t="s">
        <v>218</v>
      </c>
      <c r="G206" s="2" t="s">
        <v>1477</v>
      </c>
      <c r="H206" s="17">
        <v>41756</v>
      </c>
      <c r="I206" s="19">
        <v>-1252.68</v>
      </c>
      <c r="J206" s="2"/>
      <c r="K206" s="17">
        <v>40503.32</v>
      </c>
      <c r="L206" s="17">
        <v>4339.6400000000003</v>
      </c>
      <c r="M206" s="17">
        <v>36163.68</v>
      </c>
      <c r="N206" s="17">
        <v>40503.32</v>
      </c>
      <c r="O206" s="2"/>
      <c r="P206" s="2"/>
      <c r="Q206" s="31" t="s">
        <v>30</v>
      </c>
      <c r="R206" s="62"/>
      <c r="S206" s="62"/>
      <c r="T206" s="5"/>
    </row>
    <row r="207" spans="1:20">
      <c r="A207" s="2" t="s">
        <v>1553</v>
      </c>
      <c r="B207" s="2" t="s">
        <v>1593</v>
      </c>
      <c r="C207" s="2" t="s">
        <v>29</v>
      </c>
      <c r="D207" s="16">
        <v>0</v>
      </c>
      <c r="E207" s="2" t="s">
        <v>1553</v>
      </c>
      <c r="F207" s="2" t="s">
        <v>218</v>
      </c>
      <c r="G207" s="2" t="s">
        <v>1594</v>
      </c>
      <c r="H207" s="17">
        <v>517172</v>
      </c>
      <c r="I207" s="19">
        <v>-15515.16</v>
      </c>
      <c r="J207" s="2"/>
      <c r="K207" s="17">
        <v>501656.84</v>
      </c>
      <c r="L207" s="17">
        <v>53748.95</v>
      </c>
      <c r="M207" s="17">
        <v>447907.89</v>
      </c>
      <c r="N207" s="17">
        <v>501656.84</v>
      </c>
      <c r="O207" s="2"/>
      <c r="P207" s="2"/>
      <c r="Q207" s="31" t="s">
        <v>30</v>
      </c>
      <c r="R207" s="62"/>
      <c r="S207" s="62"/>
      <c r="T207" s="5"/>
    </row>
    <row r="208" spans="1:20">
      <c r="A208" s="2" t="s">
        <v>1553</v>
      </c>
      <c r="B208" s="2" t="s">
        <v>1595</v>
      </c>
      <c r="C208" s="2" t="s">
        <v>29</v>
      </c>
      <c r="D208" s="16">
        <v>0</v>
      </c>
      <c r="E208" s="2" t="s">
        <v>1553</v>
      </c>
      <c r="F208" s="2" t="s">
        <v>218</v>
      </c>
      <c r="G208" s="2" t="s">
        <v>1596</v>
      </c>
      <c r="H208" s="17">
        <v>152454</v>
      </c>
      <c r="I208" s="19">
        <v>-4573.62</v>
      </c>
      <c r="J208" s="2"/>
      <c r="K208" s="17">
        <v>147880.38</v>
      </c>
      <c r="L208" s="17">
        <v>15844.33</v>
      </c>
      <c r="M208" s="17">
        <v>132036.04999999999</v>
      </c>
      <c r="N208" s="17">
        <v>147880.38</v>
      </c>
      <c r="O208" s="2"/>
      <c r="P208" s="2"/>
      <c r="Q208" s="31" t="s">
        <v>30</v>
      </c>
      <c r="R208" s="63"/>
      <c r="S208" s="63"/>
      <c r="T208" s="5"/>
    </row>
    <row r="209" spans="1:20">
      <c r="A209" s="2" t="s">
        <v>1048</v>
      </c>
      <c r="B209" s="2" t="s">
        <v>1113</v>
      </c>
      <c r="C209" s="2" t="s">
        <v>73</v>
      </c>
      <c r="D209" s="16">
        <v>30</v>
      </c>
      <c r="E209" s="2" t="s">
        <v>1056</v>
      </c>
      <c r="F209" s="2" t="s">
        <v>1114</v>
      </c>
      <c r="G209" s="2" t="s">
        <v>1115</v>
      </c>
      <c r="H209" s="17">
        <v>371089</v>
      </c>
      <c r="I209" s="2"/>
      <c r="J209" s="2"/>
      <c r="K209" s="17">
        <v>371089</v>
      </c>
      <c r="L209" s="17">
        <v>39759.54</v>
      </c>
      <c r="M209" s="17">
        <v>331329.46000000002</v>
      </c>
      <c r="N209" s="17">
        <v>371089</v>
      </c>
      <c r="O209" s="2"/>
      <c r="P209" s="2"/>
      <c r="Q209" s="31" t="s">
        <v>105</v>
      </c>
      <c r="R209" s="61">
        <f>+K209+K210+K211</f>
        <v>667016</v>
      </c>
      <c r="S209" s="61">
        <f>+R209+R212+R214+R216</f>
        <v>1239182.3999999999</v>
      </c>
      <c r="T209" s="5"/>
    </row>
    <row r="210" spans="1:20">
      <c r="A210" s="2" t="s">
        <v>1217</v>
      </c>
      <c r="B210" s="2" t="s">
        <v>1257</v>
      </c>
      <c r="C210" s="2" t="s">
        <v>73</v>
      </c>
      <c r="D210" s="16">
        <v>30</v>
      </c>
      <c r="E210" s="2" t="s">
        <v>1231</v>
      </c>
      <c r="F210" s="2" t="s">
        <v>1114</v>
      </c>
      <c r="G210" s="2" t="s">
        <v>1258</v>
      </c>
      <c r="H210" s="17">
        <v>80640</v>
      </c>
      <c r="I210" s="2"/>
      <c r="J210" s="2"/>
      <c r="K210" s="17">
        <v>80640</v>
      </c>
      <c r="L210" s="17">
        <v>8640</v>
      </c>
      <c r="M210" s="17">
        <v>72000</v>
      </c>
      <c r="N210" s="17">
        <v>80640</v>
      </c>
      <c r="O210" s="2"/>
      <c r="P210" s="2"/>
      <c r="Q210" s="31" t="s">
        <v>105</v>
      </c>
      <c r="R210" s="62"/>
      <c r="S210" s="62"/>
      <c r="T210" s="5"/>
    </row>
    <row r="211" spans="1:20">
      <c r="A211" s="2" t="s">
        <v>1217</v>
      </c>
      <c r="B211" s="2" t="s">
        <v>1259</v>
      </c>
      <c r="C211" s="2" t="s">
        <v>73</v>
      </c>
      <c r="D211" s="16">
        <v>30</v>
      </c>
      <c r="E211" s="2" t="s">
        <v>1231</v>
      </c>
      <c r="F211" s="2" t="s">
        <v>1114</v>
      </c>
      <c r="G211" s="2" t="s">
        <v>1260</v>
      </c>
      <c r="H211" s="17">
        <v>215287</v>
      </c>
      <c r="I211" s="2"/>
      <c r="J211" s="2"/>
      <c r="K211" s="17">
        <v>215287</v>
      </c>
      <c r="L211" s="17">
        <v>23066.46</v>
      </c>
      <c r="M211" s="17">
        <v>192220.54</v>
      </c>
      <c r="N211" s="17">
        <v>215287</v>
      </c>
      <c r="O211" s="2"/>
      <c r="P211" s="2"/>
      <c r="Q211" s="31" t="s">
        <v>105</v>
      </c>
      <c r="R211" s="63"/>
      <c r="S211" s="62"/>
      <c r="T211" s="5"/>
    </row>
    <row r="212" spans="1:20">
      <c r="A212" s="2" t="s">
        <v>199</v>
      </c>
      <c r="B212" s="2" t="s">
        <v>273</v>
      </c>
      <c r="C212" s="2" t="s">
        <v>104</v>
      </c>
      <c r="D212" s="16">
        <v>0</v>
      </c>
      <c r="E212" s="2" t="s">
        <v>199</v>
      </c>
      <c r="F212" s="2" t="s">
        <v>274</v>
      </c>
      <c r="G212" s="2" t="s">
        <v>275</v>
      </c>
      <c r="H212" s="17">
        <v>55933</v>
      </c>
      <c r="I212" s="19">
        <v>-1118.6600000000001</v>
      </c>
      <c r="J212" s="2"/>
      <c r="K212" s="17">
        <v>54814.34</v>
      </c>
      <c r="L212" s="17">
        <v>5872.97</v>
      </c>
      <c r="M212" s="17">
        <v>48941.37</v>
      </c>
      <c r="N212" s="17">
        <v>54814.34</v>
      </c>
      <c r="O212" s="2"/>
      <c r="P212" s="2"/>
      <c r="Q212" s="31" t="s">
        <v>105</v>
      </c>
      <c r="R212" s="61">
        <f>+K212+K213</f>
        <v>200586.4</v>
      </c>
      <c r="S212" s="62"/>
      <c r="T212" s="5"/>
    </row>
    <row r="213" spans="1:20">
      <c r="A213" s="2" t="s">
        <v>971</v>
      </c>
      <c r="B213" s="2" t="s">
        <v>1008</v>
      </c>
      <c r="C213" s="2" t="s">
        <v>104</v>
      </c>
      <c r="D213" s="16">
        <v>0</v>
      </c>
      <c r="E213" s="2" t="s">
        <v>971</v>
      </c>
      <c r="F213" s="2" t="s">
        <v>274</v>
      </c>
      <c r="G213" s="2" t="s">
        <v>1009</v>
      </c>
      <c r="H213" s="17">
        <v>148747</v>
      </c>
      <c r="I213" s="19">
        <v>-2974.94</v>
      </c>
      <c r="J213" s="2"/>
      <c r="K213" s="17">
        <v>145772.06</v>
      </c>
      <c r="L213" s="17">
        <v>15618.44</v>
      </c>
      <c r="M213" s="17">
        <v>130153.62</v>
      </c>
      <c r="N213" s="17">
        <v>145772.06</v>
      </c>
      <c r="O213" s="2"/>
      <c r="P213" s="2"/>
      <c r="Q213" s="31" t="s">
        <v>105</v>
      </c>
      <c r="R213" s="63"/>
      <c r="S213" s="62"/>
      <c r="T213" s="5"/>
    </row>
    <row r="214" spans="1:20">
      <c r="A214" s="2" t="s">
        <v>93</v>
      </c>
      <c r="B214" s="2" t="s">
        <v>103</v>
      </c>
      <c r="C214" s="2" t="s">
        <v>104</v>
      </c>
      <c r="D214" s="16">
        <v>0</v>
      </c>
      <c r="E214" s="2" t="s">
        <v>93</v>
      </c>
      <c r="F214" s="2" t="s">
        <v>106</v>
      </c>
      <c r="G214" s="2" t="s">
        <v>107</v>
      </c>
      <c r="H214" s="17">
        <v>114000</v>
      </c>
      <c r="I214" s="19">
        <v>-3420</v>
      </c>
      <c r="J214" s="2"/>
      <c r="K214" s="17">
        <v>110580</v>
      </c>
      <c r="L214" s="17">
        <v>11847.86</v>
      </c>
      <c r="M214" s="17">
        <v>98732.14</v>
      </c>
      <c r="N214" s="17">
        <v>110580</v>
      </c>
      <c r="O214" s="2"/>
      <c r="P214" s="2"/>
      <c r="Q214" s="31" t="s">
        <v>105</v>
      </c>
      <c r="R214" s="61">
        <f>+K214+K215</f>
        <v>362780</v>
      </c>
      <c r="S214" s="62"/>
      <c r="T214" s="5"/>
    </row>
    <row r="215" spans="1:20">
      <c r="A215" s="2" t="s">
        <v>93</v>
      </c>
      <c r="B215" s="2" t="s">
        <v>108</v>
      </c>
      <c r="C215" s="2" t="s">
        <v>104</v>
      </c>
      <c r="D215" s="16">
        <v>0</v>
      </c>
      <c r="E215" s="2" t="s">
        <v>93</v>
      </c>
      <c r="F215" s="2" t="s">
        <v>106</v>
      </c>
      <c r="G215" s="2" t="s">
        <v>109</v>
      </c>
      <c r="H215" s="17">
        <v>260000</v>
      </c>
      <c r="I215" s="19">
        <v>-7800</v>
      </c>
      <c r="J215" s="2"/>
      <c r="K215" s="17">
        <v>252200</v>
      </c>
      <c r="L215" s="17">
        <v>27021.43</v>
      </c>
      <c r="M215" s="17">
        <v>225178.57</v>
      </c>
      <c r="N215" s="17">
        <v>252200</v>
      </c>
      <c r="O215" s="2"/>
      <c r="P215" s="2"/>
      <c r="Q215" s="31" t="s">
        <v>105</v>
      </c>
      <c r="R215" s="63"/>
      <c r="S215" s="62"/>
      <c r="T215" s="5"/>
    </row>
    <row r="216" spans="1:20">
      <c r="A216" s="2" t="s">
        <v>866</v>
      </c>
      <c r="B216" s="2" t="s">
        <v>909</v>
      </c>
      <c r="C216" s="2" t="s">
        <v>60</v>
      </c>
      <c r="D216" s="16">
        <v>0</v>
      </c>
      <c r="E216" s="2" t="s">
        <v>866</v>
      </c>
      <c r="F216" s="2" t="s">
        <v>910</v>
      </c>
      <c r="G216" s="2" t="s">
        <v>911</v>
      </c>
      <c r="H216" s="17">
        <v>8800</v>
      </c>
      <c r="I216" s="2"/>
      <c r="J216" s="2"/>
      <c r="K216" s="17">
        <v>8800</v>
      </c>
      <c r="L216" s="18">
        <v>942.86</v>
      </c>
      <c r="M216" s="17">
        <v>7857.14</v>
      </c>
      <c r="N216" s="17">
        <v>8800</v>
      </c>
      <c r="O216" s="2"/>
      <c r="P216" s="2"/>
      <c r="Q216" s="31" t="s">
        <v>105</v>
      </c>
      <c r="R216" s="32">
        <f>+K216</f>
        <v>8800</v>
      </c>
      <c r="S216" s="62"/>
      <c r="T216" s="5"/>
    </row>
    <row r="217" spans="1:20">
      <c r="A217" s="2" t="s">
        <v>199</v>
      </c>
      <c r="B217" s="2" t="s">
        <v>249</v>
      </c>
      <c r="C217" s="2" t="s">
        <v>146</v>
      </c>
      <c r="D217" s="16">
        <v>90</v>
      </c>
      <c r="E217" s="2" t="s">
        <v>233</v>
      </c>
      <c r="F217" s="2" t="s">
        <v>250</v>
      </c>
      <c r="G217" s="2" t="s">
        <v>251</v>
      </c>
      <c r="H217" s="17">
        <v>101126</v>
      </c>
      <c r="I217" s="2"/>
      <c r="J217" s="2"/>
      <c r="K217" s="17">
        <v>101126</v>
      </c>
      <c r="L217" s="17">
        <v>10834.93</v>
      </c>
      <c r="M217" s="17">
        <v>90291.07</v>
      </c>
      <c r="N217" s="17">
        <v>101126</v>
      </c>
      <c r="O217" s="2"/>
      <c r="P217" s="2"/>
      <c r="Q217" s="31" t="s">
        <v>139</v>
      </c>
      <c r="R217" s="64">
        <f>+K217+K218+K219</f>
        <v>1106086</v>
      </c>
      <c r="S217" s="61">
        <f>+R217+R220+R221+R223+R224+R225+R227+R237+R238+R239+R252+R259+R260+R263+R264+R265+R266+R272+R273+R279+R280+R281</f>
        <v>10721069.899999999</v>
      </c>
      <c r="T217" s="5"/>
    </row>
    <row r="218" spans="1:20">
      <c r="A218" s="2" t="s">
        <v>448</v>
      </c>
      <c r="B218" s="2" t="s">
        <v>494</v>
      </c>
      <c r="C218" s="2" t="s">
        <v>146</v>
      </c>
      <c r="D218" s="16">
        <v>90</v>
      </c>
      <c r="E218" s="2" t="s">
        <v>479</v>
      </c>
      <c r="F218" s="2" t="s">
        <v>250</v>
      </c>
      <c r="G218" s="2" t="s">
        <v>495</v>
      </c>
      <c r="H218" s="17">
        <v>26528</v>
      </c>
      <c r="I218" s="2"/>
      <c r="J218" s="2"/>
      <c r="K218" s="17">
        <v>26528</v>
      </c>
      <c r="L218" s="17">
        <v>2842.29</v>
      </c>
      <c r="M218" s="17">
        <v>23685.71</v>
      </c>
      <c r="N218" s="17">
        <v>26528</v>
      </c>
      <c r="O218" s="2"/>
      <c r="P218" s="2"/>
      <c r="Q218" s="31" t="s">
        <v>139</v>
      </c>
      <c r="R218" s="66"/>
      <c r="S218" s="62"/>
      <c r="T218" s="5"/>
    </row>
    <row r="219" spans="1:20">
      <c r="A219" s="2" t="s">
        <v>448</v>
      </c>
      <c r="B219" s="2" t="s">
        <v>496</v>
      </c>
      <c r="C219" s="2" t="s">
        <v>146</v>
      </c>
      <c r="D219" s="16">
        <v>90</v>
      </c>
      <c r="E219" s="2" t="s">
        <v>479</v>
      </c>
      <c r="F219" s="2" t="s">
        <v>250</v>
      </c>
      <c r="G219" s="2" t="s">
        <v>497</v>
      </c>
      <c r="H219" s="17">
        <v>978432</v>
      </c>
      <c r="I219" s="2"/>
      <c r="J219" s="2"/>
      <c r="K219" s="17">
        <v>978432</v>
      </c>
      <c r="L219" s="17">
        <v>104832</v>
      </c>
      <c r="M219" s="17">
        <v>873600</v>
      </c>
      <c r="N219" s="17">
        <v>978432</v>
      </c>
      <c r="O219" s="2"/>
      <c r="P219" s="2"/>
      <c r="Q219" s="31" t="s">
        <v>139</v>
      </c>
      <c r="R219" s="65"/>
      <c r="S219" s="62"/>
      <c r="T219" s="5"/>
    </row>
    <row r="220" spans="1:20">
      <c r="A220" s="2" t="s">
        <v>368</v>
      </c>
      <c r="B220" s="2" t="s">
        <v>408</v>
      </c>
      <c r="C220" s="2" t="s">
        <v>146</v>
      </c>
      <c r="D220" s="16">
        <v>90</v>
      </c>
      <c r="E220" s="2" t="s">
        <v>383</v>
      </c>
      <c r="F220" s="2" t="s">
        <v>409</v>
      </c>
      <c r="G220" s="2" t="s">
        <v>410</v>
      </c>
      <c r="H220" s="17">
        <v>1485206</v>
      </c>
      <c r="I220" s="2"/>
      <c r="J220" s="2"/>
      <c r="K220" s="17">
        <v>1485206</v>
      </c>
      <c r="L220" s="17">
        <v>159129.21</v>
      </c>
      <c r="M220" s="17">
        <v>1326076.79</v>
      </c>
      <c r="N220" s="17">
        <v>1485206</v>
      </c>
      <c r="O220" s="2"/>
      <c r="P220" s="2"/>
      <c r="Q220" s="31" t="s">
        <v>139</v>
      </c>
      <c r="R220" s="41">
        <f>+K220</f>
        <v>1485206</v>
      </c>
      <c r="S220" s="62"/>
      <c r="T220" s="5"/>
    </row>
    <row r="221" spans="1:20">
      <c r="A221" s="2" t="s">
        <v>1048</v>
      </c>
      <c r="B221" s="2" t="s">
        <v>1096</v>
      </c>
      <c r="C221" s="2" t="s">
        <v>60</v>
      </c>
      <c r="D221" s="16">
        <v>0</v>
      </c>
      <c r="E221" s="2" t="s">
        <v>1048</v>
      </c>
      <c r="F221" s="2" t="s">
        <v>1097</v>
      </c>
      <c r="G221" s="2" t="s">
        <v>1098</v>
      </c>
      <c r="H221" s="17">
        <v>106000</v>
      </c>
      <c r="I221" s="2"/>
      <c r="J221" s="2"/>
      <c r="K221" s="17">
        <v>106000</v>
      </c>
      <c r="L221" s="17">
        <v>11357.14</v>
      </c>
      <c r="M221" s="17">
        <v>94642.86</v>
      </c>
      <c r="N221" s="17">
        <v>106000</v>
      </c>
      <c r="O221" s="2"/>
      <c r="P221" s="2"/>
      <c r="Q221" s="31" t="s">
        <v>139</v>
      </c>
      <c r="R221" s="64">
        <f>+K221+K222</f>
        <v>371000</v>
      </c>
      <c r="S221" s="62"/>
      <c r="T221" s="5"/>
    </row>
    <row r="222" spans="1:20">
      <c r="A222" s="2" t="s">
        <v>1048</v>
      </c>
      <c r="B222" s="2" t="s">
        <v>1099</v>
      </c>
      <c r="C222" s="2" t="s">
        <v>60</v>
      </c>
      <c r="D222" s="16">
        <v>0</v>
      </c>
      <c r="E222" s="2" t="s">
        <v>1048</v>
      </c>
      <c r="F222" s="2" t="s">
        <v>1097</v>
      </c>
      <c r="G222" s="2" t="s">
        <v>1100</v>
      </c>
      <c r="H222" s="17">
        <v>265000</v>
      </c>
      <c r="I222" s="2"/>
      <c r="J222" s="2"/>
      <c r="K222" s="17">
        <v>265000</v>
      </c>
      <c r="L222" s="17">
        <v>28392.86</v>
      </c>
      <c r="M222" s="17">
        <v>236607.14</v>
      </c>
      <c r="N222" s="17">
        <v>265000</v>
      </c>
      <c r="O222" s="2"/>
      <c r="P222" s="2"/>
      <c r="Q222" s="31" t="s">
        <v>139</v>
      </c>
      <c r="R222" s="65"/>
      <c r="S222" s="62"/>
      <c r="T222" s="5"/>
    </row>
    <row r="223" spans="1:20">
      <c r="A223" s="2" t="s">
        <v>282</v>
      </c>
      <c r="B223" s="2" t="s">
        <v>295</v>
      </c>
      <c r="C223" s="2" t="s">
        <v>23</v>
      </c>
      <c r="D223" s="16">
        <v>30</v>
      </c>
      <c r="E223" s="2" t="s">
        <v>296</v>
      </c>
      <c r="F223" s="2" t="s">
        <v>297</v>
      </c>
      <c r="G223" s="2" t="s">
        <v>298</v>
      </c>
      <c r="H223" s="17">
        <v>19604</v>
      </c>
      <c r="I223" s="2"/>
      <c r="J223" s="2"/>
      <c r="K223" s="17">
        <v>19604</v>
      </c>
      <c r="L223" s="17">
        <v>2100.4299999999998</v>
      </c>
      <c r="M223" s="17">
        <v>17503.57</v>
      </c>
      <c r="N223" s="17">
        <v>19604</v>
      </c>
      <c r="O223" s="2"/>
      <c r="P223" s="2"/>
      <c r="Q223" s="31" t="s">
        <v>139</v>
      </c>
      <c r="R223" s="41">
        <f>+K223</f>
        <v>19604</v>
      </c>
      <c r="S223" s="62"/>
      <c r="T223" s="5"/>
    </row>
    <row r="224" spans="1:20">
      <c r="A224" s="2" t="s">
        <v>596</v>
      </c>
      <c r="B224" s="2" t="s">
        <v>618</v>
      </c>
      <c r="C224" s="2" t="s">
        <v>243</v>
      </c>
      <c r="D224" s="16">
        <v>30</v>
      </c>
      <c r="E224" s="2" t="s">
        <v>619</v>
      </c>
      <c r="F224" s="2" t="s">
        <v>620</v>
      </c>
      <c r="G224" s="2" t="s">
        <v>621</v>
      </c>
      <c r="H224" s="17">
        <v>91230</v>
      </c>
      <c r="I224" s="2"/>
      <c r="J224" s="2"/>
      <c r="K224" s="17">
        <v>91230</v>
      </c>
      <c r="L224" s="17">
        <v>9774.64</v>
      </c>
      <c r="M224" s="17">
        <v>81455.360000000001</v>
      </c>
      <c r="N224" s="17">
        <v>91230</v>
      </c>
      <c r="O224" s="2"/>
      <c r="P224" s="2"/>
      <c r="Q224" s="31" t="s">
        <v>139</v>
      </c>
      <c r="R224" s="41">
        <f>+K224</f>
        <v>91230</v>
      </c>
      <c r="S224" s="62"/>
      <c r="T224" s="5"/>
    </row>
    <row r="225" spans="1:20">
      <c r="A225" s="2" t="s">
        <v>915</v>
      </c>
      <c r="B225" s="2" t="s">
        <v>957</v>
      </c>
      <c r="C225" s="2" t="s">
        <v>60</v>
      </c>
      <c r="D225" s="16">
        <v>0</v>
      </c>
      <c r="E225" s="2" t="s">
        <v>915</v>
      </c>
      <c r="F225" s="2" t="s">
        <v>958</v>
      </c>
      <c r="G225" s="2" t="s">
        <v>959</v>
      </c>
      <c r="H225" s="17">
        <v>588000</v>
      </c>
      <c r="I225" s="19">
        <v>-17640</v>
      </c>
      <c r="J225" s="2"/>
      <c r="K225" s="17">
        <v>570360</v>
      </c>
      <c r="L225" s="17">
        <v>61110</v>
      </c>
      <c r="M225" s="17">
        <v>509250</v>
      </c>
      <c r="N225" s="17">
        <v>570360</v>
      </c>
      <c r="O225" s="2"/>
      <c r="P225" s="2"/>
      <c r="Q225" s="31" t="s">
        <v>139</v>
      </c>
      <c r="R225" s="64">
        <f>+K225+K226</f>
        <v>953640.95</v>
      </c>
      <c r="S225" s="62"/>
      <c r="T225" s="5"/>
    </row>
    <row r="226" spans="1:20">
      <c r="A226" s="2" t="s">
        <v>915</v>
      </c>
      <c r="B226" s="2" t="s">
        <v>960</v>
      </c>
      <c r="C226" s="2" t="s">
        <v>60</v>
      </c>
      <c r="D226" s="16">
        <v>0</v>
      </c>
      <c r="E226" s="2" t="s">
        <v>915</v>
      </c>
      <c r="F226" s="2" t="s">
        <v>958</v>
      </c>
      <c r="G226" s="2" t="s">
        <v>961</v>
      </c>
      <c r="H226" s="17">
        <v>395135</v>
      </c>
      <c r="I226" s="19">
        <v>-11854.05</v>
      </c>
      <c r="J226" s="2"/>
      <c r="K226" s="17">
        <v>383280.95</v>
      </c>
      <c r="L226" s="17">
        <v>41065.82</v>
      </c>
      <c r="M226" s="17">
        <v>342215.13</v>
      </c>
      <c r="N226" s="17">
        <v>383280.95</v>
      </c>
      <c r="O226" s="2"/>
      <c r="P226" s="2"/>
      <c r="Q226" s="31" t="s">
        <v>139</v>
      </c>
      <c r="R226" s="65"/>
      <c r="S226" s="62"/>
      <c r="T226" s="5"/>
    </row>
    <row r="227" spans="1:20">
      <c r="A227" s="2" t="s">
        <v>971</v>
      </c>
      <c r="B227" s="2" t="s">
        <v>1037</v>
      </c>
      <c r="C227" s="2" t="s">
        <v>146</v>
      </c>
      <c r="D227" s="16">
        <v>90</v>
      </c>
      <c r="E227" s="2" t="s">
        <v>986</v>
      </c>
      <c r="F227" s="2" t="s">
        <v>1038</v>
      </c>
      <c r="G227" s="2" t="s">
        <v>1039</v>
      </c>
      <c r="H227" s="17">
        <v>297555</v>
      </c>
      <c r="I227" s="2"/>
      <c r="J227" s="2"/>
      <c r="K227" s="17">
        <v>297555</v>
      </c>
      <c r="L227" s="17">
        <v>31880.89</v>
      </c>
      <c r="M227" s="17">
        <v>265674.11</v>
      </c>
      <c r="N227" s="17">
        <v>297555</v>
      </c>
      <c r="O227" s="2"/>
      <c r="P227" s="2"/>
      <c r="Q227" s="31" t="s">
        <v>139</v>
      </c>
      <c r="R227" s="64">
        <f>+K227+K228+K229+K230+K231+K232+K233+K234+K235+K236</f>
        <v>2924588</v>
      </c>
      <c r="S227" s="62"/>
      <c r="T227" s="5"/>
    </row>
    <row r="228" spans="1:20">
      <c r="A228" s="2" t="s">
        <v>971</v>
      </c>
      <c r="B228" s="2" t="s">
        <v>1040</v>
      </c>
      <c r="C228" s="2" t="s">
        <v>146</v>
      </c>
      <c r="D228" s="16">
        <v>90</v>
      </c>
      <c r="E228" s="2" t="s">
        <v>986</v>
      </c>
      <c r="F228" s="2" t="s">
        <v>1038</v>
      </c>
      <c r="G228" s="2" t="s">
        <v>1041</v>
      </c>
      <c r="H228" s="17">
        <v>768251</v>
      </c>
      <c r="I228" s="2"/>
      <c r="J228" s="2"/>
      <c r="K228" s="17">
        <v>768251</v>
      </c>
      <c r="L228" s="17">
        <v>82312.61</v>
      </c>
      <c r="M228" s="17">
        <v>685938.39</v>
      </c>
      <c r="N228" s="17">
        <v>768251</v>
      </c>
      <c r="O228" s="2"/>
      <c r="P228" s="2"/>
      <c r="Q228" s="31" t="s">
        <v>139</v>
      </c>
      <c r="R228" s="66"/>
      <c r="S228" s="62"/>
      <c r="T228" s="5"/>
    </row>
    <row r="229" spans="1:20">
      <c r="A229" s="2" t="s">
        <v>1287</v>
      </c>
      <c r="B229" s="2" t="s">
        <v>1357</v>
      </c>
      <c r="C229" s="2" t="s">
        <v>146</v>
      </c>
      <c r="D229" s="16">
        <v>90</v>
      </c>
      <c r="E229" s="2" t="s">
        <v>1315</v>
      </c>
      <c r="F229" s="2" t="s">
        <v>1038</v>
      </c>
      <c r="G229" s="2" t="s">
        <v>1358</v>
      </c>
      <c r="H229" s="17">
        <v>59512</v>
      </c>
      <c r="I229" s="2"/>
      <c r="J229" s="2"/>
      <c r="K229" s="17">
        <v>59512</v>
      </c>
      <c r="L229" s="17">
        <v>6376.29</v>
      </c>
      <c r="M229" s="17">
        <v>53135.71</v>
      </c>
      <c r="N229" s="17">
        <v>59512</v>
      </c>
      <c r="O229" s="2"/>
      <c r="P229" s="2"/>
      <c r="Q229" s="31" t="s">
        <v>139</v>
      </c>
      <c r="R229" s="66"/>
      <c r="S229" s="62"/>
      <c r="T229" s="5"/>
    </row>
    <row r="230" spans="1:20">
      <c r="A230" s="2" t="s">
        <v>1287</v>
      </c>
      <c r="B230" s="2" t="s">
        <v>1359</v>
      </c>
      <c r="C230" s="2" t="s">
        <v>146</v>
      </c>
      <c r="D230" s="16">
        <v>90</v>
      </c>
      <c r="E230" s="2" t="s">
        <v>1315</v>
      </c>
      <c r="F230" s="2" t="s">
        <v>1038</v>
      </c>
      <c r="G230" s="2" t="s">
        <v>1360</v>
      </c>
      <c r="H230" s="17">
        <v>178256</v>
      </c>
      <c r="I230" s="2"/>
      <c r="J230" s="2"/>
      <c r="K230" s="17">
        <v>178256</v>
      </c>
      <c r="L230" s="17">
        <v>19098.86</v>
      </c>
      <c r="M230" s="17">
        <v>159157.14000000001</v>
      </c>
      <c r="N230" s="17">
        <v>178256</v>
      </c>
      <c r="O230" s="2"/>
      <c r="P230" s="2"/>
      <c r="Q230" s="31" t="s">
        <v>139</v>
      </c>
      <c r="R230" s="66"/>
      <c r="S230" s="62"/>
      <c r="T230" s="5"/>
    </row>
    <row r="231" spans="1:20">
      <c r="A231" s="2" t="s">
        <v>1287</v>
      </c>
      <c r="B231" s="2" t="s">
        <v>1361</v>
      </c>
      <c r="C231" s="2" t="s">
        <v>146</v>
      </c>
      <c r="D231" s="16">
        <v>90</v>
      </c>
      <c r="E231" s="2" t="s">
        <v>1315</v>
      </c>
      <c r="F231" s="2" t="s">
        <v>1038</v>
      </c>
      <c r="G231" s="2" t="s">
        <v>1362</v>
      </c>
      <c r="H231" s="17">
        <v>989368</v>
      </c>
      <c r="I231" s="2"/>
      <c r="J231" s="2"/>
      <c r="K231" s="17">
        <v>989368</v>
      </c>
      <c r="L231" s="17">
        <v>106003.71</v>
      </c>
      <c r="M231" s="17">
        <v>883364.29</v>
      </c>
      <c r="N231" s="17">
        <v>989368</v>
      </c>
      <c r="O231" s="2"/>
      <c r="P231" s="2"/>
      <c r="Q231" s="31" t="s">
        <v>139</v>
      </c>
      <c r="R231" s="66"/>
      <c r="S231" s="62"/>
      <c r="T231" s="5"/>
    </row>
    <row r="232" spans="1:20">
      <c r="A232" s="2" t="s">
        <v>1287</v>
      </c>
      <c r="B232" s="2" t="s">
        <v>1363</v>
      </c>
      <c r="C232" s="2" t="s">
        <v>146</v>
      </c>
      <c r="D232" s="16">
        <v>90</v>
      </c>
      <c r="E232" s="2" t="s">
        <v>1315</v>
      </c>
      <c r="F232" s="2" t="s">
        <v>1038</v>
      </c>
      <c r="G232" s="2" t="s">
        <v>1364</v>
      </c>
      <c r="H232" s="17">
        <v>118334</v>
      </c>
      <c r="I232" s="2"/>
      <c r="J232" s="2"/>
      <c r="K232" s="17">
        <v>118334</v>
      </c>
      <c r="L232" s="17">
        <v>12678.64</v>
      </c>
      <c r="M232" s="17">
        <v>105655.36</v>
      </c>
      <c r="N232" s="17">
        <v>118334</v>
      </c>
      <c r="O232" s="2"/>
      <c r="P232" s="2"/>
      <c r="Q232" s="31" t="s">
        <v>139</v>
      </c>
      <c r="R232" s="66"/>
      <c r="S232" s="62"/>
      <c r="T232" s="5"/>
    </row>
    <row r="233" spans="1:20">
      <c r="A233" s="2" t="s">
        <v>1287</v>
      </c>
      <c r="B233" s="2" t="s">
        <v>1365</v>
      </c>
      <c r="C233" s="2" t="s">
        <v>146</v>
      </c>
      <c r="D233" s="16">
        <v>90</v>
      </c>
      <c r="E233" s="2" t="s">
        <v>1315</v>
      </c>
      <c r="F233" s="2" t="s">
        <v>1038</v>
      </c>
      <c r="G233" s="2" t="s">
        <v>1366</v>
      </c>
      <c r="H233" s="17">
        <v>35532</v>
      </c>
      <c r="I233" s="2"/>
      <c r="J233" s="2"/>
      <c r="K233" s="17">
        <v>35532</v>
      </c>
      <c r="L233" s="17">
        <v>3807</v>
      </c>
      <c r="M233" s="17">
        <v>31725</v>
      </c>
      <c r="N233" s="17">
        <v>35532</v>
      </c>
      <c r="O233" s="2"/>
      <c r="P233" s="2"/>
      <c r="Q233" s="31" t="s">
        <v>139</v>
      </c>
      <c r="R233" s="66"/>
      <c r="S233" s="62"/>
      <c r="T233" s="5"/>
    </row>
    <row r="234" spans="1:20">
      <c r="A234" s="2" t="s">
        <v>1287</v>
      </c>
      <c r="B234" s="2" t="s">
        <v>1367</v>
      </c>
      <c r="C234" s="2" t="s">
        <v>146</v>
      </c>
      <c r="D234" s="16">
        <v>90</v>
      </c>
      <c r="E234" s="2" t="s">
        <v>1315</v>
      </c>
      <c r="F234" s="2" t="s">
        <v>1038</v>
      </c>
      <c r="G234" s="2" t="s">
        <v>1368</v>
      </c>
      <c r="H234" s="17">
        <v>175028</v>
      </c>
      <c r="I234" s="2"/>
      <c r="J234" s="2"/>
      <c r="K234" s="17">
        <v>175028</v>
      </c>
      <c r="L234" s="17">
        <v>18753</v>
      </c>
      <c r="M234" s="17">
        <v>156275</v>
      </c>
      <c r="N234" s="17">
        <v>175028</v>
      </c>
      <c r="O234" s="2"/>
      <c r="P234" s="2"/>
      <c r="Q234" s="31" t="s">
        <v>139</v>
      </c>
      <c r="R234" s="66"/>
      <c r="S234" s="62"/>
      <c r="T234" s="5"/>
    </row>
    <row r="235" spans="1:20">
      <c r="A235" s="2" t="s">
        <v>1372</v>
      </c>
      <c r="B235" s="2" t="s">
        <v>1400</v>
      </c>
      <c r="C235" s="2" t="s">
        <v>146</v>
      </c>
      <c r="D235" s="16">
        <v>90</v>
      </c>
      <c r="E235" s="2" t="s">
        <v>1376</v>
      </c>
      <c r="F235" s="2" t="s">
        <v>1038</v>
      </c>
      <c r="G235" s="2" t="s">
        <v>1401</v>
      </c>
      <c r="H235" s="17">
        <v>208288</v>
      </c>
      <c r="I235" s="2"/>
      <c r="J235" s="2"/>
      <c r="K235" s="17">
        <v>208288</v>
      </c>
      <c r="L235" s="17">
        <v>22316.57</v>
      </c>
      <c r="M235" s="17">
        <v>185971.43</v>
      </c>
      <c r="N235" s="17">
        <v>208288</v>
      </c>
      <c r="O235" s="2"/>
      <c r="P235" s="2"/>
      <c r="Q235" s="31" t="s">
        <v>139</v>
      </c>
      <c r="R235" s="66"/>
      <c r="S235" s="62"/>
      <c r="T235" s="5"/>
    </row>
    <row r="236" spans="1:20">
      <c r="A236" s="2" t="s">
        <v>1372</v>
      </c>
      <c r="B236" s="2" t="s">
        <v>1402</v>
      </c>
      <c r="C236" s="2" t="s">
        <v>146</v>
      </c>
      <c r="D236" s="16">
        <v>90</v>
      </c>
      <c r="E236" s="2" t="s">
        <v>1376</v>
      </c>
      <c r="F236" s="2" t="s">
        <v>1038</v>
      </c>
      <c r="G236" s="2" t="s">
        <v>1403</v>
      </c>
      <c r="H236" s="17">
        <v>94464</v>
      </c>
      <c r="I236" s="2"/>
      <c r="J236" s="2"/>
      <c r="K236" s="17">
        <v>94464</v>
      </c>
      <c r="L236" s="17">
        <v>10121.14</v>
      </c>
      <c r="M236" s="17">
        <v>84342.86</v>
      </c>
      <c r="N236" s="17">
        <v>94464</v>
      </c>
      <c r="O236" s="2"/>
      <c r="P236" s="2"/>
      <c r="Q236" s="31" t="s">
        <v>139</v>
      </c>
      <c r="R236" s="65"/>
      <c r="S236" s="62"/>
      <c r="T236" s="5"/>
    </row>
    <row r="237" spans="1:20">
      <c r="A237" s="2" t="s">
        <v>1553</v>
      </c>
      <c r="B237" s="2" t="s">
        <v>1559</v>
      </c>
      <c r="C237" s="2" t="s">
        <v>146</v>
      </c>
      <c r="D237" s="16">
        <v>90</v>
      </c>
      <c r="E237" s="2" t="s">
        <v>1554</v>
      </c>
      <c r="F237" s="2" t="s">
        <v>1560</v>
      </c>
      <c r="G237" s="2" t="s">
        <v>1561</v>
      </c>
      <c r="H237" s="17">
        <v>272703</v>
      </c>
      <c r="I237" s="2"/>
      <c r="J237" s="2"/>
      <c r="K237" s="17">
        <v>272703</v>
      </c>
      <c r="L237" s="17">
        <v>29218.18</v>
      </c>
      <c r="M237" s="17">
        <v>243484.82</v>
      </c>
      <c r="N237" s="17">
        <v>272703</v>
      </c>
      <c r="O237" s="2"/>
      <c r="P237" s="2"/>
      <c r="Q237" s="31" t="s">
        <v>139</v>
      </c>
      <c r="R237" s="41">
        <f>+K237</f>
        <v>272703</v>
      </c>
      <c r="S237" s="62"/>
      <c r="T237" s="5"/>
    </row>
    <row r="238" spans="1:20">
      <c r="A238" s="2" t="s">
        <v>93</v>
      </c>
      <c r="B238" s="2" t="s">
        <v>142</v>
      </c>
      <c r="C238" s="2" t="s">
        <v>60</v>
      </c>
      <c r="D238" s="16">
        <v>0</v>
      </c>
      <c r="E238" s="2" t="s">
        <v>93</v>
      </c>
      <c r="F238" s="2" t="s">
        <v>143</v>
      </c>
      <c r="G238" s="2" t="s">
        <v>144</v>
      </c>
      <c r="H238" s="17">
        <v>58800</v>
      </c>
      <c r="I238" s="19">
        <v>-1764</v>
      </c>
      <c r="J238" s="2"/>
      <c r="K238" s="17">
        <v>57036</v>
      </c>
      <c r="L238" s="17">
        <v>6111</v>
      </c>
      <c r="M238" s="17">
        <v>50925</v>
      </c>
      <c r="N238" s="17">
        <v>57036</v>
      </c>
      <c r="O238" s="2"/>
      <c r="P238" s="2"/>
      <c r="Q238" s="31" t="s">
        <v>139</v>
      </c>
      <c r="R238" s="41">
        <f>+K238</f>
        <v>57036</v>
      </c>
      <c r="S238" s="62"/>
      <c r="T238" s="5"/>
    </row>
    <row r="239" spans="1:20">
      <c r="A239" s="2" t="s">
        <v>769</v>
      </c>
      <c r="B239" s="2" t="s">
        <v>820</v>
      </c>
      <c r="C239" s="2" t="s">
        <v>237</v>
      </c>
      <c r="D239" s="16">
        <v>60</v>
      </c>
      <c r="E239" s="2" t="s">
        <v>770</v>
      </c>
      <c r="F239" s="2" t="s">
        <v>821</v>
      </c>
      <c r="G239" s="2" t="s">
        <v>822</v>
      </c>
      <c r="H239" s="17">
        <v>94096</v>
      </c>
      <c r="I239" s="2"/>
      <c r="J239" s="2"/>
      <c r="K239" s="17">
        <v>94096</v>
      </c>
      <c r="L239" s="17">
        <v>10081.709999999999</v>
      </c>
      <c r="M239" s="17">
        <v>84014.29</v>
      </c>
      <c r="N239" s="17">
        <v>94096</v>
      </c>
      <c r="O239" s="2"/>
      <c r="P239" s="2"/>
      <c r="Q239" s="31" t="s">
        <v>139</v>
      </c>
      <c r="R239" s="64">
        <f>+K239+K240+K241+K242+K243+K244+K245+K246+K247+K248+K249+K250+K251</f>
        <v>555085</v>
      </c>
      <c r="S239" s="62"/>
      <c r="T239" s="5"/>
    </row>
    <row r="240" spans="1:20">
      <c r="A240" s="2" t="s">
        <v>769</v>
      </c>
      <c r="B240" s="2" t="s">
        <v>826</v>
      </c>
      <c r="C240" s="2" t="s">
        <v>237</v>
      </c>
      <c r="D240" s="16">
        <v>60</v>
      </c>
      <c r="E240" s="2" t="s">
        <v>770</v>
      </c>
      <c r="F240" s="2" t="s">
        <v>821</v>
      </c>
      <c r="G240" s="2" t="s">
        <v>827</v>
      </c>
      <c r="H240" s="17">
        <v>91154</v>
      </c>
      <c r="I240" s="2"/>
      <c r="J240" s="2"/>
      <c r="K240" s="17">
        <v>91154</v>
      </c>
      <c r="L240" s="17">
        <v>9766.5</v>
      </c>
      <c r="M240" s="17">
        <v>81387.5</v>
      </c>
      <c r="N240" s="17">
        <v>91154</v>
      </c>
      <c r="O240" s="2"/>
      <c r="P240" s="2"/>
      <c r="Q240" s="31" t="s">
        <v>139</v>
      </c>
      <c r="R240" s="66"/>
      <c r="S240" s="62"/>
      <c r="T240" s="5"/>
    </row>
    <row r="241" spans="1:20">
      <c r="A241" s="2" t="s">
        <v>769</v>
      </c>
      <c r="B241" s="2" t="s">
        <v>830</v>
      </c>
      <c r="C241" s="2" t="s">
        <v>237</v>
      </c>
      <c r="D241" s="16">
        <v>60</v>
      </c>
      <c r="E241" s="2" t="s">
        <v>770</v>
      </c>
      <c r="F241" s="2" t="s">
        <v>821</v>
      </c>
      <c r="G241" s="2" t="s">
        <v>831</v>
      </c>
      <c r="H241" s="17">
        <v>16800</v>
      </c>
      <c r="I241" s="2"/>
      <c r="J241" s="2"/>
      <c r="K241" s="17">
        <v>16800</v>
      </c>
      <c r="L241" s="17">
        <v>1800</v>
      </c>
      <c r="M241" s="17">
        <v>15000</v>
      </c>
      <c r="N241" s="17">
        <v>16800</v>
      </c>
      <c r="O241" s="2"/>
      <c r="P241" s="2"/>
      <c r="Q241" s="31" t="s">
        <v>139</v>
      </c>
      <c r="R241" s="66"/>
      <c r="S241" s="62"/>
      <c r="T241" s="5"/>
    </row>
    <row r="242" spans="1:20">
      <c r="A242" s="2" t="s">
        <v>769</v>
      </c>
      <c r="B242" s="2" t="s">
        <v>832</v>
      </c>
      <c r="C242" s="2" t="s">
        <v>237</v>
      </c>
      <c r="D242" s="16">
        <v>60</v>
      </c>
      <c r="E242" s="2" t="s">
        <v>770</v>
      </c>
      <c r="F242" s="2" t="s">
        <v>821</v>
      </c>
      <c r="G242" s="2" t="s">
        <v>833</v>
      </c>
      <c r="H242" s="17">
        <v>14406</v>
      </c>
      <c r="I242" s="2"/>
      <c r="J242" s="2"/>
      <c r="K242" s="17">
        <v>14406</v>
      </c>
      <c r="L242" s="17">
        <v>1543.5</v>
      </c>
      <c r="M242" s="17">
        <v>12862.5</v>
      </c>
      <c r="N242" s="17">
        <v>14406</v>
      </c>
      <c r="O242" s="2"/>
      <c r="P242" s="2"/>
      <c r="Q242" s="31" t="s">
        <v>139</v>
      </c>
      <c r="R242" s="66"/>
      <c r="S242" s="62"/>
      <c r="T242" s="5"/>
    </row>
    <row r="243" spans="1:20">
      <c r="A243" s="2" t="s">
        <v>769</v>
      </c>
      <c r="B243" s="2" t="s">
        <v>834</v>
      </c>
      <c r="C243" s="2" t="s">
        <v>237</v>
      </c>
      <c r="D243" s="16">
        <v>60</v>
      </c>
      <c r="E243" s="2" t="s">
        <v>770</v>
      </c>
      <c r="F243" s="2" t="s">
        <v>821</v>
      </c>
      <c r="G243" s="2" t="s">
        <v>835</v>
      </c>
      <c r="H243" s="17">
        <v>14002</v>
      </c>
      <c r="I243" s="2"/>
      <c r="J243" s="2"/>
      <c r="K243" s="17">
        <v>14002</v>
      </c>
      <c r="L243" s="17">
        <v>1500.21</v>
      </c>
      <c r="M243" s="17">
        <v>12501.79</v>
      </c>
      <c r="N243" s="17">
        <v>14002</v>
      </c>
      <c r="O243" s="2"/>
      <c r="P243" s="2"/>
      <c r="Q243" s="31" t="s">
        <v>139</v>
      </c>
      <c r="R243" s="66"/>
      <c r="S243" s="62"/>
      <c r="T243" s="5"/>
    </row>
    <row r="244" spans="1:20">
      <c r="A244" s="2" t="s">
        <v>769</v>
      </c>
      <c r="B244" s="2" t="s">
        <v>836</v>
      </c>
      <c r="C244" s="2" t="s">
        <v>237</v>
      </c>
      <c r="D244" s="16">
        <v>60</v>
      </c>
      <c r="E244" s="2" t="s">
        <v>770</v>
      </c>
      <c r="F244" s="2" t="s">
        <v>821</v>
      </c>
      <c r="G244" s="2" t="s">
        <v>837</v>
      </c>
      <c r="H244" s="17">
        <v>68892</v>
      </c>
      <c r="I244" s="2"/>
      <c r="J244" s="2"/>
      <c r="K244" s="17">
        <v>68892</v>
      </c>
      <c r="L244" s="17">
        <v>7381.29</v>
      </c>
      <c r="M244" s="17">
        <v>61510.71</v>
      </c>
      <c r="N244" s="17">
        <v>68892</v>
      </c>
      <c r="O244" s="2"/>
      <c r="P244" s="2"/>
      <c r="Q244" s="31" t="s">
        <v>139</v>
      </c>
      <c r="R244" s="66"/>
      <c r="S244" s="62"/>
      <c r="T244" s="5"/>
    </row>
    <row r="245" spans="1:20">
      <c r="A245" s="2" t="s">
        <v>769</v>
      </c>
      <c r="B245" s="2" t="s">
        <v>838</v>
      </c>
      <c r="C245" s="2" t="s">
        <v>237</v>
      </c>
      <c r="D245" s="16">
        <v>60</v>
      </c>
      <c r="E245" s="2" t="s">
        <v>770</v>
      </c>
      <c r="F245" s="2" t="s">
        <v>821</v>
      </c>
      <c r="G245" s="2" t="s">
        <v>839</v>
      </c>
      <c r="H245" s="17">
        <v>7840</v>
      </c>
      <c r="I245" s="2"/>
      <c r="J245" s="2"/>
      <c r="K245" s="17">
        <v>7840</v>
      </c>
      <c r="L245" s="18">
        <v>840</v>
      </c>
      <c r="M245" s="17">
        <v>7000</v>
      </c>
      <c r="N245" s="17">
        <v>7840</v>
      </c>
      <c r="O245" s="2"/>
      <c r="P245" s="2"/>
      <c r="Q245" s="31" t="s">
        <v>139</v>
      </c>
      <c r="R245" s="66"/>
      <c r="S245" s="62"/>
      <c r="T245" s="5"/>
    </row>
    <row r="246" spans="1:20">
      <c r="A246" s="2" t="s">
        <v>1467</v>
      </c>
      <c r="B246" s="2" t="s">
        <v>1494</v>
      </c>
      <c r="C246" s="2" t="s">
        <v>237</v>
      </c>
      <c r="D246" s="16">
        <v>60</v>
      </c>
      <c r="E246" s="2" t="s">
        <v>1495</v>
      </c>
      <c r="F246" s="2" t="s">
        <v>821</v>
      </c>
      <c r="G246" s="2" t="s">
        <v>1496</v>
      </c>
      <c r="H246" s="17">
        <v>35008</v>
      </c>
      <c r="I246" s="2"/>
      <c r="J246" s="2"/>
      <c r="K246" s="17">
        <v>35008</v>
      </c>
      <c r="L246" s="17">
        <v>3750.86</v>
      </c>
      <c r="M246" s="17">
        <v>31257.14</v>
      </c>
      <c r="N246" s="17">
        <v>35008</v>
      </c>
      <c r="O246" s="2"/>
      <c r="P246" s="2"/>
      <c r="Q246" s="31" t="s">
        <v>139</v>
      </c>
      <c r="R246" s="66"/>
      <c r="S246" s="62"/>
      <c r="T246" s="5"/>
    </row>
    <row r="247" spans="1:20">
      <c r="A247" s="2" t="s">
        <v>1467</v>
      </c>
      <c r="B247" s="2" t="s">
        <v>1497</v>
      </c>
      <c r="C247" s="2" t="s">
        <v>237</v>
      </c>
      <c r="D247" s="16">
        <v>60</v>
      </c>
      <c r="E247" s="2" t="s">
        <v>1495</v>
      </c>
      <c r="F247" s="2" t="s">
        <v>821</v>
      </c>
      <c r="G247" s="2" t="s">
        <v>1498</v>
      </c>
      <c r="H247" s="17">
        <v>17400</v>
      </c>
      <c r="I247" s="2"/>
      <c r="J247" s="2"/>
      <c r="K247" s="17">
        <v>17400</v>
      </c>
      <c r="L247" s="17">
        <v>1864.29</v>
      </c>
      <c r="M247" s="17">
        <v>15535.71</v>
      </c>
      <c r="N247" s="17">
        <v>17400</v>
      </c>
      <c r="O247" s="2"/>
      <c r="P247" s="2"/>
      <c r="Q247" s="31" t="s">
        <v>139</v>
      </c>
      <c r="R247" s="66"/>
      <c r="S247" s="62"/>
      <c r="T247" s="5"/>
    </row>
    <row r="248" spans="1:20">
      <c r="A248" s="2" t="s">
        <v>1467</v>
      </c>
      <c r="B248" s="2" t="s">
        <v>1499</v>
      </c>
      <c r="C248" s="2" t="s">
        <v>237</v>
      </c>
      <c r="D248" s="16">
        <v>60</v>
      </c>
      <c r="E248" s="2" t="s">
        <v>1495</v>
      </c>
      <c r="F248" s="2" t="s">
        <v>821</v>
      </c>
      <c r="G248" s="2" t="s">
        <v>1500</v>
      </c>
      <c r="H248" s="17">
        <v>26320</v>
      </c>
      <c r="I248" s="2"/>
      <c r="J248" s="2"/>
      <c r="K248" s="17">
        <v>26320</v>
      </c>
      <c r="L248" s="17">
        <v>2820</v>
      </c>
      <c r="M248" s="17">
        <v>23500</v>
      </c>
      <c r="N248" s="17">
        <v>26320</v>
      </c>
      <c r="O248" s="2"/>
      <c r="P248" s="2"/>
      <c r="Q248" s="31" t="s">
        <v>139</v>
      </c>
      <c r="R248" s="66"/>
      <c r="S248" s="62"/>
      <c r="T248" s="5"/>
    </row>
    <row r="249" spans="1:20">
      <c r="A249" s="2" t="s">
        <v>1467</v>
      </c>
      <c r="B249" s="2" t="s">
        <v>1501</v>
      </c>
      <c r="C249" s="2" t="s">
        <v>237</v>
      </c>
      <c r="D249" s="16">
        <v>60</v>
      </c>
      <c r="E249" s="2" t="s">
        <v>1495</v>
      </c>
      <c r="F249" s="2" t="s">
        <v>821</v>
      </c>
      <c r="G249" s="2" t="s">
        <v>1502</v>
      </c>
      <c r="H249" s="17">
        <v>12105</v>
      </c>
      <c r="I249" s="2"/>
      <c r="J249" s="2"/>
      <c r="K249" s="17">
        <v>12105</v>
      </c>
      <c r="L249" s="17">
        <v>1296.96</v>
      </c>
      <c r="M249" s="17">
        <v>10808.04</v>
      </c>
      <c r="N249" s="17">
        <v>12105</v>
      </c>
      <c r="O249" s="2"/>
      <c r="P249" s="2"/>
      <c r="Q249" s="31" t="s">
        <v>139</v>
      </c>
      <c r="R249" s="66"/>
      <c r="S249" s="62"/>
      <c r="T249" s="5"/>
    </row>
    <row r="250" spans="1:20">
      <c r="A250" s="2" t="s">
        <v>1467</v>
      </c>
      <c r="B250" s="2" t="s">
        <v>1503</v>
      </c>
      <c r="C250" s="2" t="s">
        <v>237</v>
      </c>
      <c r="D250" s="16">
        <v>60</v>
      </c>
      <c r="E250" s="2" t="s">
        <v>1495</v>
      </c>
      <c r="F250" s="2" t="s">
        <v>821</v>
      </c>
      <c r="G250" s="2" t="s">
        <v>1504</v>
      </c>
      <c r="H250" s="17">
        <v>6725</v>
      </c>
      <c r="I250" s="2"/>
      <c r="J250" s="2"/>
      <c r="K250" s="17">
        <v>6725</v>
      </c>
      <c r="L250" s="18">
        <v>720.54</v>
      </c>
      <c r="M250" s="17">
        <v>6004.46</v>
      </c>
      <c r="N250" s="17">
        <v>6725</v>
      </c>
      <c r="O250" s="2"/>
      <c r="P250" s="2"/>
      <c r="Q250" s="31" t="s">
        <v>139</v>
      </c>
      <c r="R250" s="66"/>
      <c r="S250" s="62"/>
      <c r="T250" s="5"/>
    </row>
    <row r="251" spans="1:20">
      <c r="A251" s="2" t="s">
        <v>1467</v>
      </c>
      <c r="B251" s="2" t="s">
        <v>1505</v>
      </c>
      <c r="C251" s="2" t="s">
        <v>237</v>
      </c>
      <c r="D251" s="16">
        <v>60</v>
      </c>
      <c r="E251" s="2" t="s">
        <v>1495</v>
      </c>
      <c r="F251" s="2" t="s">
        <v>821</v>
      </c>
      <c r="G251" s="2" t="s">
        <v>1506</v>
      </c>
      <c r="H251" s="17">
        <v>150337</v>
      </c>
      <c r="I251" s="2"/>
      <c r="J251" s="2"/>
      <c r="K251" s="17">
        <v>150337</v>
      </c>
      <c r="L251" s="17">
        <v>16107.54</v>
      </c>
      <c r="M251" s="17">
        <v>134229.46</v>
      </c>
      <c r="N251" s="17">
        <v>150337</v>
      </c>
      <c r="O251" s="2"/>
      <c r="P251" s="2"/>
      <c r="Q251" s="31" t="s">
        <v>139</v>
      </c>
      <c r="R251" s="65"/>
      <c r="S251" s="62"/>
      <c r="T251" s="5"/>
    </row>
    <row r="252" spans="1:20">
      <c r="A252" s="2" t="s">
        <v>368</v>
      </c>
      <c r="B252" s="2" t="s">
        <v>367</v>
      </c>
      <c r="C252" s="2" t="s">
        <v>369</v>
      </c>
      <c r="D252" s="16">
        <v>30</v>
      </c>
      <c r="E252" s="2" t="s">
        <v>370</v>
      </c>
      <c r="F252" s="2" t="s">
        <v>371</v>
      </c>
      <c r="G252" s="2" t="s">
        <v>372</v>
      </c>
      <c r="H252" s="17">
        <v>256067</v>
      </c>
      <c r="I252" s="2"/>
      <c r="J252" s="2"/>
      <c r="K252" s="17">
        <v>256067</v>
      </c>
      <c r="L252" s="17">
        <v>27435.75</v>
      </c>
      <c r="M252" s="17">
        <v>228631.25</v>
      </c>
      <c r="N252" s="17">
        <v>256067</v>
      </c>
      <c r="O252" s="2"/>
      <c r="P252" s="2"/>
      <c r="Q252" s="31" t="s">
        <v>139</v>
      </c>
      <c r="R252" s="64">
        <f>+K252+K253+K254+K255+K256+K257+K258</f>
        <v>830284</v>
      </c>
      <c r="S252" s="62"/>
      <c r="T252" s="5"/>
    </row>
    <row r="253" spans="1:20">
      <c r="A253" s="2" t="s">
        <v>368</v>
      </c>
      <c r="B253" s="2" t="s">
        <v>378</v>
      </c>
      <c r="C253" s="2" t="s">
        <v>369</v>
      </c>
      <c r="D253" s="16">
        <v>30</v>
      </c>
      <c r="E253" s="2" t="s">
        <v>370</v>
      </c>
      <c r="F253" s="2" t="s">
        <v>371</v>
      </c>
      <c r="G253" s="2" t="s">
        <v>379</v>
      </c>
      <c r="H253" s="17">
        <v>47040</v>
      </c>
      <c r="I253" s="2"/>
      <c r="J253" s="2"/>
      <c r="K253" s="17">
        <v>47040</v>
      </c>
      <c r="L253" s="17">
        <v>5040</v>
      </c>
      <c r="M253" s="17">
        <v>42000</v>
      </c>
      <c r="N253" s="17">
        <v>47040</v>
      </c>
      <c r="O253" s="2"/>
      <c r="P253" s="2"/>
      <c r="Q253" s="31" t="s">
        <v>139</v>
      </c>
      <c r="R253" s="66"/>
      <c r="S253" s="62"/>
      <c r="T253" s="5"/>
    </row>
    <row r="254" spans="1:20">
      <c r="A254" s="2" t="s">
        <v>368</v>
      </c>
      <c r="B254" s="2" t="s">
        <v>380</v>
      </c>
      <c r="C254" s="2" t="s">
        <v>369</v>
      </c>
      <c r="D254" s="16">
        <v>30</v>
      </c>
      <c r="E254" s="2" t="s">
        <v>370</v>
      </c>
      <c r="F254" s="2" t="s">
        <v>371</v>
      </c>
      <c r="G254" s="2" t="s">
        <v>381</v>
      </c>
      <c r="H254" s="17">
        <v>143520</v>
      </c>
      <c r="I254" s="2"/>
      <c r="J254" s="2"/>
      <c r="K254" s="17">
        <v>143520</v>
      </c>
      <c r="L254" s="17">
        <v>15377.14</v>
      </c>
      <c r="M254" s="17">
        <v>128142.86</v>
      </c>
      <c r="N254" s="17">
        <v>143520</v>
      </c>
      <c r="O254" s="2"/>
      <c r="P254" s="2"/>
      <c r="Q254" s="31" t="s">
        <v>139</v>
      </c>
      <c r="R254" s="66"/>
      <c r="S254" s="62"/>
      <c r="T254" s="5"/>
    </row>
    <row r="255" spans="1:20">
      <c r="A255" s="2" t="s">
        <v>866</v>
      </c>
      <c r="B255" s="2" t="s">
        <v>879</v>
      </c>
      <c r="C255" s="2" t="s">
        <v>369</v>
      </c>
      <c r="D255" s="16">
        <v>30</v>
      </c>
      <c r="E255" s="2" t="s">
        <v>880</v>
      </c>
      <c r="F255" s="2" t="s">
        <v>371</v>
      </c>
      <c r="G255" s="2" t="s">
        <v>881</v>
      </c>
      <c r="H255" s="17">
        <v>128240</v>
      </c>
      <c r="I255" s="2"/>
      <c r="J255" s="2"/>
      <c r="K255" s="17">
        <v>128240</v>
      </c>
      <c r="L255" s="17">
        <v>13740</v>
      </c>
      <c r="M255" s="17">
        <v>114500</v>
      </c>
      <c r="N255" s="17">
        <v>128240</v>
      </c>
      <c r="O255" s="2"/>
      <c r="P255" s="2"/>
      <c r="Q255" s="31" t="s">
        <v>139</v>
      </c>
      <c r="R255" s="66"/>
      <c r="S255" s="62"/>
      <c r="T255" s="5"/>
    </row>
    <row r="256" spans="1:20">
      <c r="A256" s="2" t="s">
        <v>1553</v>
      </c>
      <c r="B256" s="2" t="s">
        <v>1568</v>
      </c>
      <c r="C256" s="2" t="s">
        <v>369</v>
      </c>
      <c r="D256" s="16">
        <v>30</v>
      </c>
      <c r="E256" s="2" t="s">
        <v>1569</v>
      </c>
      <c r="F256" s="2" t="s">
        <v>371</v>
      </c>
      <c r="G256" s="2" t="s">
        <v>1570</v>
      </c>
      <c r="H256" s="17">
        <v>96530</v>
      </c>
      <c r="I256" s="2"/>
      <c r="J256" s="2"/>
      <c r="K256" s="17">
        <v>96530</v>
      </c>
      <c r="L256" s="17">
        <v>10342.5</v>
      </c>
      <c r="M256" s="17">
        <v>86187.5</v>
      </c>
      <c r="N256" s="17">
        <v>96530</v>
      </c>
      <c r="O256" s="2"/>
      <c r="P256" s="2"/>
      <c r="Q256" s="31" t="s">
        <v>139</v>
      </c>
      <c r="R256" s="66"/>
      <c r="S256" s="62"/>
      <c r="T256" s="5"/>
    </row>
    <row r="257" spans="1:20">
      <c r="A257" s="2" t="s">
        <v>1553</v>
      </c>
      <c r="B257" s="2" t="s">
        <v>1571</v>
      </c>
      <c r="C257" s="2" t="s">
        <v>369</v>
      </c>
      <c r="D257" s="16">
        <v>30</v>
      </c>
      <c r="E257" s="2" t="s">
        <v>1569</v>
      </c>
      <c r="F257" s="2" t="s">
        <v>371</v>
      </c>
      <c r="G257" s="2" t="s">
        <v>1572</v>
      </c>
      <c r="H257" s="17">
        <v>138347</v>
      </c>
      <c r="I257" s="2"/>
      <c r="J257" s="2"/>
      <c r="K257" s="17">
        <v>138347</v>
      </c>
      <c r="L257" s="17">
        <v>14822.89</v>
      </c>
      <c r="M257" s="17">
        <v>123524.11</v>
      </c>
      <c r="N257" s="17">
        <v>138347</v>
      </c>
      <c r="O257" s="2"/>
      <c r="P257" s="2"/>
      <c r="Q257" s="31" t="s">
        <v>139</v>
      </c>
      <c r="R257" s="66"/>
      <c r="S257" s="62"/>
      <c r="T257" s="5"/>
    </row>
    <row r="258" spans="1:20">
      <c r="A258" s="2" t="s">
        <v>1553</v>
      </c>
      <c r="B258" s="2" t="s">
        <v>1611</v>
      </c>
      <c r="C258" s="2" t="s">
        <v>369</v>
      </c>
      <c r="D258" s="16">
        <v>30</v>
      </c>
      <c r="E258" s="2" t="s">
        <v>1569</v>
      </c>
      <c r="F258" s="2" t="s">
        <v>371</v>
      </c>
      <c r="G258" s="2" t="s">
        <v>1612</v>
      </c>
      <c r="H258" s="17">
        <v>20540</v>
      </c>
      <c r="I258" s="2"/>
      <c r="J258" s="2"/>
      <c r="K258" s="17">
        <v>20540</v>
      </c>
      <c r="L258" s="17">
        <v>2200.71</v>
      </c>
      <c r="M258" s="17">
        <v>18339.29</v>
      </c>
      <c r="N258" s="17">
        <v>20540</v>
      </c>
      <c r="O258" s="2"/>
      <c r="P258" s="2"/>
      <c r="Q258" s="31" t="s">
        <v>139</v>
      </c>
      <c r="R258" s="65"/>
      <c r="S258" s="62"/>
      <c r="T258" s="5"/>
    </row>
    <row r="259" spans="1:20">
      <c r="A259" s="2" t="s">
        <v>505</v>
      </c>
      <c r="B259" s="2" t="s">
        <v>517</v>
      </c>
      <c r="C259" s="2" t="s">
        <v>243</v>
      </c>
      <c r="D259" s="16">
        <v>30</v>
      </c>
      <c r="E259" s="2" t="s">
        <v>518</v>
      </c>
      <c r="F259" s="2" t="s">
        <v>519</v>
      </c>
      <c r="G259" s="2" t="s">
        <v>520</v>
      </c>
      <c r="H259" s="17">
        <v>9802</v>
      </c>
      <c r="I259" s="2"/>
      <c r="J259" s="2"/>
      <c r="K259" s="17">
        <v>9802</v>
      </c>
      <c r="L259" s="17">
        <v>1050.21</v>
      </c>
      <c r="M259" s="17">
        <v>8751.7900000000009</v>
      </c>
      <c r="N259" s="17">
        <v>9802</v>
      </c>
      <c r="O259" s="2"/>
      <c r="P259" s="2"/>
      <c r="Q259" s="31" t="s">
        <v>139</v>
      </c>
      <c r="R259" s="41">
        <f>+K259</f>
        <v>9802</v>
      </c>
      <c r="S259" s="62"/>
      <c r="T259" s="5"/>
    </row>
    <row r="260" spans="1:20">
      <c r="A260" s="2" t="s">
        <v>93</v>
      </c>
      <c r="B260" s="2" t="s">
        <v>138</v>
      </c>
      <c r="C260" s="2" t="s">
        <v>29</v>
      </c>
      <c r="D260" s="16">
        <v>0</v>
      </c>
      <c r="E260" s="2" t="s">
        <v>93</v>
      </c>
      <c r="F260" s="2" t="s">
        <v>140</v>
      </c>
      <c r="G260" s="2" t="s">
        <v>141</v>
      </c>
      <c r="H260" s="17">
        <v>8428</v>
      </c>
      <c r="I260" s="2"/>
      <c r="J260" s="2"/>
      <c r="K260" s="17">
        <v>8428</v>
      </c>
      <c r="L260" s="18">
        <v>903</v>
      </c>
      <c r="M260" s="17">
        <v>7525</v>
      </c>
      <c r="N260" s="17">
        <v>8428</v>
      </c>
      <c r="O260" s="2"/>
      <c r="P260" s="2"/>
      <c r="Q260" s="31" t="s">
        <v>139</v>
      </c>
      <c r="R260" s="64">
        <f>+K260+K261+K262</f>
        <v>130350</v>
      </c>
      <c r="S260" s="62"/>
      <c r="T260" s="5"/>
    </row>
    <row r="261" spans="1:20">
      <c r="A261" s="2" t="s">
        <v>505</v>
      </c>
      <c r="B261" s="2" t="s">
        <v>562</v>
      </c>
      <c r="C261" s="2" t="s">
        <v>29</v>
      </c>
      <c r="D261" s="16">
        <v>0</v>
      </c>
      <c r="E261" s="2" t="s">
        <v>505</v>
      </c>
      <c r="F261" s="2" t="s">
        <v>140</v>
      </c>
      <c r="G261" s="2" t="s">
        <v>563</v>
      </c>
      <c r="H261" s="17">
        <v>12142</v>
      </c>
      <c r="I261" s="2"/>
      <c r="J261" s="2"/>
      <c r="K261" s="17">
        <v>12142</v>
      </c>
      <c r="L261" s="17">
        <v>1300.93</v>
      </c>
      <c r="M261" s="17">
        <v>10841.07</v>
      </c>
      <c r="N261" s="17">
        <v>12142</v>
      </c>
      <c r="O261" s="2"/>
      <c r="P261" s="2"/>
      <c r="Q261" s="31" t="s">
        <v>139</v>
      </c>
      <c r="R261" s="66"/>
      <c r="S261" s="62"/>
      <c r="T261" s="5"/>
    </row>
    <row r="262" spans="1:20">
      <c r="A262" s="2" t="s">
        <v>971</v>
      </c>
      <c r="B262" s="2" t="s">
        <v>993</v>
      </c>
      <c r="C262" s="2" t="s">
        <v>29</v>
      </c>
      <c r="D262" s="16">
        <v>0</v>
      </c>
      <c r="E262" s="2" t="s">
        <v>971</v>
      </c>
      <c r="F262" s="2" t="s">
        <v>140</v>
      </c>
      <c r="G262" s="2" t="s">
        <v>994</v>
      </c>
      <c r="H262" s="17">
        <v>109780</v>
      </c>
      <c r="I262" s="2"/>
      <c r="J262" s="2"/>
      <c r="K262" s="17">
        <v>109780</v>
      </c>
      <c r="L262" s="17">
        <v>11762.14</v>
      </c>
      <c r="M262" s="17">
        <v>98017.86</v>
      </c>
      <c r="N262" s="17">
        <v>109780</v>
      </c>
      <c r="O262" s="2"/>
      <c r="P262" s="2"/>
      <c r="Q262" s="31" t="s">
        <v>139</v>
      </c>
      <c r="R262" s="65"/>
      <c r="S262" s="62"/>
      <c r="T262" s="5"/>
    </row>
    <row r="263" spans="1:20">
      <c r="A263" s="2" t="s">
        <v>769</v>
      </c>
      <c r="B263" s="2" t="s">
        <v>804</v>
      </c>
      <c r="C263" s="2" t="s">
        <v>73</v>
      </c>
      <c r="D263" s="16">
        <v>30</v>
      </c>
      <c r="E263" s="2" t="s">
        <v>805</v>
      </c>
      <c r="F263" s="2" t="s">
        <v>806</v>
      </c>
      <c r="G263" s="2" t="s">
        <v>807</v>
      </c>
      <c r="H263" s="17">
        <v>146000</v>
      </c>
      <c r="I263" s="2"/>
      <c r="J263" s="2"/>
      <c r="K263" s="17">
        <v>146000</v>
      </c>
      <c r="L263" s="17">
        <v>15642.86</v>
      </c>
      <c r="M263" s="17">
        <v>130357.14</v>
      </c>
      <c r="N263" s="17">
        <v>146000</v>
      </c>
      <c r="O263" s="2"/>
      <c r="P263" s="2"/>
      <c r="Q263" s="31" t="s">
        <v>139</v>
      </c>
      <c r="R263" s="41">
        <f>+K263</f>
        <v>146000</v>
      </c>
      <c r="S263" s="62"/>
      <c r="T263" s="5"/>
    </row>
    <row r="264" spans="1:20">
      <c r="A264" s="2" t="s">
        <v>971</v>
      </c>
      <c r="B264" s="2" t="s">
        <v>975</v>
      </c>
      <c r="C264" s="2" t="s">
        <v>98</v>
      </c>
      <c r="D264" s="16">
        <v>0</v>
      </c>
      <c r="E264" s="2" t="s">
        <v>971</v>
      </c>
      <c r="F264" s="2" t="s">
        <v>976</v>
      </c>
      <c r="G264" s="2" t="s">
        <v>977</v>
      </c>
      <c r="H264" s="17">
        <v>221591</v>
      </c>
      <c r="I264" s="2"/>
      <c r="J264" s="2"/>
      <c r="K264" s="17">
        <v>221591</v>
      </c>
      <c r="L264" s="17">
        <v>23741.89</v>
      </c>
      <c r="M264" s="17">
        <v>197849.11</v>
      </c>
      <c r="N264" s="17">
        <v>221591</v>
      </c>
      <c r="O264" s="2"/>
      <c r="P264" s="2"/>
      <c r="Q264" s="31" t="s">
        <v>139</v>
      </c>
      <c r="R264" s="41">
        <f>+K264</f>
        <v>221591</v>
      </c>
      <c r="S264" s="62"/>
      <c r="T264" s="5"/>
    </row>
    <row r="265" spans="1:20">
      <c r="A265" s="2" t="s">
        <v>1553</v>
      </c>
      <c r="B265" s="2" t="s">
        <v>1562</v>
      </c>
      <c r="C265" s="2" t="s">
        <v>1563</v>
      </c>
      <c r="D265" s="16">
        <v>45</v>
      </c>
      <c r="E265" s="2" t="s">
        <v>692</v>
      </c>
      <c r="F265" s="2" t="s">
        <v>1564</v>
      </c>
      <c r="G265" s="2" t="s">
        <v>1565</v>
      </c>
      <c r="H265" s="17">
        <v>164075</v>
      </c>
      <c r="I265" s="2"/>
      <c r="J265" s="2"/>
      <c r="K265" s="17">
        <v>164075</v>
      </c>
      <c r="L265" s="17">
        <v>17579.46</v>
      </c>
      <c r="M265" s="17">
        <v>146495.54</v>
      </c>
      <c r="N265" s="17">
        <v>164075</v>
      </c>
      <c r="O265" s="2"/>
      <c r="P265" s="2"/>
      <c r="Q265" s="31" t="s">
        <v>139</v>
      </c>
      <c r="R265" s="41">
        <f>+K265</f>
        <v>164075</v>
      </c>
      <c r="S265" s="62"/>
      <c r="T265" s="5"/>
    </row>
    <row r="266" spans="1:20">
      <c r="A266" s="2" t="s">
        <v>971</v>
      </c>
      <c r="B266" s="2" t="s">
        <v>1042</v>
      </c>
      <c r="C266" s="2" t="s">
        <v>94</v>
      </c>
      <c r="D266" s="16">
        <v>0</v>
      </c>
      <c r="E266" s="2" t="s">
        <v>971</v>
      </c>
      <c r="F266" s="2" t="s">
        <v>1043</v>
      </c>
      <c r="G266" s="2" t="s">
        <v>1044</v>
      </c>
      <c r="H266" s="17">
        <v>166626.75</v>
      </c>
      <c r="I266" s="2"/>
      <c r="J266" s="2"/>
      <c r="K266" s="17">
        <v>166626.75</v>
      </c>
      <c r="L266" s="17">
        <v>17852.87</v>
      </c>
      <c r="M266" s="17">
        <v>148773.88</v>
      </c>
      <c r="N266" s="17">
        <v>166626.75</v>
      </c>
      <c r="O266" s="2"/>
      <c r="P266" s="2"/>
      <c r="Q266" s="31" t="s">
        <v>139</v>
      </c>
      <c r="R266" s="64">
        <f>+K266+K267</f>
        <v>259976.75</v>
      </c>
      <c r="S266" s="62"/>
      <c r="T266" s="5"/>
    </row>
    <row r="267" spans="1:20">
      <c r="A267" s="2" t="s">
        <v>1117</v>
      </c>
      <c r="B267" s="2" t="s">
        <v>1208</v>
      </c>
      <c r="C267" s="2" t="s">
        <v>94</v>
      </c>
      <c r="D267" s="16">
        <v>0</v>
      </c>
      <c r="E267" s="2" t="s">
        <v>1117</v>
      </c>
      <c r="F267" s="2" t="s">
        <v>1043</v>
      </c>
      <c r="G267" s="2" t="s">
        <v>1209</v>
      </c>
      <c r="H267" s="17">
        <v>93350</v>
      </c>
      <c r="I267" s="2"/>
      <c r="J267" s="2"/>
      <c r="K267" s="17">
        <v>93350</v>
      </c>
      <c r="L267" s="17">
        <v>10001.790000000001</v>
      </c>
      <c r="M267" s="17">
        <v>83348.210000000006</v>
      </c>
      <c r="N267" s="17">
        <v>93350</v>
      </c>
      <c r="O267" s="2"/>
      <c r="P267" s="2"/>
      <c r="Q267" s="31" t="s">
        <v>139</v>
      </c>
      <c r="R267" s="65"/>
      <c r="S267" s="62"/>
      <c r="T267" s="5"/>
    </row>
    <row r="268" spans="1:20" ht="14.45" hidden="1" customHeight="1">
      <c r="A268" s="2" t="s">
        <v>448</v>
      </c>
      <c r="B268" s="2" t="s">
        <v>447</v>
      </c>
      <c r="C268" s="2" t="s">
        <v>60</v>
      </c>
      <c r="D268" s="16">
        <v>0</v>
      </c>
      <c r="E268" s="2" t="s">
        <v>448</v>
      </c>
      <c r="F268" s="2" t="s">
        <v>449</v>
      </c>
      <c r="G268" s="2" t="s">
        <v>450</v>
      </c>
      <c r="H268" s="17">
        <v>6754.32</v>
      </c>
      <c r="I268" s="2"/>
      <c r="J268" s="17">
        <v>6754.32</v>
      </c>
      <c r="K268" s="2">
        <v>0</v>
      </c>
      <c r="L268" s="18">
        <v>723.68</v>
      </c>
      <c r="M268" s="17">
        <v>6030.64</v>
      </c>
      <c r="N268" s="17">
        <v>6754.32</v>
      </c>
      <c r="O268" s="2" t="s">
        <v>1767</v>
      </c>
      <c r="P268" s="2"/>
      <c r="Q268" s="31" t="s">
        <v>139</v>
      </c>
      <c r="R268" s="5"/>
      <c r="S268" s="62"/>
      <c r="T268" s="5"/>
    </row>
    <row r="269" spans="1:20" ht="14.45" hidden="1" customHeight="1">
      <c r="A269" s="2" t="s">
        <v>448</v>
      </c>
      <c r="B269" s="2" t="s">
        <v>451</v>
      </c>
      <c r="C269" s="2" t="s">
        <v>60</v>
      </c>
      <c r="D269" s="16">
        <v>0</v>
      </c>
      <c r="E269" s="2" t="s">
        <v>448</v>
      </c>
      <c r="F269" s="2" t="s">
        <v>449</v>
      </c>
      <c r="G269" s="2" t="s">
        <v>452</v>
      </c>
      <c r="H269" s="17">
        <v>9143.68</v>
      </c>
      <c r="I269" s="2"/>
      <c r="J269" s="17">
        <v>9143.68</v>
      </c>
      <c r="K269" s="2">
        <v>0</v>
      </c>
      <c r="L269" s="18">
        <v>979.68</v>
      </c>
      <c r="M269" s="17">
        <v>8164</v>
      </c>
      <c r="N269" s="17">
        <v>9143.68</v>
      </c>
      <c r="O269" s="2" t="s">
        <v>1767</v>
      </c>
      <c r="P269" s="2"/>
      <c r="Q269" s="31" t="s">
        <v>139</v>
      </c>
      <c r="R269" s="5"/>
      <c r="S269" s="62"/>
      <c r="T269" s="5"/>
    </row>
    <row r="270" spans="1:20" ht="14.45" hidden="1" customHeight="1">
      <c r="A270" s="2" t="s">
        <v>1048</v>
      </c>
      <c r="B270" s="2" t="s">
        <v>1047</v>
      </c>
      <c r="C270" s="2" t="s">
        <v>60</v>
      </c>
      <c r="D270" s="16">
        <v>0</v>
      </c>
      <c r="E270" s="2" t="s">
        <v>1048</v>
      </c>
      <c r="F270" s="2" t="s">
        <v>449</v>
      </c>
      <c r="G270" s="2" t="s">
        <v>1049</v>
      </c>
      <c r="H270" s="17">
        <v>17072</v>
      </c>
      <c r="I270" s="2"/>
      <c r="J270" s="17">
        <v>17072</v>
      </c>
      <c r="K270" s="2">
        <v>0</v>
      </c>
      <c r="L270" s="17">
        <v>1829.14</v>
      </c>
      <c r="M270" s="17">
        <v>15242.86</v>
      </c>
      <c r="N270" s="17">
        <v>17072</v>
      </c>
      <c r="O270" s="2" t="s">
        <v>1767</v>
      </c>
      <c r="P270" s="2"/>
      <c r="Q270" s="31" t="s">
        <v>139</v>
      </c>
      <c r="R270" s="5"/>
      <c r="S270" s="62"/>
      <c r="T270" s="5"/>
    </row>
    <row r="271" spans="1:20" ht="14.45" hidden="1" customHeight="1">
      <c r="A271" s="2" t="s">
        <v>1048</v>
      </c>
      <c r="B271" s="2" t="s">
        <v>1050</v>
      </c>
      <c r="C271" s="2" t="s">
        <v>60</v>
      </c>
      <c r="D271" s="16">
        <v>0</v>
      </c>
      <c r="E271" s="2" t="s">
        <v>1048</v>
      </c>
      <c r="F271" s="2" t="s">
        <v>449</v>
      </c>
      <c r="G271" s="2" t="s">
        <v>1051</v>
      </c>
      <c r="H271" s="17">
        <v>17020</v>
      </c>
      <c r="I271" s="2"/>
      <c r="J271" s="17">
        <v>17020</v>
      </c>
      <c r="K271" s="2">
        <v>0</v>
      </c>
      <c r="L271" s="17">
        <v>1823.57</v>
      </c>
      <c r="M271" s="17">
        <v>15196.43</v>
      </c>
      <c r="N271" s="17">
        <v>17020</v>
      </c>
      <c r="O271" s="2" t="s">
        <v>1767</v>
      </c>
      <c r="P271" s="2"/>
      <c r="Q271" s="31" t="s">
        <v>139</v>
      </c>
      <c r="R271" s="5"/>
      <c r="S271" s="62"/>
      <c r="T271" s="5"/>
    </row>
    <row r="272" spans="1:20">
      <c r="A272" s="2" t="s">
        <v>1117</v>
      </c>
      <c r="B272" s="2" t="s">
        <v>1199</v>
      </c>
      <c r="C272" s="2" t="s">
        <v>151</v>
      </c>
      <c r="D272" s="16">
        <v>60</v>
      </c>
      <c r="E272" s="2" t="s">
        <v>1139</v>
      </c>
      <c r="F272" s="2" t="s">
        <v>1200</v>
      </c>
      <c r="G272" s="2" t="s">
        <v>1201</v>
      </c>
      <c r="H272" s="17">
        <v>29500</v>
      </c>
      <c r="I272" s="2"/>
      <c r="J272" s="2"/>
      <c r="K272" s="17">
        <v>29500</v>
      </c>
      <c r="L272" s="17">
        <v>3160.71</v>
      </c>
      <c r="M272" s="17">
        <v>26339.29</v>
      </c>
      <c r="N272" s="17">
        <v>29500</v>
      </c>
      <c r="O272" s="2"/>
      <c r="P272" s="2"/>
      <c r="Q272" s="31" t="s">
        <v>139</v>
      </c>
      <c r="R272" s="41">
        <f>+K272</f>
        <v>29500</v>
      </c>
      <c r="S272" s="62"/>
      <c r="T272" s="5"/>
    </row>
    <row r="273" spans="1:20">
      <c r="A273" s="2" t="s">
        <v>199</v>
      </c>
      <c r="B273" s="2" t="s">
        <v>263</v>
      </c>
      <c r="C273" s="2" t="s">
        <v>151</v>
      </c>
      <c r="D273" s="16">
        <v>60</v>
      </c>
      <c r="E273" s="2" t="s">
        <v>200</v>
      </c>
      <c r="F273" s="2" t="s">
        <v>264</v>
      </c>
      <c r="G273" s="2" t="s">
        <v>265</v>
      </c>
      <c r="H273" s="17">
        <v>20960</v>
      </c>
      <c r="I273" s="2"/>
      <c r="J273" s="2"/>
      <c r="K273" s="17">
        <v>20960</v>
      </c>
      <c r="L273" s="17">
        <v>2245.71</v>
      </c>
      <c r="M273" s="17">
        <v>18714.29</v>
      </c>
      <c r="N273" s="17">
        <v>20960</v>
      </c>
      <c r="O273" s="2"/>
      <c r="P273" s="2"/>
      <c r="Q273" s="31" t="s">
        <v>139</v>
      </c>
      <c r="R273" s="64">
        <f>+K273+K274+K275+K276+K277+K278</f>
        <v>101550.2</v>
      </c>
      <c r="S273" s="62"/>
      <c r="T273" s="5"/>
    </row>
    <row r="274" spans="1:20">
      <c r="A274" s="2" t="s">
        <v>689</v>
      </c>
      <c r="B274" s="2" t="s">
        <v>691</v>
      </c>
      <c r="C274" s="2" t="s">
        <v>151</v>
      </c>
      <c r="D274" s="16">
        <v>60</v>
      </c>
      <c r="E274" s="2" t="s">
        <v>692</v>
      </c>
      <c r="F274" s="2" t="s">
        <v>264</v>
      </c>
      <c r="G274" s="2" t="s">
        <v>693</v>
      </c>
      <c r="H274" s="17">
        <v>29016</v>
      </c>
      <c r="I274" s="2"/>
      <c r="J274" s="2"/>
      <c r="K274" s="17">
        <v>29016</v>
      </c>
      <c r="L274" s="17">
        <v>3108.86</v>
      </c>
      <c r="M274" s="17">
        <v>25907.14</v>
      </c>
      <c r="N274" s="17">
        <v>29016</v>
      </c>
      <c r="O274" s="2"/>
      <c r="P274" s="2"/>
      <c r="Q274" s="31" t="s">
        <v>139</v>
      </c>
      <c r="R274" s="66"/>
      <c r="S274" s="62"/>
      <c r="T274" s="5"/>
    </row>
    <row r="275" spans="1:20">
      <c r="A275" s="2" t="s">
        <v>689</v>
      </c>
      <c r="B275" s="2" t="s">
        <v>694</v>
      </c>
      <c r="C275" s="2" t="s">
        <v>151</v>
      </c>
      <c r="D275" s="16">
        <v>60</v>
      </c>
      <c r="E275" s="2" t="s">
        <v>692</v>
      </c>
      <c r="F275" s="2" t="s">
        <v>264</v>
      </c>
      <c r="G275" s="2" t="s">
        <v>695</v>
      </c>
      <c r="H275" s="17">
        <v>2768</v>
      </c>
      <c r="I275" s="2"/>
      <c r="J275" s="2"/>
      <c r="K275" s="17">
        <v>2768</v>
      </c>
      <c r="L275" s="18">
        <v>296.57</v>
      </c>
      <c r="M275" s="17">
        <v>2471.4299999999998</v>
      </c>
      <c r="N275" s="17">
        <v>2768</v>
      </c>
      <c r="O275" s="2"/>
      <c r="P275" s="2"/>
      <c r="Q275" s="31" t="s">
        <v>139</v>
      </c>
      <c r="R275" s="66"/>
      <c r="S275" s="62"/>
      <c r="T275" s="5"/>
    </row>
    <row r="276" spans="1:20">
      <c r="A276" s="2" t="s">
        <v>915</v>
      </c>
      <c r="B276" s="2" t="s">
        <v>951</v>
      </c>
      <c r="C276" s="2" t="s">
        <v>151</v>
      </c>
      <c r="D276" s="16">
        <v>60</v>
      </c>
      <c r="E276" s="2" t="s">
        <v>918</v>
      </c>
      <c r="F276" s="2" t="s">
        <v>264</v>
      </c>
      <c r="G276" s="2" t="s">
        <v>952</v>
      </c>
      <c r="H276" s="17">
        <v>13520</v>
      </c>
      <c r="I276" s="2"/>
      <c r="J276" s="2"/>
      <c r="K276" s="17">
        <v>13520</v>
      </c>
      <c r="L276" s="17">
        <v>1448.57</v>
      </c>
      <c r="M276" s="17">
        <v>12071.43</v>
      </c>
      <c r="N276" s="17">
        <v>13520</v>
      </c>
      <c r="O276" s="2"/>
      <c r="P276" s="2"/>
      <c r="Q276" s="31" t="s">
        <v>139</v>
      </c>
      <c r="R276" s="66"/>
      <c r="S276" s="62"/>
      <c r="T276" s="5"/>
    </row>
    <row r="277" spans="1:20">
      <c r="A277" s="2" t="s">
        <v>1117</v>
      </c>
      <c r="B277" s="2" t="s">
        <v>1163</v>
      </c>
      <c r="C277" s="2" t="s">
        <v>151</v>
      </c>
      <c r="D277" s="16">
        <v>60</v>
      </c>
      <c r="E277" s="2" t="s">
        <v>1139</v>
      </c>
      <c r="F277" s="2" t="s">
        <v>264</v>
      </c>
      <c r="G277" s="2" t="s">
        <v>1164</v>
      </c>
      <c r="H277" s="17">
        <v>23524.2</v>
      </c>
      <c r="I277" s="2"/>
      <c r="J277" s="2"/>
      <c r="K277" s="17">
        <v>23524.2</v>
      </c>
      <c r="L277" s="17">
        <v>2520.4499999999998</v>
      </c>
      <c r="M277" s="17">
        <v>21003.75</v>
      </c>
      <c r="N277" s="17">
        <v>23524.2</v>
      </c>
      <c r="O277" s="2"/>
      <c r="P277" s="2"/>
      <c r="Q277" s="31" t="s">
        <v>139</v>
      </c>
      <c r="R277" s="66"/>
      <c r="S277" s="62"/>
      <c r="T277" s="5"/>
    </row>
    <row r="278" spans="1:20">
      <c r="A278" s="2" t="s">
        <v>1372</v>
      </c>
      <c r="B278" s="2" t="s">
        <v>1409</v>
      </c>
      <c r="C278" s="2" t="s">
        <v>151</v>
      </c>
      <c r="D278" s="16">
        <v>60</v>
      </c>
      <c r="E278" s="2" t="s">
        <v>1373</v>
      </c>
      <c r="F278" s="2" t="s">
        <v>264</v>
      </c>
      <c r="G278" s="2" t="s">
        <v>1410</v>
      </c>
      <c r="H278" s="17">
        <v>11762</v>
      </c>
      <c r="I278" s="2"/>
      <c r="J278" s="2"/>
      <c r="K278" s="17">
        <v>11762</v>
      </c>
      <c r="L278" s="17">
        <v>1260.21</v>
      </c>
      <c r="M278" s="17">
        <v>10501.79</v>
      </c>
      <c r="N278" s="17">
        <v>11762</v>
      </c>
      <c r="O278" s="2"/>
      <c r="P278" s="2"/>
      <c r="Q278" s="31" t="s">
        <v>139</v>
      </c>
      <c r="R278" s="65"/>
      <c r="S278" s="62"/>
      <c r="T278" s="5"/>
    </row>
    <row r="279" spans="1:20">
      <c r="A279" s="2" t="s">
        <v>915</v>
      </c>
      <c r="B279" s="2" t="s">
        <v>920</v>
      </c>
      <c r="C279" s="2" t="s">
        <v>73</v>
      </c>
      <c r="D279" s="16">
        <v>30</v>
      </c>
      <c r="E279" s="2" t="s">
        <v>916</v>
      </c>
      <c r="F279" s="2" t="s">
        <v>921</v>
      </c>
      <c r="G279" s="2" t="s">
        <v>922</v>
      </c>
      <c r="H279" s="17">
        <v>348834</v>
      </c>
      <c r="I279" s="2"/>
      <c r="J279" s="2"/>
      <c r="K279" s="17">
        <v>348834</v>
      </c>
      <c r="L279" s="17">
        <v>37375.07</v>
      </c>
      <c r="M279" s="17">
        <v>311458.93</v>
      </c>
      <c r="N279" s="17">
        <v>348834</v>
      </c>
      <c r="O279" s="2"/>
      <c r="P279" s="2"/>
      <c r="Q279" s="31" t="s">
        <v>139</v>
      </c>
      <c r="R279" s="41">
        <f>+K279</f>
        <v>348834</v>
      </c>
      <c r="S279" s="62"/>
      <c r="T279" s="5"/>
    </row>
    <row r="280" spans="1:20">
      <c r="A280" s="2" t="s">
        <v>505</v>
      </c>
      <c r="B280" s="2" t="s">
        <v>588</v>
      </c>
      <c r="C280" s="2" t="s">
        <v>146</v>
      </c>
      <c r="D280" s="16">
        <v>90</v>
      </c>
      <c r="E280" s="2" t="s">
        <v>532</v>
      </c>
      <c r="F280" s="2" t="s">
        <v>589</v>
      </c>
      <c r="G280" s="2" t="s">
        <v>590</v>
      </c>
      <c r="H280" s="17">
        <v>533750</v>
      </c>
      <c r="I280" s="2"/>
      <c r="J280" s="2"/>
      <c r="K280" s="17">
        <v>533750</v>
      </c>
      <c r="L280" s="17">
        <v>57187.5</v>
      </c>
      <c r="M280" s="17">
        <v>476562.5</v>
      </c>
      <c r="N280" s="17">
        <v>533750</v>
      </c>
      <c r="O280" s="2"/>
      <c r="P280" s="2"/>
      <c r="Q280" s="31" t="s">
        <v>139</v>
      </c>
      <c r="R280" s="41">
        <f>+K280</f>
        <v>533750</v>
      </c>
      <c r="S280" s="62"/>
      <c r="T280" s="5"/>
    </row>
    <row r="281" spans="1:20">
      <c r="A281" s="2" t="s">
        <v>1372</v>
      </c>
      <c r="B281" s="2" t="s">
        <v>1404</v>
      </c>
      <c r="C281" s="2" t="s">
        <v>162</v>
      </c>
      <c r="D281" s="16">
        <v>90</v>
      </c>
      <c r="E281" s="2" t="s">
        <v>1376</v>
      </c>
      <c r="F281" s="2" t="s">
        <v>1405</v>
      </c>
      <c r="G281" s="2" t="s">
        <v>1406</v>
      </c>
      <c r="H281" s="17">
        <v>80378</v>
      </c>
      <c r="I281" s="2"/>
      <c r="J281" s="2"/>
      <c r="K281" s="17">
        <v>80378</v>
      </c>
      <c r="L281" s="17">
        <v>8611.93</v>
      </c>
      <c r="M281" s="17">
        <v>71766.070000000007</v>
      </c>
      <c r="N281" s="17">
        <v>80378</v>
      </c>
      <c r="O281" s="2"/>
      <c r="P281" s="2"/>
      <c r="Q281" s="31" t="s">
        <v>139</v>
      </c>
      <c r="R281" s="64">
        <f>+K281+K282</f>
        <v>109178</v>
      </c>
      <c r="S281" s="62"/>
      <c r="T281" s="5"/>
    </row>
    <row r="282" spans="1:20">
      <c r="A282" s="2" t="s">
        <v>1372</v>
      </c>
      <c r="B282" s="2" t="s">
        <v>1407</v>
      </c>
      <c r="C282" s="2" t="s">
        <v>162</v>
      </c>
      <c r="D282" s="16">
        <v>90</v>
      </c>
      <c r="E282" s="2" t="s">
        <v>1376</v>
      </c>
      <c r="F282" s="2" t="s">
        <v>1405</v>
      </c>
      <c r="G282" s="2" t="s">
        <v>1408</v>
      </c>
      <c r="H282" s="17">
        <v>28800</v>
      </c>
      <c r="I282" s="2"/>
      <c r="J282" s="2"/>
      <c r="K282" s="17">
        <v>28800</v>
      </c>
      <c r="L282" s="17">
        <v>3085.71</v>
      </c>
      <c r="M282" s="17">
        <v>25714.29</v>
      </c>
      <c r="N282" s="17">
        <v>28800</v>
      </c>
      <c r="O282" s="2"/>
      <c r="P282" s="2"/>
      <c r="Q282" s="31" t="s">
        <v>139</v>
      </c>
      <c r="R282" s="65"/>
      <c r="S282" s="63"/>
      <c r="T282" s="5"/>
    </row>
    <row r="283" spans="1:20">
      <c r="A283" s="2" t="s">
        <v>282</v>
      </c>
      <c r="B283" s="2" t="s">
        <v>311</v>
      </c>
      <c r="C283" s="2" t="s">
        <v>162</v>
      </c>
      <c r="D283" s="16">
        <v>90</v>
      </c>
      <c r="E283" s="2" t="s">
        <v>290</v>
      </c>
      <c r="F283" s="2" t="s">
        <v>313</v>
      </c>
      <c r="G283" s="2" t="s">
        <v>314</v>
      </c>
      <c r="H283" s="17">
        <v>159998.07999999999</v>
      </c>
      <c r="I283" s="2"/>
      <c r="J283" s="2"/>
      <c r="K283" s="17">
        <v>159998.07999999999</v>
      </c>
      <c r="L283" s="17">
        <v>17142.650000000001</v>
      </c>
      <c r="M283" s="17">
        <v>142855.43</v>
      </c>
      <c r="N283" s="17">
        <v>159998.07999999999</v>
      </c>
      <c r="O283" s="2"/>
      <c r="P283" s="2"/>
      <c r="Q283" s="31" t="s">
        <v>312</v>
      </c>
      <c r="R283" s="61">
        <f>+K283+K284</f>
        <v>272894.07999999996</v>
      </c>
      <c r="S283" s="61">
        <f>+R283</f>
        <v>272894.07999999996</v>
      </c>
      <c r="T283" s="5"/>
    </row>
    <row r="284" spans="1:20">
      <c r="A284" s="2" t="s">
        <v>1467</v>
      </c>
      <c r="B284" s="2" t="s">
        <v>1478</v>
      </c>
      <c r="C284" s="2" t="s">
        <v>162</v>
      </c>
      <c r="D284" s="16">
        <v>90</v>
      </c>
      <c r="E284" s="2" t="s">
        <v>1479</v>
      </c>
      <c r="F284" s="2" t="s">
        <v>313</v>
      </c>
      <c r="G284" s="2" t="s">
        <v>1480</v>
      </c>
      <c r="H284" s="17">
        <v>112896</v>
      </c>
      <c r="I284" s="2"/>
      <c r="J284" s="2"/>
      <c r="K284" s="17">
        <v>112896</v>
      </c>
      <c r="L284" s="17">
        <v>12096</v>
      </c>
      <c r="M284" s="17">
        <v>100800</v>
      </c>
      <c r="N284" s="17">
        <v>112896</v>
      </c>
      <c r="O284" s="2"/>
      <c r="P284" s="2"/>
      <c r="Q284" s="31" t="s">
        <v>312</v>
      </c>
      <c r="R284" s="63"/>
      <c r="S284" s="63"/>
      <c r="T284" s="5"/>
    </row>
    <row r="285" spans="1:20">
      <c r="A285" s="2" t="s">
        <v>282</v>
      </c>
      <c r="B285" s="2" t="s">
        <v>328</v>
      </c>
      <c r="C285" s="2" t="s">
        <v>34</v>
      </c>
      <c r="D285" s="16">
        <v>60</v>
      </c>
      <c r="E285" s="2" t="s">
        <v>286</v>
      </c>
      <c r="F285" s="2" t="s">
        <v>330</v>
      </c>
      <c r="G285" s="2" t="s">
        <v>331</v>
      </c>
      <c r="H285" s="17">
        <v>338400</v>
      </c>
      <c r="I285" s="2"/>
      <c r="J285" s="2"/>
      <c r="K285" s="17">
        <v>338400</v>
      </c>
      <c r="L285" s="17">
        <v>36257.14</v>
      </c>
      <c r="M285" s="17">
        <v>302142.86</v>
      </c>
      <c r="N285" s="17">
        <v>338400</v>
      </c>
      <c r="O285" s="2"/>
      <c r="P285" s="2"/>
      <c r="Q285" s="31" t="s">
        <v>329</v>
      </c>
      <c r="R285" s="61">
        <f>+K285+K286+K287</f>
        <v>1151970</v>
      </c>
      <c r="S285" s="61">
        <f>+R285+R288+R289+R291</f>
        <v>1759550.4</v>
      </c>
      <c r="T285" s="5"/>
    </row>
    <row r="286" spans="1:20">
      <c r="A286" s="2" t="s">
        <v>505</v>
      </c>
      <c r="B286" s="2" t="s">
        <v>540</v>
      </c>
      <c r="C286" s="2" t="s">
        <v>34</v>
      </c>
      <c r="D286" s="16">
        <v>60</v>
      </c>
      <c r="E286" s="2" t="s">
        <v>509</v>
      </c>
      <c r="F286" s="2" t="s">
        <v>330</v>
      </c>
      <c r="G286" s="2" t="s">
        <v>541</v>
      </c>
      <c r="H286" s="17">
        <v>360302</v>
      </c>
      <c r="I286" s="2"/>
      <c r="J286" s="2"/>
      <c r="K286" s="17">
        <v>360302</v>
      </c>
      <c r="L286" s="17">
        <v>38603.79</v>
      </c>
      <c r="M286" s="17">
        <v>321698.21000000002</v>
      </c>
      <c r="N286" s="17">
        <v>360302</v>
      </c>
      <c r="O286" s="2"/>
      <c r="P286" s="2"/>
      <c r="Q286" s="31" t="s">
        <v>329</v>
      </c>
      <c r="R286" s="62"/>
      <c r="S286" s="62"/>
      <c r="T286" s="5"/>
    </row>
    <row r="287" spans="1:20">
      <c r="A287" s="2" t="s">
        <v>1117</v>
      </c>
      <c r="B287" s="2" t="s">
        <v>1197</v>
      </c>
      <c r="C287" s="2" t="s">
        <v>34</v>
      </c>
      <c r="D287" s="16">
        <v>60</v>
      </c>
      <c r="E287" s="2" t="s">
        <v>1139</v>
      </c>
      <c r="F287" s="2" t="s">
        <v>330</v>
      </c>
      <c r="G287" s="2" t="s">
        <v>1198</v>
      </c>
      <c r="H287" s="17">
        <v>453268</v>
      </c>
      <c r="I287" s="2"/>
      <c r="J287" s="2"/>
      <c r="K287" s="17">
        <v>453268</v>
      </c>
      <c r="L287" s="17">
        <v>48564.43</v>
      </c>
      <c r="M287" s="17">
        <v>404703.57</v>
      </c>
      <c r="N287" s="17">
        <v>453268</v>
      </c>
      <c r="O287" s="2"/>
      <c r="P287" s="2"/>
      <c r="Q287" s="31" t="s">
        <v>329</v>
      </c>
      <c r="R287" s="63"/>
      <c r="S287" s="62"/>
      <c r="T287" s="5"/>
    </row>
    <row r="288" spans="1:20">
      <c r="A288" s="2" t="s">
        <v>769</v>
      </c>
      <c r="B288" s="2" t="s">
        <v>808</v>
      </c>
      <c r="C288" s="2" t="s">
        <v>18</v>
      </c>
      <c r="D288" s="16">
        <v>0</v>
      </c>
      <c r="E288" s="2" t="s">
        <v>769</v>
      </c>
      <c r="F288" s="2" t="s">
        <v>809</v>
      </c>
      <c r="G288" s="2" t="s">
        <v>810</v>
      </c>
      <c r="H288" s="17">
        <v>65238</v>
      </c>
      <c r="I288" s="19">
        <v>-1304.76</v>
      </c>
      <c r="J288" s="2"/>
      <c r="K288" s="17">
        <v>63933.24</v>
      </c>
      <c r="L288" s="17">
        <v>6849.99</v>
      </c>
      <c r="M288" s="17">
        <v>57083.25</v>
      </c>
      <c r="N288" s="17">
        <v>63933.24</v>
      </c>
      <c r="O288" s="2"/>
      <c r="P288" s="2"/>
      <c r="Q288" s="31" t="s">
        <v>329</v>
      </c>
      <c r="R288" s="32">
        <f>+K288</f>
        <v>63933.24</v>
      </c>
      <c r="S288" s="62"/>
      <c r="T288" s="5"/>
    </row>
    <row r="289" spans="1:20">
      <c r="A289" s="2" t="s">
        <v>596</v>
      </c>
      <c r="B289" s="2" t="s">
        <v>607</v>
      </c>
      <c r="C289" s="2" t="s">
        <v>60</v>
      </c>
      <c r="D289" s="16">
        <v>0</v>
      </c>
      <c r="E289" s="2" t="s">
        <v>596</v>
      </c>
      <c r="F289" s="2" t="s">
        <v>608</v>
      </c>
      <c r="G289" s="2" t="s">
        <v>609</v>
      </c>
      <c r="H289" s="17">
        <v>142360</v>
      </c>
      <c r="I289" s="19">
        <v>-2847.2</v>
      </c>
      <c r="J289" s="2"/>
      <c r="K289" s="17">
        <v>139512.79999999999</v>
      </c>
      <c r="L289" s="17">
        <v>14947.8</v>
      </c>
      <c r="M289" s="17">
        <v>124565</v>
      </c>
      <c r="N289" s="17">
        <v>139512.79999999999</v>
      </c>
      <c r="O289" s="2"/>
      <c r="P289" s="2"/>
      <c r="Q289" s="31" t="s">
        <v>329</v>
      </c>
      <c r="R289" s="61">
        <f>+K289+K290</f>
        <v>170780.68</v>
      </c>
      <c r="S289" s="62"/>
      <c r="T289" s="5"/>
    </row>
    <row r="290" spans="1:20">
      <c r="A290" s="2" t="s">
        <v>596</v>
      </c>
      <c r="B290" s="2" t="s">
        <v>610</v>
      </c>
      <c r="C290" s="2" t="s">
        <v>60</v>
      </c>
      <c r="D290" s="16">
        <v>0</v>
      </c>
      <c r="E290" s="2" t="s">
        <v>596</v>
      </c>
      <c r="F290" s="2" t="s">
        <v>608</v>
      </c>
      <c r="G290" s="2" t="s">
        <v>611</v>
      </c>
      <c r="H290" s="17">
        <v>31906</v>
      </c>
      <c r="I290" s="19">
        <v>-638.12</v>
      </c>
      <c r="J290" s="2"/>
      <c r="K290" s="17">
        <v>31267.88</v>
      </c>
      <c r="L290" s="17">
        <v>3350.13</v>
      </c>
      <c r="M290" s="17">
        <v>27917.75</v>
      </c>
      <c r="N290" s="17">
        <v>31267.88</v>
      </c>
      <c r="O290" s="2"/>
      <c r="P290" s="2"/>
      <c r="Q290" s="31" t="s">
        <v>329</v>
      </c>
      <c r="R290" s="63"/>
      <c r="S290" s="62"/>
      <c r="T290" s="5"/>
    </row>
    <row r="291" spans="1:20">
      <c r="A291" s="2" t="s">
        <v>505</v>
      </c>
      <c r="B291" s="2" t="s">
        <v>528</v>
      </c>
      <c r="C291" s="2" t="s">
        <v>23</v>
      </c>
      <c r="D291" s="16">
        <v>30</v>
      </c>
      <c r="E291" s="2" t="s">
        <v>518</v>
      </c>
      <c r="F291" s="2" t="s">
        <v>529</v>
      </c>
      <c r="G291" s="2" t="s">
        <v>530</v>
      </c>
      <c r="H291" s="17">
        <v>239276</v>
      </c>
      <c r="I291" s="19">
        <v>-4785.5200000000004</v>
      </c>
      <c r="J291" s="2"/>
      <c r="K291" s="17">
        <v>234490.48</v>
      </c>
      <c r="L291" s="17">
        <v>25123.98</v>
      </c>
      <c r="M291" s="17">
        <v>209366.5</v>
      </c>
      <c r="N291" s="17">
        <v>234490.48</v>
      </c>
      <c r="O291" s="2"/>
      <c r="P291" s="2"/>
      <c r="Q291" s="31" t="s">
        <v>329</v>
      </c>
      <c r="R291" s="61">
        <f>+K291+K292</f>
        <v>372866.48</v>
      </c>
      <c r="S291" s="62"/>
      <c r="T291" s="5"/>
    </row>
    <row r="292" spans="1:20">
      <c r="A292" s="2" t="s">
        <v>1117</v>
      </c>
      <c r="B292" s="2" t="s">
        <v>1193</v>
      </c>
      <c r="C292" s="2" t="s">
        <v>23</v>
      </c>
      <c r="D292" s="16">
        <v>30</v>
      </c>
      <c r="E292" s="2" t="s">
        <v>1118</v>
      </c>
      <c r="F292" s="2" t="s">
        <v>529</v>
      </c>
      <c r="G292" s="2" t="s">
        <v>1194</v>
      </c>
      <c r="H292" s="17">
        <v>141200</v>
      </c>
      <c r="I292" s="19">
        <v>-2824</v>
      </c>
      <c r="J292" s="2"/>
      <c r="K292" s="17">
        <v>138376</v>
      </c>
      <c r="L292" s="17">
        <v>14826</v>
      </c>
      <c r="M292" s="17">
        <v>123550</v>
      </c>
      <c r="N292" s="17">
        <v>138376</v>
      </c>
      <c r="O292" s="2"/>
      <c r="P292" s="2"/>
      <c r="Q292" s="31" t="s">
        <v>329</v>
      </c>
      <c r="R292" s="63"/>
      <c r="S292" s="63"/>
      <c r="T292" s="5"/>
    </row>
    <row r="293" spans="1:20">
      <c r="A293" s="2" t="s">
        <v>282</v>
      </c>
      <c r="B293" s="2" t="s">
        <v>292</v>
      </c>
      <c r="C293" s="2" t="s">
        <v>60</v>
      </c>
      <c r="D293" s="16">
        <v>0</v>
      </c>
      <c r="E293" s="2" t="s">
        <v>282</v>
      </c>
      <c r="F293" s="2" t="s">
        <v>293</v>
      </c>
      <c r="G293" s="2" t="s">
        <v>294</v>
      </c>
      <c r="H293" s="17">
        <v>58930</v>
      </c>
      <c r="I293" s="2"/>
      <c r="J293" s="2"/>
      <c r="K293" s="17">
        <v>58930</v>
      </c>
      <c r="L293" s="17">
        <v>6313.93</v>
      </c>
      <c r="M293" s="17">
        <v>52616.07</v>
      </c>
      <c r="N293" s="17">
        <v>58930</v>
      </c>
      <c r="O293" s="2"/>
      <c r="P293" s="2"/>
      <c r="Q293" s="31" t="s">
        <v>56</v>
      </c>
      <c r="R293" s="67">
        <f>+K293+K294+K295</f>
        <v>156160</v>
      </c>
      <c r="S293" s="61">
        <f>+R293+R296+R298+R299+R300+R304+R319+R322+R329+R330+R331+R333+R336+R337+R340+R342+R343+R344+R345+R351+R354+R355+R356+R360+R361+R363+R367+R375+R398+R399+R403+R404+R405+R412+R416+R418+R419+R424+R426+R428+R436</f>
        <v>35796816.950000003</v>
      </c>
      <c r="T293" s="5"/>
    </row>
    <row r="294" spans="1:20">
      <c r="A294" s="2" t="s">
        <v>689</v>
      </c>
      <c r="B294" s="2" t="s">
        <v>688</v>
      </c>
      <c r="C294" s="2" t="s">
        <v>60</v>
      </c>
      <c r="D294" s="16">
        <v>0</v>
      </c>
      <c r="E294" s="2" t="s">
        <v>689</v>
      </c>
      <c r="F294" s="2" t="s">
        <v>293</v>
      </c>
      <c r="G294" s="2" t="s">
        <v>690</v>
      </c>
      <c r="H294" s="17">
        <v>34500</v>
      </c>
      <c r="I294" s="2"/>
      <c r="J294" s="2"/>
      <c r="K294" s="17">
        <v>34500</v>
      </c>
      <c r="L294" s="17">
        <v>3696.43</v>
      </c>
      <c r="M294" s="17">
        <v>30803.57</v>
      </c>
      <c r="N294" s="17">
        <v>34500</v>
      </c>
      <c r="O294" s="2"/>
      <c r="P294" s="2"/>
      <c r="Q294" s="31" t="s">
        <v>56</v>
      </c>
      <c r="R294" s="68"/>
      <c r="S294" s="62"/>
      <c r="T294" s="5"/>
    </row>
    <row r="295" spans="1:20">
      <c r="A295" s="2" t="s">
        <v>1287</v>
      </c>
      <c r="B295" s="2" t="s">
        <v>1310</v>
      </c>
      <c r="C295" s="2" t="s">
        <v>60</v>
      </c>
      <c r="D295" s="16">
        <v>0</v>
      </c>
      <c r="E295" s="2" t="s">
        <v>1287</v>
      </c>
      <c r="F295" s="2" t="s">
        <v>293</v>
      </c>
      <c r="G295" s="2" t="s">
        <v>1311</v>
      </c>
      <c r="H295" s="17">
        <v>62730</v>
      </c>
      <c r="I295" s="2"/>
      <c r="J295" s="2"/>
      <c r="K295" s="17">
        <v>62730</v>
      </c>
      <c r="L295" s="17">
        <v>6721.07</v>
      </c>
      <c r="M295" s="17">
        <v>56008.93</v>
      </c>
      <c r="N295" s="17">
        <v>62730</v>
      </c>
      <c r="O295" s="2"/>
      <c r="P295" s="2"/>
      <c r="Q295" s="31" t="s">
        <v>56</v>
      </c>
      <c r="R295" s="69"/>
      <c r="S295" s="62"/>
      <c r="T295" s="5"/>
    </row>
    <row r="296" spans="1:20">
      <c r="A296" s="2" t="s">
        <v>505</v>
      </c>
      <c r="B296" s="2" t="s">
        <v>545</v>
      </c>
      <c r="C296" s="2" t="s">
        <v>60</v>
      </c>
      <c r="D296" s="16">
        <v>0</v>
      </c>
      <c r="E296" s="2" t="s">
        <v>505</v>
      </c>
      <c r="F296" s="2" t="s">
        <v>546</v>
      </c>
      <c r="G296" s="2" t="s">
        <v>547</v>
      </c>
      <c r="H296" s="17">
        <v>83454.48</v>
      </c>
      <c r="I296" s="2"/>
      <c r="J296" s="2"/>
      <c r="K296" s="17">
        <v>83454.48</v>
      </c>
      <c r="L296" s="17">
        <v>8941.5499999999993</v>
      </c>
      <c r="M296" s="17">
        <v>74512.929999999993</v>
      </c>
      <c r="N296" s="17">
        <v>83454.48</v>
      </c>
      <c r="O296" s="2"/>
      <c r="P296" s="2"/>
      <c r="Q296" s="31" t="s">
        <v>56</v>
      </c>
      <c r="R296" s="61">
        <f>+K296+K297</f>
        <v>129818.07999999999</v>
      </c>
      <c r="S296" s="62"/>
      <c r="T296" s="5"/>
    </row>
    <row r="297" spans="1:20">
      <c r="A297" s="2" t="s">
        <v>689</v>
      </c>
      <c r="B297" s="2" t="s">
        <v>738</v>
      </c>
      <c r="C297" s="2" t="s">
        <v>60</v>
      </c>
      <c r="D297" s="16">
        <v>0</v>
      </c>
      <c r="E297" s="2" t="s">
        <v>689</v>
      </c>
      <c r="F297" s="2" t="s">
        <v>546</v>
      </c>
      <c r="G297" s="2" t="s">
        <v>739</v>
      </c>
      <c r="H297" s="17">
        <v>46363.6</v>
      </c>
      <c r="I297" s="2"/>
      <c r="J297" s="2"/>
      <c r="K297" s="17">
        <v>46363.6</v>
      </c>
      <c r="L297" s="17">
        <v>4967.53</v>
      </c>
      <c r="M297" s="17">
        <v>41396.07</v>
      </c>
      <c r="N297" s="17">
        <v>46363.6</v>
      </c>
      <c r="O297" s="2"/>
      <c r="P297" s="2"/>
      <c r="Q297" s="31" t="s">
        <v>56</v>
      </c>
      <c r="R297" s="63"/>
      <c r="S297" s="62"/>
      <c r="T297" s="5"/>
    </row>
    <row r="298" spans="1:20">
      <c r="A298" s="2" t="s">
        <v>17</v>
      </c>
      <c r="B298" s="2" t="s">
        <v>63</v>
      </c>
      <c r="C298" s="2" t="s">
        <v>64</v>
      </c>
      <c r="D298" s="16">
        <v>30</v>
      </c>
      <c r="E298" s="2" t="s">
        <v>24</v>
      </c>
      <c r="F298" s="2" t="s">
        <v>65</v>
      </c>
      <c r="G298" s="2" t="s">
        <v>66</v>
      </c>
      <c r="H298" s="17">
        <v>603830</v>
      </c>
      <c r="I298" s="2"/>
      <c r="J298" s="2"/>
      <c r="K298" s="17">
        <v>603830</v>
      </c>
      <c r="L298" s="17">
        <v>64696.07</v>
      </c>
      <c r="M298" s="17">
        <v>539133.93000000005</v>
      </c>
      <c r="N298" s="17">
        <v>603830</v>
      </c>
      <c r="O298" s="2"/>
      <c r="P298" s="2"/>
      <c r="Q298" s="31" t="s">
        <v>56</v>
      </c>
      <c r="R298" s="32">
        <f>+K298</f>
        <v>603830</v>
      </c>
      <c r="S298" s="62"/>
      <c r="T298" s="5"/>
    </row>
    <row r="299" spans="1:20">
      <c r="A299" s="2" t="s">
        <v>769</v>
      </c>
      <c r="B299" s="2" t="s">
        <v>845</v>
      </c>
      <c r="C299" s="2" t="s">
        <v>73</v>
      </c>
      <c r="D299" s="16">
        <v>30</v>
      </c>
      <c r="E299" s="2" t="s">
        <v>805</v>
      </c>
      <c r="F299" s="2" t="s">
        <v>846</v>
      </c>
      <c r="G299" s="2" t="s">
        <v>847</v>
      </c>
      <c r="H299" s="17">
        <v>360296</v>
      </c>
      <c r="I299" s="2"/>
      <c r="J299" s="2"/>
      <c r="K299" s="17">
        <v>360296</v>
      </c>
      <c r="L299" s="17">
        <v>38603.14</v>
      </c>
      <c r="M299" s="17">
        <v>321692.86</v>
      </c>
      <c r="N299" s="17">
        <v>360296</v>
      </c>
      <c r="O299" s="2"/>
      <c r="P299" s="2"/>
      <c r="Q299" s="31" t="s">
        <v>56</v>
      </c>
      <c r="R299" s="43">
        <f>+K299</f>
        <v>360296</v>
      </c>
      <c r="S299" s="62"/>
      <c r="T299" s="5"/>
    </row>
    <row r="300" spans="1:20">
      <c r="A300" s="2" t="s">
        <v>1048</v>
      </c>
      <c r="B300" s="2" t="s">
        <v>1108</v>
      </c>
      <c r="C300" s="2" t="s">
        <v>73</v>
      </c>
      <c r="D300" s="16">
        <v>30</v>
      </c>
      <c r="E300" s="2" t="s">
        <v>1056</v>
      </c>
      <c r="F300" s="2" t="s">
        <v>1109</v>
      </c>
      <c r="G300" s="2" t="s">
        <v>1110</v>
      </c>
      <c r="H300" s="17">
        <v>812880</v>
      </c>
      <c r="I300" s="2"/>
      <c r="J300" s="2"/>
      <c r="K300" s="17">
        <v>812880</v>
      </c>
      <c r="L300" s="17">
        <v>87094.29</v>
      </c>
      <c r="M300" s="17">
        <v>725785.71</v>
      </c>
      <c r="N300" s="17">
        <v>812880</v>
      </c>
      <c r="O300" s="2"/>
      <c r="P300" s="2"/>
      <c r="Q300" s="31" t="s">
        <v>56</v>
      </c>
      <c r="R300" s="61">
        <f>+K300+K301+K302+K303</f>
        <v>3742560</v>
      </c>
      <c r="S300" s="62"/>
      <c r="T300" s="5"/>
    </row>
    <row r="301" spans="1:20">
      <c r="A301" s="2" t="s">
        <v>1048</v>
      </c>
      <c r="B301" s="2" t="s">
        <v>1111</v>
      </c>
      <c r="C301" s="2" t="s">
        <v>73</v>
      </c>
      <c r="D301" s="16">
        <v>30</v>
      </c>
      <c r="E301" s="2" t="s">
        <v>1056</v>
      </c>
      <c r="F301" s="2" t="s">
        <v>1109</v>
      </c>
      <c r="G301" s="2" t="s">
        <v>1112</v>
      </c>
      <c r="H301" s="17">
        <v>1129000</v>
      </c>
      <c r="I301" s="2"/>
      <c r="J301" s="2"/>
      <c r="K301" s="17">
        <v>1129000</v>
      </c>
      <c r="L301" s="17">
        <v>120964.29</v>
      </c>
      <c r="M301" s="17">
        <v>1008035.71</v>
      </c>
      <c r="N301" s="17">
        <v>1129000</v>
      </c>
      <c r="O301" s="2"/>
      <c r="P301" s="2"/>
      <c r="Q301" s="31" t="s">
        <v>56</v>
      </c>
      <c r="R301" s="62"/>
      <c r="S301" s="62"/>
      <c r="T301" s="5"/>
    </row>
    <row r="302" spans="1:20">
      <c r="A302" s="2" t="s">
        <v>1117</v>
      </c>
      <c r="B302" s="2" t="s">
        <v>1169</v>
      </c>
      <c r="C302" s="2" t="s">
        <v>73</v>
      </c>
      <c r="D302" s="16">
        <v>30</v>
      </c>
      <c r="E302" s="2" t="s">
        <v>1118</v>
      </c>
      <c r="F302" s="2" t="s">
        <v>1109</v>
      </c>
      <c r="G302" s="2" t="s">
        <v>1170</v>
      </c>
      <c r="H302" s="17">
        <v>1048060</v>
      </c>
      <c r="I302" s="2"/>
      <c r="J302" s="2"/>
      <c r="K302" s="17">
        <v>1048060</v>
      </c>
      <c r="L302" s="17">
        <v>112292.14</v>
      </c>
      <c r="M302" s="17">
        <v>935767.86</v>
      </c>
      <c r="N302" s="17">
        <v>1048060</v>
      </c>
      <c r="O302" s="2"/>
      <c r="P302" s="2"/>
      <c r="Q302" s="31" t="s">
        <v>56</v>
      </c>
      <c r="R302" s="62"/>
      <c r="S302" s="62"/>
      <c r="T302" s="5"/>
    </row>
    <row r="303" spans="1:20">
      <c r="A303" s="2" t="s">
        <v>1117</v>
      </c>
      <c r="B303" s="2" t="s">
        <v>1171</v>
      </c>
      <c r="C303" s="2" t="s">
        <v>73</v>
      </c>
      <c r="D303" s="16">
        <v>30</v>
      </c>
      <c r="E303" s="2" t="s">
        <v>1118</v>
      </c>
      <c r="F303" s="2" t="s">
        <v>1109</v>
      </c>
      <c r="G303" s="2" t="s">
        <v>1172</v>
      </c>
      <c r="H303" s="17">
        <v>752620</v>
      </c>
      <c r="I303" s="2"/>
      <c r="J303" s="2"/>
      <c r="K303" s="17">
        <v>752620</v>
      </c>
      <c r="L303" s="17">
        <v>80637.86</v>
      </c>
      <c r="M303" s="17">
        <v>671982.14</v>
      </c>
      <c r="N303" s="17">
        <v>752620</v>
      </c>
      <c r="O303" s="2"/>
      <c r="P303" s="2"/>
      <c r="Q303" s="31" t="s">
        <v>56</v>
      </c>
      <c r="R303" s="63"/>
      <c r="S303" s="62"/>
      <c r="T303" s="5"/>
    </row>
    <row r="304" spans="1:20">
      <c r="A304" s="2" t="s">
        <v>93</v>
      </c>
      <c r="B304" s="2" t="s">
        <v>195</v>
      </c>
      <c r="C304" s="2" t="s">
        <v>60</v>
      </c>
      <c r="D304" s="16">
        <v>0</v>
      </c>
      <c r="E304" s="2" t="s">
        <v>93</v>
      </c>
      <c r="F304" s="2" t="s">
        <v>196</v>
      </c>
      <c r="G304" s="2" t="s">
        <v>197</v>
      </c>
      <c r="H304" s="17">
        <v>192020</v>
      </c>
      <c r="I304" s="2"/>
      <c r="J304" s="2"/>
      <c r="K304" s="17">
        <v>192020</v>
      </c>
      <c r="L304" s="17">
        <v>20573.57</v>
      </c>
      <c r="M304" s="17">
        <v>171446.43</v>
      </c>
      <c r="N304" s="17">
        <v>192020</v>
      </c>
      <c r="O304" s="2"/>
      <c r="P304" s="2"/>
      <c r="Q304" s="31" t="s">
        <v>56</v>
      </c>
      <c r="R304" s="61">
        <f>+K304+K305+K306+K307+K308+K309+K310+K311+K312+K313+K314+K315+K316+K317+K318</f>
        <v>3220160</v>
      </c>
      <c r="S304" s="62"/>
      <c r="T304" s="5"/>
    </row>
    <row r="305" spans="1:20">
      <c r="A305" s="2" t="s">
        <v>448</v>
      </c>
      <c r="B305" s="2" t="s">
        <v>498</v>
      </c>
      <c r="C305" s="2" t="s">
        <v>60</v>
      </c>
      <c r="D305" s="16">
        <v>0</v>
      </c>
      <c r="E305" s="2" t="s">
        <v>448</v>
      </c>
      <c r="F305" s="2" t="s">
        <v>196</v>
      </c>
      <c r="G305" s="2" t="s">
        <v>499</v>
      </c>
      <c r="H305" s="17">
        <v>17000</v>
      </c>
      <c r="I305" s="2"/>
      <c r="J305" s="2"/>
      <c r="K305" s="17">
        <v>17000</v>
      </c>
      <c r="L305" s="17">
        <v>1821.43</v>
      </c>
      <c r="M305" s="17">
        <v>15178.57</v>
      </c>
      <c r="N305" s="17">
        <v>17000</v>
      </c>
      <c r="O305" s="2"/>
      <c r="P305" s="2"/>
      <c r="Q305" s="31" t="s">
        <v>56</v>
      </c>
      <c r="R305" s="62"/>
      <c r="S305" s="62"/>
      <c r="T305" s="5"/>
    </row>
    <row r="306" spans="1:20">
      <c r="A306" s="2" t="s">
        <v>448</v>
      </c>
      <c r="B306" s="2" t="s">
        <v>500</v>
      </c>
      <c r="C306" s="2" t="s">
        <v>60</v>
      </c>
      <c r="D306" s="16">
        <v>0</v>
      </c>
      <c r="E306" s="2" t="s">
        <v>448</v>
      </c>
      <c r="F306" s="2" t="s">
        <v>196</v>
      </c>
      <c r="G306" s="2" t="s">
        <v>501</v>
      </c>
      <c r="H306" s="17">
        <v>104316</v>
      </c>
      <c r="I306" s="2"/>
      <c r="J306" s="2"/>
      <c r="K306" s="17">
        <v>104316</v>
      </c>
      <c r="L306" s="17">
        <v>11176.71</v>
      </c>
      <c r="M306" s="17">
        <v>93139.29</v>
      </c>
      <c r="N306" s="17">
        <v>104316</v>
      </c>
      <c r="O306" s="2"/>
      <c r="P306" s="2"/>
      <c r="Q306" s="31" t="s">
        <v>56</v>
      </c>
      <c r="R306" s="62"/>
      <c r="S306" s="62"/>
      <c r="T306" s="5"/>
    </row>
    <row r="307" spans="1:20">
      <c r="A307" s="2" t="s">
        <v>689</v>
      </c>
      <c r="B307" s="2" t="s">
        <v>699</v>
      </c>
      <c r="C307" s="2" t="s">
        <v>60</v>
      </c>
      <c r="D307" s="16">
        <v>0</v>
      </c>
      <c r="E307" s="2" t="s">
        <v>689</v>
      </c>
      <c r="F307" s="2" t="s">
        <v>196</v>
      </c>
      <c r="G307" s="2" t="s">
        <v>700</v>
      </c>
      <c r="H307" s="17">
        <v>321457</v>
      </c>
      <c r="I307" s="2"/>
      <c r="J307" s="2"/>
      <c r="K307" s="17">
        <v>321457</v>
      </c>
      <c r="L307" s="17">
        <v>34441.82</v>
      </c>
      <c r="M307" s="17">
        <v>287015.18</v>
      </c>
      <c r="N307" s="17">
        <v>321457</v>
      </c>
      <c r="O307" s="2"/>
      <c r="P307" s="2"/>
      <c r="Q307" s="31" t="s">
        <v>56</v>
      </c>
      <c r="R307" s="62"/>
      <c r="S307" s="62"/>
      <c r="T307" s="5"/>
    </row>
    <row r="308" spans="1:20">
      <c r="A308" s="2" t="s">
        <v>689</v>
      </c>
      <c r="B308" s="2" t="s">
        <v>701</v>
      </c>
      <c r="C308" s="2" t="s">
        <v>60</v>
      </c>
      <c r="D308" s="16">
        <v>0</v>
      </c>
      <c r="E308" s="2" t="s">
        <v>689</v>
      </c>
      <c r="F308" s="2" t="s">
        <v>196</v>
      </c>
      <c r="G308" s="2" t="s">
        <v>702</v>
      </c>
      <c r="H308" s="17">
        <v>168063</v>
      </c>
      <c r="I308" s="2"/>
      <c r="J308" s="2"/>
      <c r="K308" s="17">
        <v>168063</v>
      </c>
      <c r="L308" s="17">
        <v>18006.75</v>
      </c>
      <c r="M308" s="17">
        <v>150056.25</v>
      </c>
      <c r="N308" s="17">
        <v>168063</v>
      </c>
      <c r="O308" s="2"/>
      <c r="P308" s="2"/>
      <c r="Q308" s="31" t="s">
        <v>56</v>
      </c>
      <c r="R308" s="62"/>
      <c r="S308" s="62"/>
      <c r="T308" s="5"/>
    </row>
    <row r="309" spans="1:20">
      <c r="A309" s="2" t="s">
        <v>689</v>
      </c>
      <c r="B309" s="2" t="s">
        <v>718</v>
      </c>
      <c r="C309" s="2" t="s">
        <v>60</v>
      </c>
      <c r="D309" s="16">
        <v>0</v>
      </c>
      <c r="E309" s="2" t="s">
        <v>689</v>
      </c>
      <c r="F309" s="2" t="s">
        <v>196</v>
      </c>
      <c r="G309" s="2" t="s">
        <v>719</v>
      </c>
      <c r="H309" s="17">
        <v>86505</v>
      </c>
      <c r="I309" s="2"/>
      <c r="J309" s="2"/>
      <c r="K309" s="17">
        <v>86505</v>
      </c>
      <c r="L309" s="17">
        <v>9268.39</v>
      </c>
      <c r="M309" s="17">
        <v>77236.61</v>
      </c>
      <c r="N309" s="17">
        <v>86505</v>
      </c>
      <c r="O309" s="2"/>
      <c r="P309" s="2"/>
      <c r="Q309" s="31" t="s">
        <v>56</v>
      </c>
      <c r="R309" s="62"/>
      <c r="S309" s="62"/>
      <c r="T309" s="5"/>
    </row>
    <row r="310" spans="1:20">
      <c r="A310" s="2" t="s">
        <v>866</v>
      </c>
      <c r="B310" s="2" t="s">
        <v>882</v>
      </c>
      <c r="C310" s="2" t="s">
        <v>60</v>
      </c>
      <c r="D310" s="16">
        <v>0</v>
      </c>
      <c r="E310" s="2" t="s">
        <v>866</v>
      </c>
      <c r="F310" s="2" t="s">
        <v>196</v>
      </c>
      <c r="G310" s="2" t="s">
        <v>883</v>
      </c>
      <c r="H310" s="17">
        <v>4000</v>
      </c>
      <c r="I310" s="2"/>
      <c r="J310" s="2"/>
      <c r="K310" s="17">
        <v>4000</v>
      </c>
      <c r="L310" s="18">
        <v>428.57</v>
      </c>
      <c r="M310" s="17">
        <v>3571.43</v>
      </c>
      <c r="N310" s="17">
        <v>4000</v>
      </c>
      <c r="O310" s="2"/>
      <c r="P310" s="2"/>
      <c r="Q310" s="31" t="s">
        <v>56</v>
      </c>
      <c r="R310" s="62"/>
      <c r="S310" s="62"/>
      <c r="T310" s="5"/>
    </row>
    <row r="311" spans="1:20">
      <c r="A311" s="2" t="s">
        <v>866</v>
      </c>
      <c r="B311" s="2" t="s">
        <v>895</v>
      </c>
      <c r="C311" s="2" t="s">
        <v>60</v>
      </c>
      <c r="D311" s="16">
        <v>0</v>
      </c>
      <c r="E311" s="2" t="s">
        <v>866</v>
      </c>
      <c r="F311" s="2" t="s">
        <v>196</v>
      </c>
      <c r="G311" s="2" t="s">
        <v>896</v>
      </c>
      <c r="H311" s="17">
        <v>313966</v>
      </c>
      <c r="I311" s="2"/>
      <c r="J311" s="2"/>
      <c r="K311" s="17">
        <v>313966</v>
      </c>
      <c r="L311" s="17">
        <v>33639.21</v>
      </c>
      <c r="M311" s="17">
        <v>280326.78999999998</v>
      </c>
      <c r="N311" s="17">
        <v>313966</v>
      </c>
      <c r="O311" s="2"/>
      <c r="P311" s="2"/>
      <c r="Q311" s="31" t="s">
        <v>56</v>
      </c>
      <c r="R311" s="62"/>
      <c r="S311" s="62"/>
      <c r="T311" s="5"/>
    </row>
    <row r="312" spans="1:20">
      <c r="A312" s="2" t="s">
        <v>866</v>
      </c>
      <c r="B312" s="2" t="s">
        <v>897</v>
      </c>
      <c r="C312" s="2" t="s">
        <v>60</v>
      </c>
      <c r="D312" s="16">
        <v>0</v>
      </c>
      <c r="E312" s="2" t="s">
        <v>866</v>
      </c>
      <c r="F312" s="2" t="s">
        <v>196</v>
      </c>
      <c r="G312" s="2" t="s">
        <v>898</v>
      </c>
      <c r="H312" s="17">
        <v>81908</v>
      </c>
      <c r="I312" s="2"/>
      <c r="J312" s="2"/>
      <c r="K312" s="17">
        <v>81908</v>
      </c>
      <c r="L312" s="17">
        <v>8775.86</v>
      </c>
      <c r="M312" s="17">
        <v>73132.14</v>
      </c>
      <c r="N312" s="17">
        <v>81908</v>
      </c>
      <c r="O312" s="2"/>
      <c r="P312" s="2"/>
      <c r="Q312" s="31" t="s">
        <v>56</v>
      </c>
      <c r="R312" s="62"/>
      <c r="S312" s="62"/>
      <c r="T312" s="5"/>
    </row>
    <row r="313" spans="1:20">
      <c r="A313" s="2" t="s">
        <v>1217</v>
      </c>
      <c r="B313" s="2" t="s">
        <v>1250</v>
      </c>
      <c r="C313" s="2" t="s">
        <v>60</v>
      </c>
      <c r="D313" s="16">
        <v>0</v>
      </c>
      <c r="E313" s="2" t="s">
        <v>1217</v>
      </c>
      <c r="F313" s="2" t="s">
        <v>196</v>
      </c>
      <c r="G313" s="2" t="s">
        <v>1251</v>
      </c>
      <c r="H313" s="17">
        <v>740550</v>
      </c>
      <c r="I313" s="2"/>
      <c r="J313" s="2"/>
      <c r="K313" s="17">
        <v>740550</v>
      </c>
      <c r="L313" s="17">
        <v>79344.639999999999</v>
      </c>
      <c r="M313" s="17">
        <v>661205.36</v>
      </c>
      <c r="N313" s="17">
        <v>740550</v>
      </c>
      <c r="O313" s="2"/>
      <c r="P313" s="2"/>
      <c r="Q313" s="31" t="s">
        <v>56</v>
      </c>
      <c r="R313" s="62"/>
      <c r="S313" s="62"/>
      <c r="T313" s="5"/>
    </row>
    <row r="314" spans="1:20">
      <c r="A314" s="2" t="s">
        <v>1287</v>
      </c>
      <c r="B314" s="2" t="s">
        <v>1353</v>
      </c>
      <c r="C314" s="2" t="s">
        <v>60</v>
      </c>
      <c r="D314" s="16">
        <v>0</v>
      </c>
      <c r="E314" s="2" t="s">
        <v>1287</v>
      </c>
      <c r="F314" s="2" t="s">
        <v>196</v>
      </c>
      <c r="G314" s="2" t="s">
        <v>1354</v>
      </c>
      <c r="H314" s="17">
        <v>434653</v>
      </c>
      <c r="I314" s="2"/>
      <c r="J314" s="2"/>
      <c r="K314" s="17">
        <v>434653</v>
      </c>
      <c r="L314" s="17">
        <v>46569.96</v>
      </c>
      <c r="M314" s="17">
        <v>388083.04</v>
      </c>
      <c r="N314" s="17">
        <v>434653</v>
      </c>
      <c r="O314" s="2"/>
      <c r="P314" s="2"/>
      <c r="Q314" s="31" t="s">
        <v>56</v>
      </c>
      <c r="R314" s="62"/>
      <c r="S314" s="62"/>
      <c r="T314" s="5"/>
    </row>
    <row r="315" spans="1:20">
      <c r="A315" s="2" t="s">
        <v>1287</v>
      </c>
      <c r="B315" s="2" t="s">
        <v>1355</v>
      </c>
      <c r="C315" s="2" t="s">
        <v>60</v>
      </c>
      <c r="D315" s="16">
        <v>0</v>
      </c>
      <c r="E315" s="2" t="s">
        <v>1287</v>
      </c>
      <c r="F315" s="2" t="s">
        <v>196</v>
      </c>
      <c r="G315" s="2" t="s">
        <v>1356</v>
      </c>
      <c r="H315" s="17">
        <v>183132</v>
      </c>
      <c r="I315" s="2"/>
      <c r="J315" s="2"/>
      <c r="K315" s="17">
        <v>183132</v>
      </c>
      <c r="L315" s="17">
        <v>19621.29</v>
      </c>
      <c r="M315" s="17">
        <v>163510.71</v>
      </c>
      <c r="N315" s="17">
        <v>183132</v>
      </c>
      <c r="O315" s="2"/>
      <c r="P315" s="2"/>
      <c r="Q315" s="31" t="s">
        <v>56</v>
      </c>
      <c r="R315" s="62"/>
      <c r="S315" s="62"/>
      <c r="T315" s="5"/>
    </row>
    <row r="316" spans="1:20">
      <c r="A316" s="2" t="s">
        <v>1372</v>
      </c>
      <c r="B316" s="2" t="s">
        <v>1398</v>
      </c>
      <c r="C316" s="2" t="s">
        <v>60</v>
      </c>
      <c r="D316" s="16">
        <v>0</v>
      </c>
      <c r="E316" s="2" t="s">
        <v>1372</v>
      </c>
      <c r="F316" s="2" t="s">
        <v>196</v>
      </c>
      <c r="G316" s="2" t="s">
        <v>1399</v>
      </c>
      <c r="H316" s="17">
        <v>492232</v>
      </c>
      <c r="I316" s="2"/>
      <c r="J316" s="2"/>
      <c r="K316" s="17">
        <v>492232</v>
      </c>
      <c r="L316" s="17">
        <v>52739.14</v>
      </c>
      <c r="M316" s="17">
        <v>439492.86</v>
      </c>
      <c r="N316" s="17">
        <v>492232</v>
      </c>
      <c r="O316" s="2"/>
      <c r="P316" s="2"/>
      <c r="Q316" s="31" t="s">
        <v>56</v>
      </c>
      <c r="R316" s="62"/>
      <c r="S316" s="62"/>
      <c r="T316" s="5"/>
    </row>
    <row r="317" spans="1:20">
      <c r="A317" s="2" t="s">
        <v>1553</v>
      </c>
      <c r="B317" s="2" t="s">
        <v>1599</v>
      </c>
      <c r="C317" s="2" t="s">
        <v>60</v>
      </c>
      <c r="D317" s="16">
        <v>0</v>
      </c>
      <c r="E317" s="2" t="s">
        <v>1553</v>
      </c>
      <c r="F317" s="2" t="s">
        <v>196</v>
      </c>
      <c r="G317" s="2" t="s">
        <v>1600</v>
      </c>
      <c r="H317" s="17">
        <v>20090</v>
      </c>
      <c r="I317" s="2"/>
      <c r="J317" s="2"/>
      <c r="K317" s="17">
        <v>20090</v>
      </c>
      <c r="L317" s="17">
        <v>2152.5</v>
      </c>
      <c r="M317" s="17">
        <v>17937.5</v>
      </c>
      <c r="N317" s="17">
        <v>20090</v>
      </c>
      <c r="O317" s="2"/>
      <c r="P317" s="2"/>
      <c r="Q317" s="31" t="s">
        <v>56</v>
      </c>
      <c r="R317" s="62"/>
      <c r="S317" s="62"/>
      <c r="T317" s="5"/>
    </row>
    <row r="318" spans="1:20">
      <c r="A318" s="2" t="s">
        <v>1553</v>
      </c>
      <c r="B318" s="2" t="s">
        <v>1601</v>
      </c>
      <c r="C318" s="2" t="s">
        <v>60</v>
      </c>
      <c r="D318" s="16">
        <v>0</v>
      </c>
      <c r="E318" s="2" t="s">
        <v>1553</v>
      </c>
      <c r="F318" s="2" t="s">
        <v>196</v>
      </c>
      <c r="G318" s="2" t="s">
        <v>1602</v>
      </c>
      <c r="H318" s="17">
        <v>60268</v>
      </c>
      <c r="I318" s="2"/>
      <c r="J318" s="2"/>
      <c r="K318" s="17">
        <v>60268</v>
      </c>
      <c r="L318" s="17">
        <v>6457.29</v>
      </c>
      <c r="M318" s="17">
        <v>53810.71</v>
      </c>
      <c r="N318" s="17">
        <v>60268</v>
      </c>
      <c r="O318" s="2"/>
      <c r="P318" s="2"/>
      <c r="Q318" s="31" t="s">
        <v>56</v>
      </c>
      <c r="R318" s="63"/>
      <c r="S318" s="62"/>
      <c r="T318" s="5"/>
    </row>
    <row r="319" spans="1:20">
      <c r="A319" s="2" t="s">
        <v>93</v>
      </c>
      <c r="B319" s="2" t="s">
        <v>116</v>
      </c>
      <c r="C319" s="2" t="s">
        <v>117</v>
      </c>
      <c r="D319" s="16">
        <v>120</v>
      </c>
      <c r="E319" s="2" t="s">
        <v>118</v>
      </c>
      <c r="F319" s="2" t="s">
        <v>119</v>
      </c>
      <c r="G319" s="2" t="s">
        <v>120</v>
      </c>
      <c r="H319" s="17">
        <v>201354</v>
      </c>
      <c r="I319" s="2"/>
      <c r="J319" s="2"/>
      <c r="K319" s="17">
        <v>201354</v>
      </c>
      <c r="L319" s="17">
        <v>21573.64</v>
      </c>
      <c r="M319" s="17">
        <v>179780.36</v>
      </c>
      <c r="N319" s="17">
        <v>201354</v>
      </c>
      <c r="O319" s="2"/>
      <c r="P319" s="2"/>
      <c r="Q319" s="31" t="s">
        <v>56</v>
      </c>
      <c r="R319" s="61">
        <f>+K319+K320+K321</f>
        <v>343918</v>
      </c>
      <c r="S319" s="62"/>
      <c r="T319" s="5"/>
    </row>
    <row r="320" spans="1:20">
      <c r="A320" s="2" t="s">
        <v>93</v>
      </c>
      <c r="B320" s="2" t="s">
        <v>121</v>
      </c>
      <c r="C320" s="2" t="s">
        <v>117</v>
      </c>
      <c r="D320" s="16">
        <v>120</v>
      </c>
      <c r="E320" s="2" t="s">
        <v>118</v>
      </c>
      <c r="F320" s="2" t="s">
        <v>119</v>
      </c>
      <c r="G320" s="2" t="s">
        <v>122</v>
      </c>
      <c r="H320" s="17">
        <v>25672</v>
      </c>
      <c r="I320" s="2"/>
      <c r="J320" s="2"/>
      <c r="K320" s="17">
        <v>25672</v>
      </c>
      <c r="L320" s="17">
        <v>2750.57</v>
      </c>
      <c r="M320" s="17">
        <v>22921.43</v>
      </c>
      <c r="N320" s="17">
        <v>25672</v>
      </c>
      <c r="O320" s="2"/>
      <c r="P320" s="2"/>
      <c r="Q320" s="31" t="s">
        <v>56</v>
      </c>
      <c r="R320" s="62"/>
      <c r="S320" s="62"/>
      <c r="T320" s="5"/>
    </row>
    <row r="321" spans="1:20">
      <c r="A321" s="2" t="s">
        <v>93</v>
      </c>
      <c r="B321" s="2" t="s">
        <v>123</v>
      </c>
      <c r="C321" s="2" t="s">
        <v>117</v>
      </c>
      <c r="D321" s="16">
        <v>120</v>
      </c>
      <c r="E321" s="2" t="s">
        <v>118</v>
      </c>
      <c r="F321" s="2" t="s">
        <v>119</v>
      </c>
      <c r="G321" s="2" t="s">
        <v>124</v>
      </c>
      <c r="H321" s="17">
        <v>116892</v>
      </c>
      <c r="I321" s="2"/>
      <c r="J321" s="2"/>
      <c r="K321" s="17">
        <v>116892</v>
      </c>
      <c r="L321" s="17">
        <v>12524.14</v>
      </c>
      <c r="M321" s="17">
        <v>104367.86</v>
      </c>
      <c r="N321" s="17">
        <v>116892</v>
      </c>
      <c r="O321" s="2"/>
      <c r="P321" s="2"/>
      <c r="Q321" s="31" t="s">
        <v>56</v>
      </c>
      <c r="R321" s="63"/>
      <c r="S321" s="62"/>
      <c r="T321" s="5"/>
    </row>
    <row r="322" spans="1:20">
      <c r="A322" s="2" t="s">
        <v>368</v>
      </c>
      <c r="B322" s="2" t="s">
        <v>411</v>
      </c>
      <c r="C322" s="2" t="s">
        <v>18</v>
      </c>
      <c r="D322" s="16">
        <v>0</v>
      </c>
      <c r="E322" s="2" t="s">
        <v>368</v>
      </c>
      <c r="F322" s="2" t="s">
        <v>412</v>
      </c>
      <c r="G322" s="2" t="s">
        <v>413</v>
      </c>
      <c r="H322" s="17">
        <v>1211223</v>
      </c>
      <c r="I322" s="19">
        <v>-36336.69</v>
      </c>
      <c r="J322" s="2"/>
      <c r="K322" s="17">
        <v>1174886.31</v>
      </c>
      <c r="L322" s="17">
        <v>125880.68</v>
      </c>
      <c r="M322" s="17">
        <v>1049005.6299999999</v>
      </c>
      <c r="N322" s="17">
        <v>1174886.31</v>
      </c>
      <c r="O322" s="2"/>
      <c r="P322" s="2"/>
      <c r="Q322" s="31" t="s">
        <v>56</v>
      </c>
      <c r="R322" s="61">
        <f>+K322+K323+K324+K325+K326+K327+K328</f>
        <v>2763748.3800000004</v>
      </c>
      <c r="S322" s="62"/>
      <c r="T322" s="5"/>
    </row>
    <row r="323" spans="1:20">
      <c r="A323" s="2" t="s">
        <v>368</v>
      </c>
      <c r="B323" s="2" t="s">
        <v>442</v>
      </c>
      <c r="C323" s="2" t="s">
        <v>60</v>
      </c>
      <c r="D323" s="16">
        <v>0</v>
      </c>
      <c r="E323" s="2" t="s">
        <v>368</v>
      </c>
      <c r="F323" s="2" t="s">
        <v>412</v>
      </c>
      <c r="G323" s="2" t="s">
        <v>443</v>
      </c>
      <c r="H323" s="17">
        <v>158400</v>
      </c>
      <c r="I323" s="19">
        <v>-4752</v>
      </c>
      <c r="J323" s="2"/>
      <c r="K323" s="17">
        <v>153648</v>
      </c>
      <c r="L323" s="17">
        <v>16462.29</v>
      </c>
      <c r="M323" s="17">
        <v>137185.71</v>
      </c>
      <c r="N323" s="17">
        <v>153648</v>
      </c>
      <c r="O323" s="2"/>
      <c r="P323" s="2"/>
      <c r="Q323" s="31" t="s">
        <v>56</v>
      </c>
      <c r="R323" s="62"/>
      <c r="S323" s="62"/>
      <c r="T323" s="5"/>
    </row>
    <row r="324" spans="1:20">
      <c r="A324" s="2" t="s">
        <v>368</v>
      </c>
      <c r="B324" s="2" t="s">
        <v>444</v>
      </c>
      <c r="C324" s="2" t="s">
        <v>60</v>
      </c>
      <c r="D324" s="16">
        <v>0</v>
      </c>
      <c r="E324" s="2" t="s">
        <v>368</v>
      </c>
      <c r="F324" s="2" t="s">
        <v>412</v>
      </c>
      <c r="G324" s="2" t="s">
        <v>443</v>
      </c>
      <c r="H324" s="17">
        <v>158400</v>
      </c>
      <c r="I324" s="19">
        <v>-4752</v>
      </c>
      <c r="J324" s="2"/>
      <c r="K324" s="17">
        <v>153648</v>
      </c>
      <c r="L324" s="17">
        <v>16462.29</v>
      </c>
      <c r="M324" s="17">
        <v>137185.71</v>
      </c>
      <c r="N324" s="17">
        <v>153648</v>
      </c>
      <c r="O324" s="2"/>
      <c r="P324" s="2"/>
      <c r="Q324" s="31" t="s">
        <v>56</v>
      </c>
      <c r="R324" s="62"/>
      <c r="S324" s="62"/>
      <c r="T324" s="5"/>
    </row>
    <row r="325" spans="1:20">
      <c r="A325" s="2" t="s">
        <v>505</v>
      </c>
      <c r="B325" s="2" t="s">
        <v>548</v>
      </c>
      <c r="C325" s="2" t="s">
        <v>18</v>
      </c>
      <c r="D325" s="16">
        <v>0</v>
      </c>
      <c r="E325" s="2" t="s">
        <v>505</v>
      </c>
      <c r="F325" s="2" t="s">
        <v>412</v>
      </c>
      <c r="G325" s="2" t="s">
        <v>549</v>
      </c>
      <c r="H325" s="17">
        <v>308052</v>
      </c>
      <c r="I325" s="19">
        <v>-9241.56</v>
      </c>
      <c r="J325" s="2"/>
      <c r="K325" s="17">
        <v>298810.44</v>
      </c>
      <c r="L325" s="17">
        <v>32015.4</v>
      </c>
      <c r="M325" s="17">
        <v>266795.03999999998</v>
      </c>
      <c r="N325" s="17">
        <v>298810.44</v>
      </c>
      <c r="O325" s="2"/>
      <c r="P325" s="2"/>
      <c r="Q325" s="31" t="s">
        <v>56</v>
      </c>
      <c r="R325" s="62"/>
      <c r="S325" s="62"/>
      <c r="T325" s="5"/>
    </row>
    <row r="326" spans="1:20">
      <c r="A326" s="2" t="s">
        <v>971</v>
      </c>
      <c r="B326" s="2" t="s">
        <v>1045</v>
      </c>
      <c r="C326" s="2" t="s">
        <v>18</v>
      </c>
      <c r="D326" s="16">
        <v>0</v>
      </c>
      <c r="E326" s="2" t="s">
        <v>971</v>
      </c>
      <c r="F326" s="2" t="s">
        <v>412</v>
      </c>
      <c r="G326" s="2" t="s">
        <v>1046</v>
      </c>
      <c r="H326" s="17">
        <v>965019</v>
      </c>
      <c r="I326" s="19">
        <v>-28950.57</v>
      </c>
      <c r="J326" s="2"/>
      <c r="K326" s="17">
        <v>936068.43</v>
      </c>
      <c r="L326" s="17">
        <v>100293.05</v>
      </c>
      <c r="M326" s="17">
        <v>835775.38</v>
      </c>
      <c r="N326" s="17">
        <v>936068.43</v>
      </c>
      <c r="O326" s="2"/>
      <c r="P326" s="2"/>
      <c r="Q326" s="31" t="s">
        <v>56</v>
      </c>
      <c r="R326" s="62"/>
      <c r="S326" s="62"/>
      <c r="T326" s="5"/>
    </row>
    <row r="327" spans="1:20">
      <c r="A327" s="2" t="s">
        <v>1217</v>
      </c>
      <c r="B327" s="2" t="s">
        <v>1274</v>
      </c>
      <c r="C327" s="2" t="s">
        <v>60</v>
      </c>
      <c r="D327" s="16">
        <v>0</v>
      </c>
      <c r="E327" s="2" t="s">
        <v>1217</v>
      </c>
      <c r="F327" s="2" t="s">
        <v>412</v>
      </c>
      <c r="G327" s="2" t="s">
        <v>1275</v>
      </c>
      <c r="H327" s="17">
        <v>11760</v>
      </c>
      <c r="I327" s="19">
        <v>-352.8</v>
      </c>
      <c r="J327" s="2"/>
      <c r="K327" s="17">
        <v>11407.2</v>
      </c>
      <c r="L327" s="17">
        <v>1222.2</v>
      </c>
      <c r="M327" s="17">
        <v>10185</v>
      </c>
      <c r="N327" s="17">
        <v>11407.2</v>
      </c>
      <c r="O327" s="2"/>
      <c r="P327" s="2"/>
      <c r="Q327" s="31" t="s">
        <v>56</v>
      </c>
      <c r="R327" s="62"/>
      <c r="S327" s="62"/>
      <c r="T327" s="5"/>
    </row>
    <row r="328" spans="1:20">
      <c r="A328" s="2" t="s">
        <v>1461</v>
      </c>
      <c r="B328" s="2" t="s">
        <v>1460</v>
      </c>
      <c r="C328" s="2" t="s">
        <v>60</v>
      </c>
      <c r="D328" s="16">
        <v>0</v>
      </c>
      <c r="E328" s="2" t="s">
        <v>1461</v>
      </c>
      <c r="F328" s="2" t="s">
        <v>412</v>
      </c>
      <c r="G328" s="2" t="s">
        <v>1462</v>
      </c>
      <c r="H328" s="17">
        <v>35280</v>
      </c>
      <c r="I328" s="2"/>
      <c r="J328" s="2"/>
      <c r="K328" s="17">
        <v>35280</v>
      </c>
      <c r="L328" s="17">
        <v>3780</v>
      </c>
      <c r="M328" s="17">
        <v>31500</v>
      </c>
      <c r="N328" s="17">
        <v>35280</v>
      </c>
      <c r="O328" s="2"/>
      <c r="P328" s="2"/>
      <c r="Q328" s="31" t="s">
        <v>56</v>
      </c>
      <c r="R328" s="63"/>
      <c r="S328" s="62"/>
      <c r="T328" s="5"/>
    </row>
    <row r="329" spans="1:20">
      <c r="A329" s="2" t="s">
        <v>282</v>
      </c>
      <c r="B329" s="2" t="s">
        <v>325</v>
      </c>
      <c r="C329" s="2" t="s">
        <v>18</v>
      </c>
      <c r="D329" s="16">
        <v>0</v>
      </c>
      <c r="E329" s="2" t="s">
        <v>282</v>
      </c>
      <c r="F329" s="2" t="s">
        <v>326</v>
      </c>
      <c r="G329" s="2" t="s">
        <v>327</v>
      </c>
      <c r="H329" s="17">
        <v>184000</v>
      </c>
      <c r="I329" s="19">
        <v>-3680</v>
      </c>
      <c r="J329" s="2"/>
      <c r="K329" s="17">
        <v>180320</v>
      </c>
      <c r="L329" s="17">
        <v>19320</v>
      </c>
      <c r="M329" s="17">
        <v>161000</v>
      </c>
      <c r="N329" s="17">
        <v>180320</v>
      </c>
      <c r="O329" s="2"/>
      <c r="P329" s="2"/>
      <c r="Q329" s="31" t="s">
        <v>56</v>
      </c>
      <c r="R329" s="32">
        <f>+K329</f>
        <v>180320</v>
      </c>
      <c r="S329" s="62"/>
      <c r="T329" s="5"/>
    </row>
    <row r="330" spans="1:20">
      <c r="A330" s="2" t="s">
        <v>505</v>
      </c>
      <c r="B330" s="2" t="s">
        <v>504</v>
      </c>
      <c r="C330" s="2" t="s">
        <v>132</v>
      </c>
      <c r="D330" s="16">
        <v>0</v>
      </c>
      <c r="E330" s="2" t="s">
        <v>505</v>
      </c>
      <c r="F330" s="2" t="s">
        <v>506</v>
      </c>
      <c r="G330" s="2" t="s">
        <v>507</v>
      </c>
      <c r="H330" s="17">
        <v>2916</v>
      </c>
      <c r="I330" s="2"/>
      <c r="J330" s="2"/>
      <c r="K330" s="17">
        <v>2916</v>
      </c>
      <c r="L330" s="18">
        <v>312.43</v>
      </c>
      <c r="M330" s="17">
        <v>2603.5700000000002</v>
      </c>
      <c r="N330" s="17">
        <v>2916</v>
      </c>
      <c r="O330" s="2"/>
      <c r="P330" s="2"/>
      <c r="Q330" s="31" t="s">
        <v>56</v>
      </c>
      <c r="R330" s="32">
        <f>+K330</f>
        <v>2916</v>
      </c>
      <c r="S330" s="62"/>
      <c r="T330" s="5"/>
    </row>
    <row r="331" spans="1:20">
      <c r="A331" s="2" t="s">
        <v>637</v>
      </c>
      <c r="B331" s="2" t="s">
        <v>665</v>
      </c>
      <c r="C331" s="2" t="s">
        <v>146</v>
      </c>
      <c r="D331" s="16">
        <v>90</v>
      </c>
      <c r="E331" s="2" t="s">
        <v>655</v>
      </c>
      <c r="F331" s="2" t="s">
        <v>666</v>
      </c>
      <c r="G331" s="2" t="s">
        <v>667</v>
      </c>
      <c r="H331" s="17">
        <v>710170</v>
      </c>
      <c r="I331" s="2"/>
      <c r="J331" s="2"/>
      <c r="K331" s="17">
        <v>710170</v>
      </c>
      <c r="L331" s="17">
        <v>76089.64</v>
      </c>
      <c r="M331" s="17">
        <v>634080.36</v>
      </c>
      <c r="N331" s="17">
        <v>710170</v>
      </c>
      <c r="O331" s="2"/>
      <c r="P331" s="2"/>
      <c r="Q331" s="31" t="s">
        <v>56</v>
      </c>
      <c r="R331" s="61">
        <f>+K331+K332</f>
        <v>1071365</v>
      </c>
      <c r="S331" s="62"/>
      <c r="T331" s="5"/>
    </row>
    <row r="332" spans="1:20">
      <c r="A332" s="2" t="s">
        <v>1287</v>
      </c>
      <c r="B332" s="2" t="s">
        <v>1346</v>
      </c>
      <c r="C332" s="2" t="s">
        <v>146</v>
      </c>
      <c r="D332" s="16">
        <v>90</v>
      </c>
      <c r="E332" s="2" t="s">
        <v>1315</v>
      </c>
      <c r="F332" s="2" t="s">
        <v>666</v>
      </c>
      <c r="G332" s="2" t="s">
        <v>1347</v>
      </c>
      <c r="H332" s="17">
        <v>361195</v>
      </c>
      <c r="I332" s="2"/>
      <c r="J332" s="2"/>
      <c r="K332" s="17">
        <v>361195</v>
      </c>
      <c r="L332" s="17">
        <v>38699.46</v>
      </c>
      <c r="M332" s="17">
        <v>322495.53999999998</v>
      </c>
      <c r="N332" s="17">
        <v>361195</v>
      </c>
      <c r="O332" s="2"/>
      <c r="P332" s="2"/>
      <c r="Q332" s="31" t="s">
        <v>56</v>
      </c>
      <c r="R332" s="63"/>
      <c r="S332" s="62"/>
      <c r="T332" s="5"/>
    </row>
    <row r="333" spans="1:20">
      <c r="A333" s="2" t="s">
        <v>282</v>
      </c>
      <c r="B333" s="2" t="s">
        <v>354</v>
      </c>
      <c r="C333" s="2" t="s">
        <v>54</v>
      </c>
      <c r="D333" s="16">
        <v>90</v>
      </c>
      <c r="E333" s="2" t="s">
        <v>290</v>
      </c>
      <c r="F333" s="2" t="s">
        <v>355</v>
      </c>
      <c r="G333" s="2" t="s">
        <v>356</v>
      </c>
      <c r="H333" s="17">
        <v>97500</v>
      </c>
      <c r="I333" s="2"/>
      <c r="J333" s="2"/>
      <c r="K333" s="17">
        <v>97500</v>
      </c>
      <c r="L333" s="17">
        <v>10446.43</v>
      </c>
      <c r="M333" s="17">
        <v>87053.57</v>
      </c>
      <c r="N333" s="17">
        <v>97500</v>
      </c>
      <c r="O333" s="2"/>
      <c r="P333" s="2"/>
      <c r="Q333" s="31" t="s">
        <v>56</v>
      </c>
      <c r="R333" s="61">
        <f>+K333+K334+K335</f>
        <v>534982</v>
      </c>
      <c r="S333" s="62"/>
      <c r="T333" s="5"/>
    </row>
    <row r="334" spans="1:20">
      <c r="A334" s="2" t="s">
        <v>282</v>
      </c>
      <c r="B334" s="2" t="s">
        <v>357</v>
      </c>
      <c r="C334" s="2" t="s">
        <v>54</v>
      </c>
      <c r="D334" s="16">
        <v>90</v>
      </c>
      <c r="E334" s="2" t="s">
        <v>290</v>
      </c>
      <c r="F334" s="2" t="s">
        <v>355</v>
      </c>
      <c r="G334" s="2" t="s">
        <v>358</v>
      </c>
      <c r="H334" s="17">
        <v>60000</v>
      </c>
      <c r="I334" s="2"/>
      <c r="J334" s="2"/>
      <c r="K334" s="17">
        <v>60000</v>
      </c>
      <c r="L334" s="17">
        <v>6428.57</v>
      </c>
      <c r="M334" s="17">
        <v>53571.43</v>
      </c>
      <c r="N334" s="17">
        <v>60000</v>
      </c>
      <c r="O334" s="2"/>
      <c r="P334" s="2"/>
      <c r="Q334" s="31" t="s">
        <v>56</v>
      </c>
      <c r="R334" s="62"/>
      <c r="S334" s="62"/>
      <c r="T334" s="5"/>
    </row>
    <row r="335" spans="1:20">
      <c r="A335" s="2" t="s">
        <v>282</v>
      </c>
      <c r="B335" s="2" t="s">
        <v>359</v>
      </c>
      <c r="C335" s="2" t="s">
        <v>54</v>
      </c>
      <c r="D335" s="16">
        <v>90</v>
      </c>
      <c r="E335" s="2" t="s">
        <v>290</v>
      </c>
      <c r="F335" s="2" t="s">
        <v>355</v>
      </c>
      <c r="G335" s="2" t="s">
        <v>360</v>
      </c>
      <c r="H335" s="17">
        <v>377482</v>
      </c>
      <c r="I335" s="2"/>
      <c r="J335" s="2"/>
      <c r="K335" s="17">
        <v>377482</v>
      </c>
      <c r="L335" s="17">
        <v>40444.5</v>
      </c>
      <c r="M335" s="17">
        <v>337037.5</v>
      </c>
      <c r="N335" s="17">
        <v>377482</v>
      </c>
      <c r="O335" s="2"/>
      <c r="P335" s="2"/>
      <c r="Q335" s="31" t="s">
        <v>56</v>
      </c>
      <c r="R335" s="63"/>
      <c r="S335" s="62"/>
      <c r="T335" s="5"/>
    </row>
    <row r="336" spans="1:20">
      <c r="A336" s="2" t="s">
        <v>93</v>
      </c>
      <c r="B336" s="2" t="s">
        <v>113</v>
      </c>
      <c r="C336" s="2" t="s">
        <v>60</v>
      </c>
      <c r="D336" s="16">
        <v>0</v>
      </c>
      <c r="E336" s="2" t="s">
        <v>93</v>
      </c>
      <c r="F336" s="2" t="s">
        <v>114</v>
      </c>
      <c r="G336" s="2" t="s">
        <v>115</v>
      </c>
      <c r="H336" s="17">
        <v>272065</v>
      </c>
      <c r="I336" s="2"/>
      <c r="J336" s="2"/>
      <c r="K336" s="17">
        <v>272065</v>
      </c>
      <c r="L336" s="17">
        <v>29149.82</v>
      </c>
      <c r="M336" s="17">
        <v>242915.18</v>
      </c>
      <c r="N336" s="17">
        <v>272065</v>
      </c>
      <c r="O336" s="2"/>
      <c r="P336" s="2"/>
      <c r="Q336" s="31" t="s">
        <v>56</v>
      </c>
      <c r="R336" s="32">
        <f>+K336</f>
        <v>272065</v>
      </c>
      <c r="S336" s="62"/>
      <c r="T336" s="5"/>
    </row>
    <row r="337" spans="1:20">
      <c r="A337" s="2" t="s">
        <v>93</v>
      </c>
      <c r="B337" s="2" t="s">
        <v>125</v>
      </c>
      <c r="C337" s="2" t="s">
        <v>60</v>
      </c>
      <c r="D337" s="16">
        <v>0</v>
      </c>
      <c r="E337" s="2" t="s">
        <v>93</v>
      </c>
      <c r="F337" s="2" t="s">
        <v>126</v>
      </c>
      <c r="G337" s="2" t="s">
        <v>127</v>
      </c>
      <c r="H337" s="17">
        <v>19600</v>
      </c>
      <c r="I337" s="2"/>
      <c r="J337" s="2"/>
      <c r="K337" s="17">
        <v>19600</v>
      </c>
      <c r="L337" s="17">
        <v>2100</v>
      </c>
      <c r="M337" s="17">
        <v>17500</v>
      </c>
      <c r="N337" s="17">
        <v>19600</v>
      </c>
      <c r="O337" s="2"/>
      <c r="P337" s="2"/>
      <c r="Q337" s="31" t="s">
        <v>56</v>
      </c>
      <c r="R337" s="61">
        <f>+K337+K338+K339</f>
        <v>78400</v>
      </c>
      <c r="S337" s="62"/>
      <c r="T337" s="5"/>
    </row>
    <row r="338" spans="1:20">
      <c r="A338" s="2" t="s">
        <v>637</v>
      </c>
      <c r="B338" s="2" t="s">
        <v>636</v>
      </c>
      <c r="C338" s="2" t="s">
        <v>73</v>
      </c>
      <c r="D338" s="16">
        <v>30</v>
      </c>
      <c r="E338" s="2" t="s">
        <v>638</v>
      </c>
      <c r="F338" s="2" t="s">
        <v>126</v>
      </c>
      <c r="G338" s="2" t="s">
        <v>639</v>
      </c>
      <c r="H338" s="17">
        <v>19600</v>
      </c>
      <c r="I338" s="2"/>
      <c r="J338" s="2"/>
      <c r="K338" s="17">
        <v>19600</v>
      </c>
      <c r="L338" s="17">
        <v>2100</v>
      </c>
      <c r="M338" s="17">
        <v>17500</v>
      </c>
      <c r="N338" s="17">
        <v>19600</v>
      </c>
      <c r="O338" s="2"/>
      <c r="P338" s="2"/>
      <c r="Q338" s="31" t="s">
        <v>56</v>
      </c>
      <c r="R338" s="62"/>
      <c r="S338" s="62"/>
      <c r="T338" s="5"/>
    </row>
    <row r="339" spans="1:20">
      <c r="A339" s="2" t="s">
        <v>1217</v>
      </c>
      <c r="B339" s="2" t="s">
        <v>1237</v>
      </c>
      <c r="C339" s="2" t="s">
        <v>243</v>
      </c>
      <c r="D339" s="16">
        <v>30</v>
      </c>
      <c r="E339" s="2" t="s">
        <v>1231</v>
      </c>
      <c r="F339" s="2" t="s">
        <v>126</v>
      </c>
      <c r="G339" s="2" t="s">
        <v>1238</v>
      </c>
      <c r="H339" s="17">
        <v>39200</v>
      </c>
      <c r="I339" s="2"/>
      <c r="J339" s="2"/>
      <c r="K339" s="17">
        <v>39200</v>
      </c>
      <c r="L339" s="17">
        <v>4200</v>
      </c>
      <c r="M339" s="17">
        <v>35000</v>
      </c>
      <c r="N339" s="17">
        <v>39200</v>
      </c>
      <c r="O339" s="2"/>
      <c r="P339" s="2"/>
      <c r="Q339" s="31" t="s">
        <v>56</v>
      </c>
      <c r="R339" s="63"/>
      <c r="S339" s="62"/>
      <c r="T339" s="5"/>
    </row>
    <row r="340" spans="1:20">
      <c r="A340" s="2" t="s">
        <v>1048</v>
      </c>
      <c r="B340" s="2" t="s">
        <v>1054</v>
      </c>
      <c r="C340" s="2" t="s">
        <v>1055</v>
      </c>
      <c r="D340" s="16">
        <v>30</v>
      </c>
      <c r="E340" s="2" t="s">
        <v>1056</v>
      </c>
      <c r="F340" s="2" t="s">
        <v>1057</v>
      </c>
      <c r="G340" s="2" t="s">
        <v>1058</v>
      </c>
      <c r="H340" s="17">
        <v>19740</v>
      </c>
      <c r="I340" s="2"/>
      <c r="J340" s="2"/>
      <c r="K340" s="17">
        <v>19740</v>
      </c>
      <c r="L340" s="17">
        <v>2115</v>
      </c>
      <c r="M340" s="17">
        <v>17625</v>
      </c>
      <c r="N340" s="17">
        <v>19740</v>
      </c>
      <c r="O340" s="2"/>
      <c r="P340" s="2"/>
      <c r="Q340" s="31" t="s">
        <v>56</v>
      </c>
      <c r="R340" s="61">
        <f>+K340+K341</f>
        <v>49350</v>
      </c>
      <c r="S340" s="62"/>
      <c r="T340" s="5"/>
    </row>
    <row r="341" spans="1:20">
      <c r="A341" s="2" t="s">
        <v>1117</v>
      </c>
      <c r="B341" s="2" t="s">
        <v>1204</v>
      </c>
      <c r="C341" s="2" t="s">
        <v>1055</v>
      </c>
      <c r="D341" s="16">
        <v>30</v>
      </c>
      <c r="E341" s="2" t="s">
        <v>1118</v>
      </c>
      <c r="F341" s="2" t="s">
        <v>1057</v>
      </c>
      <c r="G341" s="2" t="s">
        <v>1205</v>
      </c>
      <c r="H341" s="17">
        <v>29610</v>
      </c>
      <c r="I341" s="2"/>
      <c r="J341" s="2"/>
      <c r="K341" s="17">
        <v>29610</v>
      </c>
      <c r="L341" s="17">
        <v>3172.5</v>
      </c>
      <c r="M341" s="17">
        <v>26437.5</v>
      </c>
      <c r="N341" s="17">
        <v>29610</v>
      </c>
      <c r="O341" s="2"/>
      <c r="P341" s="2"/>
      <c r="Q341" s="31" t="s">
        <v>56</v>
      </c>
      <c r="R341" s="63"/>
      <c r="S341" s="62"/>
      <c r="T341" s="5"/>
    </row>
    <row r="342" spans="1:20">
      <c r="A342" s="2" t="s">
        <v>971</v>
      </c>
      <c r="B342" s="2" t="s">
        <v>1005</v>
      </c>
      <c r="C342" s="2" t="s">
        <v>60</v>
      </c>
      <c r="D342" s="16">
        <v>0</v>
      </c>
      <c r="E342" s="2" t="s">
        <v>971</v>
      </c>
      <c r="F342" s="2" t="s">
        <v>1006</v>
      </c>
      <c r="G342" s="2" t="s">
        <v>1007</v>
      </c>
      <c r="H342" s="17">
        <v>78544</v>
      </c>
      <c r="I342" s="2"/>
      <c r="J342" s="2"/>
      <c r="K342" s="17">
        <v>78544</v>
      </c>
      <c r="L342" s="17">
        <v>8415.43</v>
      </c>
      <c r="M342" s="17">
        <v>70128.570000000007</v>
      </c>
      <c r="N342" s="17">
        <v>78544</v>
      </c>
      <c r="O342" s="2"/>
      <c r="P342" s="2"/>
      <c r="Q342" s="31" t="s">
        <v>56</v>
      </c>
      <c r="R342" s="32">
        <f>+K342</f>
        <v>78544</v>
      </c>
      <c r="S342" s="62"/>
      <c r="T342" s="5"/>
    </row>
    <row r="343" spans="1:20">
      <c r="A343" s="2" t="s">
        <v>637</v>
      </c>
      <c r="B343" s="2" t="s">
        <v>640</v>
      </c>
      <c r="C343" s="2" t="s">
        <v>117</v>
      </c>
      <c r="D343" s="16">
        <v>120</v>
      </c>
      <c r="E343" s="2" t="s">
        <v>641</v>
      </c>
      <c r="F343" s="2" t="s">
        <v>642</v>
      </c>
      <c r="G343" s="2" t="s">
        <v>643</v>
      </c>
      <c r="H343" s="17">
        <v>490500</v>
      </c>
      <c r="I343" s="2"/>
      <c r="J343" s="2"/>
      <c r="K343" s="17">
        <v>490500</v>
      </c>
      <c r="L343" s="17">
        <v>52553.57</v>
      </c>
      <c r="M343" s="17">
        <v>437946.43</v>
      </c>
      <c r="N343" s="17">
        <v>490500</v>
      </c>
      <c r="O343" s="2"/>
      <c r="P343" s="2"/>
      <c r="Q343" s="31" t="s">
        <v>56</v>
      </c>
      <c r="R343" s="32">
        <f>+K343</f>
        <v>490500</v>
      </c>
      <c r="S343" s="62"/>
      <c r="T343" s="5"/>
    </row>
    <row r="344" spans="1:20">
      <c r="A344" s="2" t="s">
        <v>769</v>
      </c>
      <c r="B344" s="2" t="s">
        <v>840</v>
      </c>
      <c r="C344" s="2" t="s">
        <v>60</v>
      </c>
      <c r="D344" s="16">
        <v>0</v>
      </c>
      <c r="E344" s="2" t="s">
        <v>769</v>
      </c>
      <c r="F344" s="2" t="s">
        <v>841</v>
      </c>
      <c r="G344" s="2" t="s">
        <v>842</v>
      </c>
      <c r="H344" s="17">
        <v>1117</v>
      </c>
      <c r="I344" s="2"/>
      <c r="J344" s="2"/>
      <c r="K344" s="17">
        <v>1117</v>
      </c>
      <c r="L344" s="18">
        <v>119.68</v>
      </c>
      <c r="M344" s="18">
        <v>997.32</v>
      </c>
      <c r="N344" s="17">
        <v>1117</v>
      </c>
      <c r="O344" s="2"/>
      <c r="P344" s="2"/>
      <c r="Q344" s="31" t="s">
        <v>56</v>
      </c>
      <c r="R344" s="32">
        <f>+K344</f>
        <v>1117</v>
      </c>
      <c r="S344" s="62"/>
      <c r="T344" s="5"/>
    </row>
    <row r="345" spans="1:20">
      <c r="A345" s="2" t="s">
        <v>199</v>
      </c>
      <c r="B345" s="2" t="s">
        <v>210</v>
      </c>
      <c r="C345" s="2" t="s">
        <v>60</v>
      </c>
      <c r="D345" s="16">
        <v>0</v>
      </c>
      <c r="E345" s="2" t="s">
        <v>199</v>
      </c>
      <c r="F345" s="2" t="s">
        <v>211</v>
      </c>
      <c r="G345" s="2" t="s">
        <v>212</v>
      </c>
      <c r="H345" s="17">
        <v>56000</v>
      </c>
      <c r="I345" s="2"/>
      <c r="J345" s="2"/>
      <c r="K345" s="17">
        <v>56000</v>
      </c>
      <c r="L345" s="17">
        <v>6000</v>
      </c>
      <c r="M345" s="17">
        <v>50000</v>
      </c>
      <c r="N345" s="17">
        <v>56000</v>
      </c>
      <c r="O345" s="2"/>
      <c r="P345" s="2"/>
      <c r="Q345" s="31" t="s">
        <v>56</v>
      </c>
      <c r="R345" s="61">
        <f>+K345+K346+K347+K348+K349+K350</f>
        <v>198400</v>
      </c>
      <c r="S345" s="62"/>
      <c r="T345" s="5"/>
    </row>
    <row r="346" spans="1:20">
      <c r="A346" s="2" t="s">
        <v>199</v>
      </c>
      <c r="B346" s="2" t="s">
        <v>213</v>
      </c>
      <c r="C346" s="2" t="s">
        <v>60</v>
      </c>
      <c r="D346" s="16">
        <v>0</v>
      </c>
      <c r="E346" s="2" t="s">
        <v>199</v>
      </c>
      <c r="F346" s="2" t="s">
        <v>211</v>
      </c>
      <c r="G346" s="2" t="s">
        <v>214</v>
      </c>
      <c r="H346" s="17">
        <v>28000</v>
      </c>
      <c r="I346" s="2"/>
      <c r="J346" s="2"/>
      <c r="K346" s="17">
        <v>28000</v>
      </c>
      <c r="L346" s="17">
        <v>3000</v>
      </c>
      <c r="M346" s="17">
        <v>25000</v>
      </c>
      <c r="N346" s="17">
        <v>28000</v>
      </c>
      <c r="O346" s="2"/>
      <c r="P346" s="2"/>
      <c r="Q346" s="31" t="s">
        <v>56</v>
      </c>
      <c r="R346" s="62"/>
      <c r="S346" s="62"/>
      <c r="T346" s="5"/>
    </row>
    <row r="347" spans="1:20">
      <c r="A347" s="2" t="s">
        <v>199</v>
      </c>
      <c r="B347" s="2" t="s">
        <v>215</v>
      </c>
      <c r="C347" s="2" t="s">
        <v>60</v>
      </c>
      <c r="D347" s="16">
        <v>0</v>
      </c>
      <c r="E347" s="2" t="s">
        <v>199</v>
      </c>
      <c r="F347" s="2" t="s">
        <v>211</v>
      </c>
      <c r="G347" s="2" t="s">
        <v>216</v>
      </c>
      <c r="H347" s="17">
        <v>28000</v>
      </c>
      <c r="I347" s="2"/>
      <c r="J347" s="2"/>
      <c r="K347" s="17">
        <v>28000</v>
      </c>
      <c r="L347" s="17">
        <v>3000</v>
      </c>
      <c r="M347" s="17">
        <v>25000</v>
      </c>
      <c r="N347" s="17">
        <v>28000</v>
      </c>
      <c r="O347" s="2"/>
      <c r="P347" s="2"/>
      <c r="Q347" s="31" t="s">
        <v>56</v>
      </c>
      <c r="R347" s="62"/>
      <c r="S347" s="62"/>
      <c r="T347" s="5"/>
    </row>
    <row r="348" spans="1:20">
      <c r="A348" s="2" t="s">
        <v>1287</v>
      </c>
      <c r="B348" s="2" t="s">
        <v>1304</v>
      </c>
      <c r="C348" s="2" t="s">
        <v>60</v>
      </c>
      <c r="D348" s="16">
        <v>0</v>
      </c>
      <c r="E348" s="2" t="s">
        <v>1287</v>
      </c>
      <c r="F348" s="2" t="s">
        <v>211</v>
      </c>
      <c r="G348" s="2" t="s">
        <v>1305</v>
      </c>
      <c r="H348" s="17">
        <v>28800</v>
      </c>
      <c r="I348" s="2"/>
      <c r="J348" s="2"/>
      <c r="K348" s="17">
        <v>28800</v>
      </c>
      <c r="L348" s="17">
        <v>3085.71</v>
      </c>
      <c r="M348" s="17">
        <v>25714.29</v>
      </c>
      <c r="N348" s="17">
        <v>28800</v>
      </c>
      <c r="O348" s="2"/>
      <c r="P348" s="2"/>
      <c r="Q348" s="31" t="s">
        <v>56</v>
      </c>
      <c r="R348" s="62"/>
      <c r="S348" s="62"/>
      <c r="T348" s="5"/>
    </row>
    <row r="349" spans="1:20">
      <c r="A349" s="2" t="s">
        <v>1287</v>
      </c>
      <c r="B349" s="2" t="s">
        <v>1306</v>
      </c>
      <c r="C349" s="2" t="s">
        <v>60</v>
      </c>
      <c r="D349" s="16">
        <v>0</v>
      </c>
      <c r="E349" s="2" t="s">
        <v>1287</v>
      </c>
      <c r="F349" s="2" t="s">
        <v>211</v>
      </c>
      <c r="G349" s="2" t="s">
        <v>1307</v>
      </c>
      <c r="H349" s="17">
        <v>28800</v>
      </c>
      <c r="I349" s="2"/>
      <c r="J349" s="2"/>
      <c r="K349" s="17">
        <v>28800</v>
      </c>
      <c r="L349" s="17">
        <v>3085.71</v>
      </c>
      <c r="M349" s="17">
        <v>25714.29</v>
      </c>
      <c r="N349" s="17">
        <v>28800</v>
      </c>
      <c r="O349" s="2"/>
      <c r="P349" s="2"/>
      <c r="Q349" s="31" t="s">
        <v>56</v>
      </c>
      <c r="R349" s="62"/>
      <c r="S349" s="62"/>
      <c r="T349" s="5"/>
    </row>
    <row r="350" spans="1:20">
      <c r="A350" s="2" t="s">
        <v>1287</v>
      </c>
      <c r="B350" s="2" t="s">
        <v>1308</v>
      </c>
      <c r="C350" s="2" t="s">
        <v>60</v>
      </c>
      <c r="D350" s="16">
        <v>0</v>
      </c>
      <c r="E350" s="2" t="s">
        <v>1287</v>
      </c>
      <c r="F350" s="2" t="s">
        <v>211</v>
      </c>
      <c r="G350" s="2" t="s">
        <v>1309</v>
      </c>
      <c r="H350" s="17">
        <v>28800</v>
      </c>
      <c r="I350" s="2"/>
      <c r="J350" s="2"/>
      <c r="K350" s="17">
        <v>28800</v>
      </c>
      <c r="L350" s="17">
        <v>3085.71</v>
      </c>
      <c r="M350" s="17">
        <v>25714.29</v>
      </c>
      <c r="N350" s="17">
        <v>28800</v>
      </c>
      <c r="O350" s="2"/>
      <c r="P350" s="2"/>
      <c r="Q350" s="31" t="s">
        <v>56</v>
      </c>
      <c r="R350" s="63"/>
      <c r="S350" s="62"/>
      <c r="T350" s="5"/>
    </row>
    <row r="351" spans="1:20">
      <c r="A351" s="2" t="s">
        <v>199</v>
      </c>
      <c r="B351" s="2" t="s">
        <v>242</v>
      </c>
      <c r="C351" s="2" t="s">
        <v>243</v>
      </c>
      <c r="D351" s="16">
        <v>30</v>
      </c>
      <c r="E351" s="2" t="s">
        <v>223</v>
      </c>
      <c r="F351" s="2" t="s">
        <v>244</v>
      </c>
      <c r="G351" s="2" t="s">
        <v>245</v>
      </c>
      <c r="H351" s="17">
        <v>28250</v>
      </c>
      <c r="I351" s="2"/>
      <c r="J351" s="2"/>
      <c r="K351" s="17">
        <v>28250</v>
      </c>
      <c r="L351" s="17">
        <v>3026.79</v>
      </c>
      <c r="M351" s="17">
        <v>25223.21</v>
      </c>
      <c r="N351" s="17">
        <v>28250</v>
      </c>
      <c r="O351" s="2"/>
      <c r="P351" s="2"/>
      <c r="Q351" s="31" t="s">
        <v>56</v>
      </c>
      <c r="R351" s="61">
        <f>+K351+K352+K353</f>
        <v>603290</v>
      </c>
      <c r="S351" s="62"/>
      <c r="T351" s="5"/>
    </row>
    <row r="352" spans="1:20">
      <c r="A352" s="2" t="s">
        <v>368</v>
      </c>
      <c r="B352" s="2" t="s">
        <v>445</v>
      </c>
      <c r="C352" s="2" t="s">
        <v>73</v>
      </c>
      <c r="D352" s="16">
        <v>30</v>
      </c>
      <c r="E352" s="2" t="s">
        <v>370</v>
      </c>
      <c r="F352" s="2" t="s">
        <v>244</v>
      </c>
      <c r="G352" s="2" t="s">
        <v>446</v>
      </c>
      <c r="H352" s="17">
        <v>384480</v>
      </c>
      <c r="I352" s="2"/>
      <c r="J352" s="2"/>
      <c r="K352" s="17">
        <v>384480</v>
      </c>
      <c r="L352" s="17">
        <v>41194.29</v>
      </c>
      <c r="M352" s="17">
        <v>343285.71</v>
      </c>
      <c r="N352" s="17">
        <v>384480</v>
      </c>
      <c r="O352" s="2"/>
      <c r="P352" s="2"/>
      <c r="Q352" s="31" t="s">
        <v>56</v>
      </c>
      <c r="R352" s="62"/>
      <c r="S352" s="62"/>
      <c r="T352" s="5"/>
    </row>
    <row r="353" spans="1:20">
      <c r="A353" s="2" t="s">
        <v>637</v>
      </c>
      <c r="B353" s="2" t="s">
        <v>652</v>
      </c>
      <c r="C353" s="2" t="s">
        <v>73</v>
      </c>
      <c r="D353" s="16">
        <v>30</v>
      </c>
      <c r="E353" s="2" t="s">
        <v>638</v>
      </c>
      <c r="F353" s="2" t="s">
        <v>244</v>
      </c>
      <c r="G353" s="2" t="s">
        <v>653</v>
      </c>
      <c r="H353" s="17">
        <v>190560</v>
      </c>
      <c r="I353" s="2"/>
      <c r="J353" s="2"/>
      <c r="K353" s="17">
        <v>190560</v>
      </c>
      <c r="L353" s="17">
        <v>20417.14</v>
      </c>
      <c r="M353" s="17">
        <v>170142.86</v>
      </c>
      <c r="N353" s="17">
        <v>190560</v>
      </c>
      <c r="O353" s="2"/>
      <c r="P353" s="2"/>
      <c r="Q353" s="31" t="s">
        <v>56</v>
      </c>
      <c r="R353" s="63"/>
      <c r="S353" s="62"/>
      <c r="T353" s="5"/>
    </row>
    <row r="354" spans="1:20">
      <c r="A354" s="2" t="s">
        <v>1117</v>
      </c>
      <c r="B354" s="2" t="s">
        <v>1126</v>
      </c>
      <c r="C354" s="2" t="s">
        <v>18</v>
      </c>
      <c r="D354" s="16">
        <v>0</v>
      </c>
      <c r="E354" s="2" t="s">
        <v>1117</v>
      </c>
      <c r="F354" s="2" t="s">
        <v>1127</v>
      </c>
      <c r="G354" s="2" t="s">
        <v>1128</v>
      </c>
      <c r="H354" s="17">
        <v>124768</v>
      </c>
      <c r="I354" s="19">
        <v>-2495.36</v>
      </c>
      <c r="J354" s="2"/>
      <c r="K354" s="17">
        <v>122272.64</v>
      </c>
      <c r="L354" s="17">
        <v>13100.64</v>
      </c>
      <c r="M354" s="17">
        <v>109172</v>
      </c>
      <c r="N354" s="17">
        <v>122272.64</v>
      </c>
      <c r="O354" s="2"/>
      <c r="P354" s="2"/>
      <c r="Q354" s="31" t="s">
        <v>56</v>
      </c>
      <c r="R354" s="32">
        <f>+K354</f>
        <v>122272.64</v>
      </c>
      <c r="S354" s="62"/>
      <c r="T354" s="5"/>
    </row>
    <row r="355" spans="1:20">
      <c r="A355" s="2" t="s">
        <v>971</v>
      </c>
      <c r="B355" s="2" t="s">
        <v>1002</v>
      </c>
      <c r="C355" s="2" t="s">
        <v>60</v>
      </c>
      <c r="D355" s="16">
        <v>0</v>
      </c>
      <c r="E355" s="2" t="s">
        <v>971</v>
      </c>
      <c r="F355" s="2" t="s">
        <v>1003</v>
      </c>
      <c r="G355" s="2" t="s">
        <v>1004</v>
      </c>
      <c r="H355" s="17">
        <v>1328544</v>
      </c>
      <c r="I355" s="2"/>
      <c r="J355" s="2"/>
      <c r="K355" s="17">
        <v>1328544</v>
      </c>
      <c r="L355" s="17">
        <v>142344</v>
      </c>
      <c r="M355" s="17">
        <v>1186200</v>
      </c>
      <c r="N355" s="17">
        <v>1328544</v>
      </c>
      <c r="O355" s="2"/>
      <c r="P355" s="2"/>
      <c r="Q355" s="31" t="s">
        <v>56</v>
      </c>
      <c r="R355" s="32">
        <f>+K355</f>
        <v>1328544</v>
      </c>
      <c r="S355" s="62"/>
      <c r="T355" s="5"/>
    </row>
    <row r="356" spans="1:20">
      <c r="A356" s="2" t="s">
        <v>17</v>
      </c>
      <c r="B356" s="2" t="s">
        <v>89</v>
      </c>
      <c r="C356" s="2" t="s">
        <v>73</v>
      </c>
      <c r="D356" s="16">
        <v>30</v>
      </c>
      <c r="E356" s="2" t="s">
        <v>24</v>
      </c>
      <c r="F356" s="2" t="s">
        <v>90</v>
      </c>
      <c r="G356" s="2" t="s">
        <v>91</v>
      </c>
      <c r="H356" s="17">
        <v>182032</v>
      </c>
      <c r="I356" s="2"/>
      <c r="J356" s="2"/>
      <c r="K356" s="17">
        <v>182032</v>
      </c>
      <c r="L356" s="17">
        <v>19503.43</v>
      </c>
      <c r="M356" s="17">
        <v>162528.57</v>
      </c>
      <c r="N356" s="17">
        <v>182032</v>
      </c>
      <c r="O356" s="2"/>
      <c r="P356" s="2"/>
      <c r="Q356" s="31" t="s">
        <v>56</v>
      </c>
      <c r="R356" s="61">
        <f>+K356+K357+K358+K359</f>
        <v>764540</v>
      </c>
      <c r="S356" s="62"/>
      <c r="T356" s="5"/>
    </row>
    <row r="357" spans="1:20">
      <c r="A357" s="2" t="s">
        <v>199</v>
      </c>
      <c r="B357" s="2" t="s">
        <v>279</v>
      </c>
      <c r="C357" s="2" t="s">
        <v>54</v>
      </c>
      <c r="D357" s="16">
        <v>90</v>
      </c>
      <c r="E357" s="2" t="s">
        <v>233</v>
      </c>
      <c r="F357" s="2" t="s">
        <v>90</v>
      </c>
      <c r="G357" s="2" t="s">
        <v>280</v>
      </c>
      <c r="H357" s="17">
        <v>191133</v>
      </c>
      <c r="I357" s="2"/>
      <c r="J357" s="2"/>
      <c r="K357" s="17">
        <v>191133</v>
      </c>
      <c r="L357" s="17">
        <v>20478.54</v>
      </c>
      <c r="M357" s="17">
        <v>170654.46</v>
      </c>
      <c r="N357" s="17">
        <v>191133</v>
      </c>
      <c r="O357" s="2"/>
      <c r="P357" s="2"/>
      <c r="Q357" s="31" t="s">
        <v>56</v>
      </c>
      <c r="R357" s="62"/>
      <c r="S357" s="62"/>
      <c r="T357" s="5"/>
    </row>
    <row r="358" spans="1:20">
      <c r="A358" s="2" t="s">
        <v>282</v>
      </c>
      <c r="B358" s="2" t="s">
        <v>289</v>
      </c>
      <c r="C358" s="2" t="s">
        <v>54</v>
      </c>
      <c r="D358" s="16">
        <v>90</v>
      </c>
      <c r="E358" s="2" t="s">
        <v>290</v>
      </c>
      <c r="F358" s="2" t="s">
        <v>90</v>
      </c>
      <c r="G358" s="2" t="s">
        <v>291</v>
      </c>
      <c r="H358" s="17">
        <v>282155</v>
      </c>
      <c r="I358" s="2"/>
      <c r="J358" s="2"/>
      <c r="K358" s="17">
        <v>282155</v>
      </c>
      <c r="L358" s="17">
        <v>30230.89</v>
      </c>
      <c r="M358" s="17">
        <v>251924.11</v>
      </c>
      <c r="N358" s="17">
        <v>282155</v>
      </c>
      <c r="O358" s="2"/>
      <c r="P358" s="2"/>
      <c r="Q358" s="31" t="s">
        <v>56</v>
      </c>
      <c r="R358" s="62"/>
      <c r="S358" s="62"/>
      <c r="T358" s="5"/>
    </row>
    <row r="359" spans="1:20">
      <c r="A359" s="2" t="s">
        <v>368</v>
      </c>
      <c r="B359" s="2" t="s">
        <v>440</v>
      </c>
      <c r="C359" s="2" t="s">
        <v>54</v>
      </c>
      <c r="D359" s="16">
        <v>90</v>
      </c>
      <c r="E359" s="2" t="s">
        <v>383</v>
      </c>
      <c r="F359" s="2" t="s">
        <v>90</v>
      </c>
      <c r="G359" s="2" t="s">
        <v>441</v>
      </c>
      <c r="H359" s="17">
        <v>109220</v>
      </c>
      <c r="I359" s="2"/>
      <c r="J359" s="2"/>
      <c r="K359" s="17">
        <v>109220</v>
      </c>
      <c r="L359" s="17">
        <v>11702.14</v>
      </c>
      <c r="M359" s="17">
        <v>97517.86</v>
      </c>
      <c r="N359" s="17">
        <v>109220</v>
      </c>
      <c r="O359" s="2"/>
      <c r="P359" s="2"/>
      <c r="Q359" s="31" t="s">
        <v>56</v>
      </c>
      <c r="R359" s="63"/>
      <c r="S359" s="62"/>
      <c r="T359" s="5"/>
    </row>
    <row r="360" spans="1:20">
      <c r="A360" s="2" t="s">
        <v>769</v>
      </c>
      <c r="B360" s="2" t="s">
        <v>789</v>
      </c>
      <c r="C360" s="2" t="s">
        <v>60</v>
      </c>
      <c r="D360" s="16">
        <v>0</v>
      </c>
      <c r="E360" s="2" t="s">
        <v>769</v>
      </c>
      <c r="F360" s="2" t="s">
        <v>790</v>
      </c>
      <c r="G360" s="2" t="s">
        <v>791</v>
      </c>
      <c r="H360" s="17">
        <v>53782.400000000001</v>
      </c>
      <c r="I360" s="2"/>
      <c r="J360" s="2"/>
      <c r="K360" s="17">
        <v>53782.400000000001</v>
      </c>
      <c r="L360" s="17">
        <v>5762.4</v>
      </c>
      <c r="M360" s="17">
        <v>48020</v>
      </c>
      <c r="N360" s="17">
        <v>53782.400000000001</v>
      </c>
      <c r="O360" s="2"/>
      <c r="P360" s="2"/>
      <c r="Q360" s="31" t="s">
        <v>56</v>
      </c>
      <c r="R360" s="32">
        <f>+K360</f>
        <v>53782.400000000001</v>
      </c>
      <c r="S360" s="62"/>
      <c r="T360" s="5"/>
    </row>
    <row r="361" spans="1:20">
      <c r="A361" s="2" t="s">
        <v>1048</v>
      </c>
      <c r="B361" s="2" t="s">
        <v>1073</v>
      </c>
      <c r="C361" s="2" t="s">
        <v>1074</v>
      </c>
      <c r="D361" s="16">
        <v>0</v>
      </c>
      <c r="E361" s="2" t="s">
        <v>1048</v>
      </c>
      <c r="F361" s="2" t="s">
        <v>1075</v>
      </c>
      <c r="G361" s="2" t="s">
        <v>1076</v>
      </c>
      <c r="H361" s="17">
        <v>919820</v>
      </c>
      <c r="I361" s="19">
        <v>-18396.400000000001</v>
      </c>
      <c r="J361" s="2"/>
      <c r="K361" s="17">
        <v>901423.6</v>
      </c>
      <c r="L361" s="17">
        <v>96581.1</v>
      </c>
      <c r="M361" s="17">
        <v>804842.5</v>
      </c>
      <c r="N361" s="17">
        <v>901423.6</v>
      </c>
      <c r="O361" s="2"/>
      <c r="P361" s="2"/>
      <c r="Q361" s="31" t="s">
        <v>56</v>
      </c>
      <c r="R361" s="61">
        <f>+K361+K362</f>
        <v>1802847.2</v>
      </c>
      <c r="S361" s="62"/>
      <c r="T361" s="5"/>
    </row>
    <row r="362" spans="1:20">
      <c r="A362" s="2" t="s">
        <v>1048</v>
      </c>
      <c r="B362" s="2" t="s">
        <v>1085</v>
      </c>
      <c r="C362" s="2" t="s">
        <v>1074</v>
      </c>
      <c r="D362" s="16">
        <v>0</v>
      </c>
      <c r="E362" s="2" t="s">
        <v>1048</v>
      </c>
      <c r="F362" s="2" t="s">
        <v>1075</v>
      </c>
      <c r="G362" s="2" t="s">
        <v>1076</v>
      </c>
      <c r="H362" s="17">
        <v>919820</v>
      </c>
      <c r="I362" s="19">
        <v>-18396.400000000001</v>
      </c>
      <c r="J362" s="2"/>
      <c r="K362" s="17">
        <v>901423.6</v>
      </c>
      <c r="L362" s="17">
        <v>96581.1</v>
      </c>
      <c r="M362" s="17">
        <v>804842.5</v>
      </c>
      <c r="N362" s="17">
        <v>901423.6</v>
      </c>
      <c r="O362" s="2"/>
      <c r="P362" s="2"/>
      <c r="Q362" s="31" t="s">
        <v>56</v>
      </c>
      <c r="R362" s="63"/>
      <c r="S362" s="62"/>
      <c r="T362" s="5"/>
    </row>
    <row r="363" spans="1:20">
      <c r="A363" s="2" t="s">
        <v>971</v>
      </c>
      <c r="B363" s="2" t="s">
        <v>1010</v>
      </c>
      <c r="C363" s="2" t="s">
        <v>1011</v>
      </c>
      <c r="D363" s="16">
        <v>60</v>
      </c>
      <c r="E363" s="2" t="s">
        <v>991</v>
      </c>
      <c r="F363" s="2" t="s">
        <v>1012</v>
      </c>
      <c r="G363" s="2" t="s">
        <v>1013</v>
      </c>
      <c r="H363" s="17">
        <v>168032</v>
      </c>
      <c r="I363" s="2"/>
      <c r="J363" s="2"/>
      <c r="K363" s="17">
        <v>168032</v>
      </c>
      <c r="L363" s="17">
        <v>18003.43</v>
      </c>
      <c r="M363" s="17">
        <v>150028.57</v>
      </c>
      <c r="N363" s="17">
        <v>168032</v>
      </c>
      <c r="O363" s="2"/>
      <c r="P363" s="2"/>
      <c r="Q363" s="31" t="s">
        <v>56</v>
      </c>
      <c r="R363" s="61">
        <f>+K363+K364+K365+K366</f>
        <v>547152</v>
      </c>
      <c r="S363" s="62"/>
      <c r="T363" s="5"/>
    </row>
    <row r="364" spans="1:20">
      <c r="A364" s="2" t="s">
        <v>971</v>
      </c>
      <c r="B364" s="2" t="s">
        <v>1016</v>
      </c>
      <c r="C364" s="2" t="s">
        <v>1011</v>
      </c>
      <c r="D364" s="16">
        <v>60</v>
      </c>
      <c r="E364" s="2" t="s">
        <v>991</v>
      </c>
      <c r="F364" s="2" t="s">
        <v>1012</v>
      </c>
      <c r="G364" s="2" t="s">
        <v>1017</v>
      </c>
      <c r="H364" s="17">
        <v>135474</v>
      </c>
      <c r="I364" s="2"/>
      <c r="J364" s="2"/>
      <c r="K364" s="17">
        <v>135474</v>
      </c>
      <c r="L364" s="17">
        <v>14515.07</v>
      </c>
      <c r="M364" s="17">
        <v>120958.93</v>
      </c>
      <c r="N364" s="17">
        <v>135474</v>
      </c>
      <c r="O364" s="2"/>
      <c r="P364" s="2"/>
      <c r="Q364" s="31" t="s">
        <v>56</v>
      </c>
      <c r="R364" s="62"/>
      <c r="S364" s="62"/>
      <c r="T364" s="5"/>
    </row>
    <row r="365" spans="1:20">
      <c r="A365" s="2" t="s">
        <v>971</v>
      </c>
      <c r="B365" s="2" t="s">
        <v>1018</v>
      </c>
      <c r="C365" s="2" t="s">
        <v>1011</v>
      </c>
      <c r="D365" s="16">
        <v>60</v>
      </c>
      <c r="E365" s="2" t="s">
        <v>991</v>
      </c>
      <c r="F365" s="2" t="s">
        <v>1012</v>
      </c>
      <c r="G365" s="2" t="s">
        <v>1019</v>
      </c>
      <c r="H365" s="17">
        <v>75614</v>
      </c>
      <c r="I365" s="2"/>
      <c r="J365" s="2"/>
      <c r="K365" s="17">
        <v>75614</v>
      </c>
      <c r="L365" s="17">
        <v>8101.5</v>
      </c>
      <c r="M365" s="17">
        <v>67512.5</v>
      </c>
      <c r="N365" s="17">
        <v>75614</v>
      </c>
      <c r="O365" s="2"/>
      <c r="P365" s="2"/>
      <c r="Q365" s="31" t="s">
        <v>56</v>
      </c>
      <c r="R365" s="62"/>
      <c r="S365" s="62"/>
      <c r="T365" s="5"/>
    </row>
    <row r="366" spans="1:20">
      <c r="A366" s="2" t="s">
        <v>971</v>
      </c>
      <c r="B366" s="2" t="s">
        <v>1020</v>
      </c>
      <c r="C366" s="2" t="s">
        <v>1011</v>
      </c>
      <c r="D366" s="16">
        <v>60</v>
      </c>
      <c r="E366" s="2" t="s">
        <v>991</v>
      </c>
      <c r="F366" s="2" t="s">
        <v>1012</v>
      </c>
      <c r="G366" s="2" t="s">
        <v>1021</v>
      </c>
      <c r="H366" s="17">
        <v>168032</v>
      </c>
      <c r="I366" s="2"/>
      <c r="J366" s="2"/>
      <c r="K366" s="17">
        <v>168032</v>
      </c>
      <c r="L366" s="17">
        <v>18003.43</v>
      </c>
      <c r="M366" s="17">
        <v>150028.57</v>
      </c>
      <c r="N366" s="17">
        <v>168032</v>
      </c>
      <c r="O366" s="2"/>
      <c r="P366" s="2"/>
      <c r="Q366" s="31" t="s">
        <v>56</v>
      </c>
      <c r="R366" s="63"/>
      <c r="S366" s="62"/>
      <c r="T366" s="5"/>
    </row>
    <row r="367" spans="1:20">
      <c r="A367" s="2" t="s">
        <v>93</v>
      </c>
      <c r="B367" s="2" t="s">
        <v>166</v>
      </c>
      <c r="C367" s="2" t="s">
        <v>167</v>
      </c>
      <c r="D367" s="16">
        <v>90</v>
      </c>
      <c r="E367" s="2" t="s">
        <v>147</v>
      </c>
      <c r="F367" s="2" t="s">
        <v>168</v>
      </c>
      <c r="G367" s="2" t="s">
        <v>169</v>
      </c>
      <c r="H367" s="17">
        <v>205370</v>
      </c>
      <c r="I367" s="2"/>
      <c r="J367" s="2"/>
      <c r="K367" s="17">
        <v>205370</v>
      </c>
      <c r="L367" s="17">
        <v>22003.93</v>
      </c>
      <c r="M367" s="17">
        <v>183366.07</v>
      </c>
      <c r="N367" s="17">
        <v>205370</v>
      </c>
      <c r="O367" s="2"/>
      <c r="P367" s="2"/>
      <c r="Q367" s="31" t="s">
        <v>56</v>
      </c>
      <c r="R367" s="61">
        <f>+K367+K368+K369+K370+K371+K372+K373+K374</f>
        <v>1490916.8399999999</v>
      </c>
      <c r="S367" s="62"/>
      <c r="T367" s="5"/>
    </row>
    <row r="368" spans="1:20">
      <c r="A368" s="2" t="s">
        <v>93</v>
      </c>
      <c r="B368" s="2" t="s">
        <v>170</v>
      </c>
      <c r="C368" s="2" t="s">
        <v>167</v>
      </c>
      <c r="D368" s="16">
        <v>90</v>
      </c>
      <c r="E368" s="2" t="s">
        <v>147</v>
      </c>
      <c r="F368" s="2" t="s">
        <v>168</v>
      </c>
      <c r="G368" s="2" t="s">
        <v>171</v>
      </c>
      <c r="H368" s="17">
        <v>70560</v>
      </c>
      <c r="I368" s="2"/>
      <c r="J368" s="2"/>
      <c r="K368" s="17">
        <v>70560</v>
      </c>
      <c r="L368" s="17">
        <v>7560</v>
      </c>
      <c r="M368" s="17">
        <v>63000</v>
      </c>
      <c r="N368" s="17">
        <v>70560</v>
      </c>
      <c r="O368" s="2"/>
      <c r="P368" s="2"/>
      <c r="Q368" s="31" t="s">
        <v>56</v>
      </c>
      <c r="R368" s="62"/>
      <c r="S368" s="62"/>
      <c r="T368" s="5"/>
    </row>
    <row r="369" spans="1:20">
      <c r="A369" s="2" t="s">
        <v>368</v>
      </c>
      <c r="B369" s="2" t="s">
        <v>394</v>
      </c>
      <c r="C369" s="2" t="s">
        <v>167</v>
      </c>
      <c r="D369" s="16">
        <v>90</v>
      </c>
      <c r="E369" s="2" t="s">
        <v>383</v>
      </c>
      <c r="F369" s="2" t="s">
        <v>168</v>
      </c>
      <c r="G369" s="2" t="s">
        <v>395</v>
      </c>
      <c r="H369" s="17">
        <v>82150</v>
      </c>
      <c r="I369" s="2"/>
      <c r="J369" s="2"/>
      <c r="K369" s="17">
        <v>82150</v>
      </c>
      <c r="L369" s="17">
        <v>8801.7900000000009</v>
      </c>
      <c r="M369" s="17">
        <v>73348.210000000006</v>
      </c>
      <c r="N369" s="17">
        <v>82150</v>
      </c>
      <c r="O369" s="2"/>
      <c r="P369" s="2"/>
      <c r="Q369" s="31" t="s">
        <v>56</v>
      </c>
      <c r="R369" s="62"/>
      <c r="S369" s="62"/>
      <c r="T369" s="5"/>
    </row>
    <row r="370" spans="1:20">
      <c r="A370" s="2" t="s">
        <v>368</v>
      </c>
      <c r="B370" s="2" t="s">
        <v>396</v>
      </c>
      <c r="C370" s="2" t="s">
        <v>167</v>
      </c>
      <c r="D370" s="16">
        <v>90</v>
      </c>
      <c r="E370" s="2" t="s">
        <v>383</v>
      </c>
      <c r="F370" s="2" t="s">
        <v>168</v>
      </c>
      <c r="G370" s="2" t="s">
        <v>397</v>
      </c>
      <c r="H370" s="17">
        <v>175940</v>
      </c>
      <c r="I370" s="2"/>
      <c r="J370" s="2"/>
      <c r="K370" s="17">
        <v>175940</v>
      </c>
      <c r="L370" s="17">
        <v>18850.71</v>
      </c>
      <c r="M370" s="17">
        <v>157089.29</v>
      </c>
      <c r="N370" s="17">
        <v>175940</v>
      </c>
      <c r="O370" s="2"/>
      <c r="P370" s="2"/>
      <c r="Q370" s="31" t="s">
        <v>56</v>
      </c>
      <c r="R370" s="62"/>
      <c r="S370" s="62"/>
      <c r="T370" s="5"/>
    </row>
    <row r="371" spans="1:20">
      <c r="A371" s="2" t="s">
        <v>505</v>
      </c>
      <c r="B371" s="2" t="s">
        <v>524</v>
      </c>
      <c r="C371" s="2" t="s">
        <v>60</v>
      </c>
      <c r="D371" s="16">
        <v>0</v>
      </c>
      <c r="E371" s="2" t="s">
        <v>505</v>
      </c>
      <c r="F371" s="2" t="s">
        <v>168</v>
      </c>
      <c r="G371" s="2" t="s">
        <v>525</v>
      </c>
      <c r="H371" s="17">
        <v>58172.84</v>
      </c>
      <c r="I371" s="2"/>
      <c r="J371" s="2"/>
      <c r="K371" s="17">
        <v>58172.84</v>
      </c>
      <c r="L371" s="17">
        <v>6232.8</v>
      </c>
      <c r="M371" s="17">
        <v>51940.04</v>
      </c>
      <c r="N371" s="17">
        <v>58172.84</v>
      </c>
      <c r="O371" s="2"/>
      <c r="P371" s="2"/>
      <c r="Q371" s="31" t="s">
        <v>56</v>
      </c>
      <c r="R371" s="62"/>
      <c r="S371" s="62"/>
      <c r="T371" s="5"/>
    </row>
    <row r="372" spans="1:20">
      <c r="A372" s="2" t="s">
        <v>596</v>
      </c>
      <c r="B372" s="2" t="s">
        <v>628</v>
      </c>
      <c r="C372" s="2" t="s">
        <v>167</v>
      </c>
      <c r="D372" s="16">
        <v>90</v>
      </c>
      <c r="E372" s="2" t="s">
        <v>597</v>
      </c>
      <c r="F372" s="2" t="s">
        <v>168</v>
      </c>
      <c r="G372" s="2" t="s">
        <v>629</v>
      </c>
      <c r="H372" s="17">
        <v>52800</v>
      </c>
      <c r="I372" s="2"/>
      <c r="J372" s="2"/>
      <c r="K372" s="17">
        <v>52800</v>
      </c>
      <c r="L372" s="17">
        <v>5657.14</v>
      </c>
      <c r="M372" s="17">
        <v>47142.86</v>
      </c>
      <c r="N372" s="17">
        <v>52800</v>
      </c>
      <c r="O372" s="2"/>
      <c r="P372" s="2"/>
      <c r="Q372" s="31" t="s">
        <v>56</v>
      </c>
      <c r="R372" s="62"/>
      <c r="S372" s="62"/>
      <c r="T372" s="5"/>
    </row>
    <row r="373" spans="1:20">
      <c r="A373" s="2" t="s">
        <v>1467</v>
      </c>
      <c r="B373" s="2" t="s">
        <v>1483</v>
      </c>
      <c r="C373" s="2" t="s">
        <v>167</v>
      </c>
      <c r="D373" s="16">
        <v>90</v>
      </c>
      <c r="E373" s="2" t="s">
        <v>1479</v>
      </c>
      <c r="F373" s="2" t="s">
        <v>168</v>
      </c>
      <c r="G373" s="2" t="s">
        <v>1484</v>
      </c>
      <c r="H373" s="17">
        <v>69380</v>
      </c>
      <c r="I373" s="2"/>
      <c r="J373" s="2"/>
      <c r="K373" s="17">
        <v>69380</v>
      </c>
      <c r="L373" s="17">
        <v>7433.57</v>
      </c>
      <c r="M373" s="17">
        <v>61946.43</v>
      </c>
      <c r="N373" s="17">
        <v>69380</v>
      </c>
      <c r="O373" s="2"/>
      <c r="P373" s="2"/>
      <c r="Q373" s="31" t="s">
        <v>56</v>
      </c>
      <c r="R373" s="62"/>
      <c r="S373" s="62"/>
      <c r="T373" s="5"/>
    </row>
    <row r="374" spans="1:20">
      <c r="A374" s="2" t="s">
        <v>1553</v>
      </c>
      <c r="B374" s="2" t="s">
        <v>1552</v>
      </c>
      <c r="C374" s="2" t="s">
        <v>167</v>
      </c>
      <c r="D374" s="16">
        <v>90</v>
      </c>
      <c r="E374" s="2" t="s">
        <v>1554</v>
      </c>
      <c r="F374" s="2" t="s">
        <v>168</v>
      </c>
      <c r="G374" s="2" t="s">
        <v>1555</v>
      </c>
      <c r="H374" s="17">
        <v>776544</v>
      </c>
      <c r="I374" s="2"/>
      <c r="J374" s="2"/>
      <c r="K374" s="17">
        <v>776544</v>
      </c>
      <c r="L374" s="17">
        <v>83201.14</v>
      </c>
      <c r="M374" s="17">
        <v>693342.86</v>
      </c>
      <c r="N374" s="17">
        <v>776544</v>
      </c>
      <c r="O374" s="2"/>
      <c r="P374" s="2"/>
      <c r="Q374" s="31" t="s">
        <v>56</v>
      </c>
      <c r="R374" s="63"/>
      <c r="S374" s="62"/>
      <c r="T374" s="5"/>
    </row>
    <row r="375" spans="1:20">
      <c r="A375" s="2" t="s">
        <v>93</v>
      </c>
      <c r="B375" s="2" t="s">
        <v>189</v>
      </c>
      <c r="C375" s="2" t="s">
        <v>60</v>
      </c>
      <c r="D375" s="16">
        <v>0</v>
      </c>
      <c r="E375" s="2" t="s">
        <v>93</v>
      </c>
      <c r="F375" s="2" t="s">
        <v>190</v>
      </c>
      <c r="G375" s="2" t="s">
        <v>191</v>
      </c>
      <c r="H375" s="17">
        <v>73932</v>
      </c>
      <c r="I375" s="2"/>
      <c r="J375" s="2"/>
      <c r="K375" s="17">
        <v>73932</v>
      </c>
      <c r="L375" s="17">
        <v>7921.29</v>
      </c>
      <c r="M375" s="17">
        <v>66010.710000000006</v>
      </c>
      <c r="N375" s="17">
        <v>73932</v>
      </c>
      <c r="O375" s="2"/>
      <c r="P375" s="2"/>
      <c r="Q375" s="31" t="s">
        <v>56</v>
      </c>
      <c r="R375" s="61">
        <f>+K375+K376+K377+K378+K379+K380+K381+K382+K383+K384+K385+K386+K387+K388+K389+K390+K391+K392+K393+K394+K395+K396+K397</f>
        <v>3518043.02</v>
      </c>
      <c r="S375" s="62"/>
      <c r="T375" s="5"/>
    </row>
    <row r="376" spans="1:20">
      <c r="A376" s="2" t="s">
        <v>199</v>
      </c>
      <c r="B376" s="2" t="s">
        <v>220</v>
      </c>
      <c r="C376" s="2" t="s">
        <v>60</v>
      </c>
      <c r="D376" s="16">
        <v>0</v>
      </c>
      <c r="E376" s="2" t="s">
        <v>199</v>
      </c>
      <c r="F376" s="2" t="s">
        <v>190</v>
      </c>
      <c r="G376" s="2" t="s">
        <v>221</v>
      </c>
      <c r="H376" s="17">
        <v>11407.2</v>
      </c>
      <c r="I376" s="2"/>
      <c r="J376" s="2"/>
      <c r="K376" s="17">
        <v>11407.2</v>
      </c>
      <c r="L376" s="17">
        <v>1222.2</v>
      </c>
      <c r="M376" s="17">
        <v>10185</v>
      </c>
      <c r="N376" s="17">
        <v>11407.2</v>
      </c>
      <c r="O376" s="2"/>
      <c r="P376" s="2"/>
      <c r="Q376" s="31" t="s">
        <v>56</v>
      </c>
      <c r="R376" s="62"/>
      <c r="S376" s="62"/>
      <c r="T376" s="5"/>
    </row>
    <row r="377" spans="1:20">
      <c r="A377" s="2" t="s">
        <v>199</v>
      </c>
      <c r="B377" s="2" t="s">
        <v>240</v>
      </c>
      <c r="C377" s="2" t="s">
        <v>60</v>
      </c>
      <c r="D377" s="16">
        <v>0</v>
      </c>
      <c r="E377" s="2" t="s">
        <v>199</v>
      </c>
      <c r="F377" s="2" t="s">
        <v>190</v>
      </c>
      <c r="G377" s="2" t="s">
        <v>241</v>
      </c>
      <c r="H377" s="17">
        <v>7760</v>
      </c>
      <c r="I377" s="2"/>
      <c r="J377" s="2"/>
      <c r="K377" s="17">
        <v>7760</v>
      </c>
      <c r="L377" s="18">
        <v>831.43</v>
      </c>
      <c r="M377" s="17">
        <v>6928.57</v>
      </c>
      <c r="N377" s="17">
        <v>7760</v>
      </c>
      <c r="O377" s="2"/>
      <c r="P377" s="2"/>
      <c r="Q377" s="31" t="s">
        <v>56</v>
      </c>
      <c r="R377" s="62"/>
      <c r="S377" s="62"/>
      <c r="T377" s="5"/>
    </row>
    <row r="378" spans="1:20">
      <c r="A378" s="2" t="s">
        <v>282</v>
      </c>
      <c r="B378" s="2" t="s">
        <v>361</v>
      </c>
      <c r="C378" s="2" t="s">
        <v>167</v>
      </c>
      <c r="D378" s="16">
        <v>90</v>
      </c>
      <c r="E378" s="2" t="s">
        <v>290</v>
      </c>
      <c r="F378" s="2" t="s">
        <v>190</v>
      </c>
      <c r="G378" s="2" t="s">
        <v>362</v>
      </c>
      <c r="H378" s="17">
        <v>260736</v>
      </c>
      <c r="I378" s="2"/>
      <c r="J378" s="2"/>
      <c r="K378" s="17">
        <v>260736</v>
      </c>
      <c r="L378" s="17">
        <v>27936</v>
      </c>
      <c r="M378" s="17">
        <v>232800</v>
      </c>
      <c r="N378" s="17">
        <v>260736</v>
      </c>
      <c r="O378" s="2"/>
      <c r="P378" s="2"/>
      <c r="Q378" s="31" t="s">
        <v>56</v>
      </c>
      <c r="R378" s="62"/>
      <c r="S378" s="62"/>
      <c r="T378" s="5"/>
    </row>
    <row r="379" spans="1:20">
      <c r="A379" s="2" t="s">
        <v>282</v>
      </c>
      <c r="B379" s="2" t="s">
        <v>365</v>
      </c>
      <c r="C379" s="2" t="s">
        <v>167</v>
      </c>
      <c r="D379" s="16">
        <v>90</v>
      </c>
      <c r="E379" s="2" t="s">
        <v>290</v>
      </c>
      <c r="F379" s="2" t="s">
        <v>190</v>
      </c>
      <c r="G379" s="2" t="s">
        <v>366</v>
      </c>
      <c r="H379" s="17">
        <v>229696</v>
      </c>
      <c r="I379" s="2"/>
      <c r="J379" s="2"/>
      <c r="K379" s="17">
        <v>229696</v>
      </c>
      <c r="L379" s="17">
        <v>24610.29</v>
      </c>
      <c r="M379" s="17">
        <v>205085.71</v>
      </c>
      <c r="N379" s="17">
        <v>229696</v>
      </c>
      <c r="O379" s="2"/>
      <c r="P379" s="2"/>
      <c r="Q379" s="31" t="s">
        <v>56</v>
      </c>
      <c r="R379" s="62"/>
      <c r="S379" s="62"/>
      <c r="T379" s="5"/>
    </row>
    <row r="380" spans="1:20">
      <c r="A380" s="2" t="s">
        <v>368</v>
      </c>
      <c r="B380" s="2" t="s">
        <v>386</v>
      </c>
      <c r="C380" s="2" t="s">
        <v>60</v>
      </c>
      <c r="D380" s="16">
        <v>0</v>
      </c>
      <c r="E380" s="2" t="s">
        <v>368</v>
      </c>
      <c r="F380" s="2" t="s">
        <v>190</v>
      </c>
      <c r="G380" s="2" t="s">
        <v>387</v>
      </c>
      <c r="H380" s="17">
        <v>208317.2</v>
      </c>
      <c r="I380" s="2"/>
      <c r="J380" s="2"/>
      <c r="K380" s="17">
        <v>208317.2</v>
      </c>
      <c r="L380" s="17">
        <v>22319.7</v>
      </c>
      <c r="M380" s="17">
        <v>185997.5</v>
      </c>
      <c r="N380" s="17">
        <v>208317.2</v>
      </c>
      <c r="O380" s="2"/>
      <c r="P380" s="2"/>
      <c r="Q380" s="31" t="s">
        <v>56</v>
      </c>
      <c r="R380" s="62"/>
      <c r="S380" s="62"/>
      <c r="T380" s="5"/>
    </row>
    <row r="381" spans="1:20">
      <c r="A381" s="2" t="s">
        <v>448</v>
      </c>
      <c r="B381" s="2" t="s">
        <v>492</v>
      </c>
      <c r="C381" s="2" t="s">
        <v>167</v>
      </c>
      <c r="D381" s="16">
        <v>90</v>
      </c>
      <c r="E381" s="2" t="s">
        <v>479</v>
      </c>
      <c r="F381" s="2" t="s">
        <v>190</v>
      </c>
      <c r="G381" s="2" t="s">
        <v>493</v>
      </c>
      <c r="H381" s="17">
        <v>270048</v>
      </c>
      <c r="I381" s="2"/>
      <c r="J381" s="2"/>
      <c r="K381" s="17">
        <v>270048</v>
      </c>
      <c r="L381" s="17">
        <v>28933.71</v>
      </c>
      <c r="M381" s="17">
        <v>241114.29</v>
      </c>
      <c r="N381" s="17">
        <v>270048</v>
      </c>
      <c r="O381" s="2"/>
      <c r="P381" s="2"/>
      <c r="Q381" s="31" t="s">
        <v>56</v>
      </c>
      <c r="R381" s="62"/>
      <c r="S381" s="62"/>
      <c r="T381" s="5"/>
    </row>
    <row r="382" spans="1:20">
      <c r="A382" s="2" t="s">
        <v>505</v>
      </c>
      <c r="B382" s="2" t="s">
        <v>526</v>
      </c>
      <c r="C382" s="2" t="s">
        <v>60</v>
      </c>
      <c r="D382" s="16">
        <v>0</v>
      </c>
      <c r="E382" s="2" t="s">
        <v>505</v>
      </c>
      <c r="F382" s="2" t="s">
        <v>190</v>
      </c>
      <c r="G382" s="2" t="s">
        <v>527</v>
      </c>
      <c r="H382" s="17">
        <v>32000</v>
      </c>
      <c r="I382" s="2"/>
      <c r="J382" s="2"/>
      <c r="K382" s="17">
        <v>32000</v>
      </c>
      <c r="L382" s="17">
        <v>3428.57</v>
      </c>
      <c r="M382" s="17">
        <v>28571.43</v>
      </c>
      <c r="N382" s="17">
        <v>32000</v>
      </c>
      <c r="O382" s="2"/>
      <c r="P382" s="2"/>
      <c r="Q382" s="31" t="s">
        <v>56</v>
      </c>
      <c r="R382" s="62"/>
      <c r="S382" s="62"/>
      <c r="T382" s="5"/>
    </row>
    <row r="383" spans="1:20">
      <c r="A383" s="2" t="s">
        <v>505</v>
      </c>
      <c r="B383" s="2" t="s">
        <v>531</v>
      </c>
      <c r="C383" s="2" t="s">
        <v>167</v>
      </c>
      <c r="D383" s="16">
        <v>90</v>
      </c>
      <c r="E383" s="2" t="s">
        <v>532</v>
      </c>
      <c r="F383" s="2" t="s">
        <v>190</v>
      </c>
      <c r="G383" s="2" t="s">
        <v>533</v>
      </c>
      <c r="H383" s="17">
        <v>470460</v>
      </c>
      <c r="I383" s="2"/>
      <c r="J383" s="2"/>
      <c r="K383" s="17">
        <v>470460</v>
      </c>
      <c r="L383" s="17">
        <v>50406.43</v>
      </c>
      <c r="M383" s="17">
        <v>420053.57</v>
      </c>
      <c r="N383" s="17">
        <v>470460</v>
      </c>
      <c r="O383" s="2"/>
      <c r="P383" s="2"/>
      <c r="Q383" s="31" t="s">
        <v>56</v>
      </c>
      <c r="R383" s="62"/>
      <c r="S383" s="62"/>
      <c r="T383" s="5"/>
    </row>
    <row r="384" spans="1:20">
      <c r="A384" s="2" t="s">
        <v>505</v>
      </c>
      <c r="B384" s="2" t="s">
        <v>534</v>
      </c>
      <c r="C384" s="2" t="s">
        <v>60</v>
      </c>
      <c r="D384" s="16">
        <v>0</v>
      </c>
      <c r="E384" s="2" t="s">
        <v>505</v>
      </c>
      <c r="F384" s="2" t="s">
        <v>190</v>
      </c>
      <c r="G384" s="2" t="s">
        <v>535</v>
      </c>
      <c r="H384" s="17">
        <v>98552</v>
      </c>
      <c r="I384" s="2"/>
      <c r="J384" s="2"/>
      <c r="K384" s="17">
        <v>98552</v>
      </c>
      <c r="L384" s="17">
        <v>10559.14</v>
      </c>
      <c r="M384" s="17">
        <v>87992.86</v>
      </c>
      <c r="N384" s="17">
        <v>98552</v>
      </c>
      <c r="O384" s="2"/>
      <c r="P384" s="2"/>
      <c r="Q384" s="31" t="s">
        <v>56</v>
      </c>
      <c r="R384" s="62"/>
      <c r="S384" s="62"/>
      <c r="T384" s="5"/>
    </row>
    <row r="385" spans="1:20">
      <c r="A385" s="2" t="s">
        <v>505</v>
      </c>
      <c r="B385" s="2" t="s">
        <v>536</v>
      </c>
      <c r="C385" s="2" t="s">
        <v>60</v>
      </c>
      <c r="D385" s="16">
        <v>0</v>
      </c>
      <c r="E385" s="2" t="s">
        <v>505</v>
      </c>
      <c r="F385" s="2" t="s">
        <v>190</v>
      </c>
      <c r="G385" s="2" t="s">
        <v>537</v>
      </c>
      <c r="H385" s="17">
        <v>78570</v>
      </c>
      <c r="I385" s="2"/>
      <c r="J385" s="2"/>
      <c r="K385" s="17">
        <v>78570</v>
      </c>
      <c r="L385" s="17">
        <v>8418.2099999999991</v>
      </c>
      <c r="M385" s="17">
        <v>70151.789999999994</v>
      </c>
      <c r="N385" s="17">
        <v>78570</v>
      </c>
      <c r="O385" s="2"/>
      <c r="P385" s="2"/>
      <c r="Q385" s="31" t="s">
        <v>56</v>
      </c>
      <c r="R385" s="62"/>
      <c r="S385" s="62"/>
      <c r="T385" s="5"/>
    </row>
    <row r="386" spans="1:20">
      <c r="A386" s="2" t="s">
        <v>505</v>
      </c>
      <c r="B386" s="2" t="s">
        <v>538</v>
      </c>
      <c r="C386" s="2" t="s">
        <v>60</v>
      </c>
      <c r="D386" s="16">
        <v>0</v>
      </c>
      <c r="E386" s="2" t="s">
        <v>505</v>
      </c>
      <c r="F386" s="2" t="s">
        <v>190</v>
      </c>
      <c r="G386" s="2" t="s">
        <v>539</v>
      </c>
      <c r="H386" s="17">
        <v>9506</v>
      </c>
      <c r="I386" s="2"/>
      <c r="J386" s="2"/>
      <c r="K386" s="17">
        <v>9506</v>
      </c>
      <c r="L386" s="17">
        <v>1018.5</v>
      </c>
      <c r="M386" s="17">
        <v>8487.5</v>
      </c>
      <c r="N386" s="17">
        <v>9506</v>
      </c>
      <c r="O386" s="2"/>
      <c r="P386" s="2"/>
      <c r="Q386" s="31" t="s">
        <v>56</v>
      </c>
      <c r="R386" s="62"/>
      <c r="S386" s="62"/>
      <c r="T386" s="5"/>
    </row>
    <row r="387" spans="1:20">
      <c r="A387" s="2" t="s">
        <v>505</v>
      </c>
      <c r="B387" s="2" t="s">
        <v>571</v>
      </c>
      <c r="C387" s="2" t="s">
        <v>167</v>
      </c>
      <c r="D387" s="16">
        <v>90</v>
      </c>
      <c r="E387" s="2" t="s">
        <v>532</v>
      </c>
      <c r="F387" s="2" t="s">
        <v>190</v>
      </c>
      <c r="G387" s="2" t="s">
        <v>572</v>
      </c>
      <c r="H387" s="17">
        <v>260736</v>
      </c>
      <c r="I387" s="2"/>
      <c r="J387" s="2"/>
      <c r="K387" s="17">
        <v>260736</v>
      </c>
      <c r="L387" s="17">
        <v>27936</v>
      </c>
      <c r="M387" s="17">
        <v>232800</v>
      </c>
      <c r="N387" s="17">
        <v>260736</v>
      </c>
      <c r="O387" s="2"/>
      <c r="P387" s="2"/>
      <c r="Q387" s="31" t="s">
        <v>56</v>
      </c>
      <c r="R387" s="62"/>
      <c r="S387" s="62"/>
      <c r="T387" s="5"/>
    </row>
    <row r="388" spans="1:20">
      <c r="A388" s="2" t="s">
        <v>596</v>
      </c>
      <c r="B388" s="2" t="s">
        <v>602</v>
      </c>
      <c r="C388" s="2" t="s">
        <v>167</v>
      </c>
      <c r="D388" s="16">
        <v>90</v>
      </c>
      <c r="E388" s="2" t="s">
        <v>597</v>
      </c>
      <c r="F388" s="2" t="s">
        <v>190</v>
      </c>
      <c r="G388" s="2" t="s">
        <v>603</v>
      </c>
      <c r="H388" s="17">
        <v>313116</v>
      </c>
      <c r="I388" s="2"/>
      <c r="J388" s="2"/>
      <c r="K388" s="17">
        <v>313116</v>
      </c>
      <c r="L388" s="17">
        <v>33548.14</v>
      </c>
      <c r="M388" s="17">
        <v>279567.86</v>
      </c>
      <c r="N388" s="17">
        <v>313116</v>
      </c>
      <c r="O388" s="2"/>
      <c r="P388" s="2"/>
      <c r="Q388" s="31" t="s">
        <v>56</v>
      </c>
      <c r="R388" s="62"/>
      <c r="S388" s="62"/>
      <c r="T388" s="5"/>
    </row>
    <row r="389" spans="1:20">
      <c r="A389" s="2" t="s">
        <v>637</v>
      </c>
      <c r="B389" s="2" t="s">
        <v>654</v>
      </c>
      <c r="C389" s="2" t="s">
        <v>167</v>
      </c>
      <c r="D389" s="16">
        <v>90</v>
      </c>
      <c r="E389" s="2" t="s">
        <v>655</v>
      </c>
      <c r="F389" s="2" t="s">
        <v>190</v>
      </c>
      <c r="G389" s="2" t="s">
        <v>656</v>
      </c>
      <c r="H389" s="17">
        <v>205540</v>
      </c>
      <c r="I389" s="2"/>
      <c r="J389" s="2"/>
      <c r="K389" s="17">
        <v>205540</v>
      </c>
      <c r="L389" s="17">
        <v>22022.14</v>
      </c>
      <c r="M389" s="17">
        <v>183517.86</v>
      </c>
      <c r="N389" s="17">
        <v>205540</v>
      </c>
      <c r="O389" s="2"/>
      <c r="P389" s="2"/>
      <c r="Q389" s="31" t="s">
        <v>56</v>
      </c>
      <c r="R389" s="62"/>
      <c r="S389" s="62"/>
      <c r="T389" s="5"/>
    </row>
    <row r="390" spans="1:20">
      <c r="A390" s="2" t="s">
        <v>915</v>
      </c>
      <c r="B390" s="2" t="s">
        <v>949</v>
      </c>
      <c r="C390" s="2" t="s">
        <v>60</v>
      </c>
      <c r="D390" s="16">
        <v>0</v>
      </c>
      <c r="E390" s="2" t="s">
        <v>915</v>
      </c>
      <c r="F390" s="2" t="s">
        <v>190</v>
      </c>
      <c r="G390" s="2" t="s">
        <v>950</v>
      </c>
      <c r="H390" s="17">
        <v>27760</v>
      </c>
      <c r="I390" s="2"/>
      <c r="J390" s="2"/>
      <c r="K390" s="17">
        <v>27760</v>
      </c>
      <c r="L390" s="17">
        <v>2974.29</v>
      </c>
      <c r="M390" s="17">
        <v>24785.71</v>
      </c>
      <c r="N390" s="17">
        <v>27760</v>
      </c>
      <c r="O390" s="2"/>
      <c r="P390" s="2"/>
      <c r="Q390" s="31" t="s">
        <v>56</v>
      </c>
      <c r="R390" s="62"/>
      <c r="S390" s="62"/>
      <c r="T390" s="5"/>
    </row>
    <row r="391" spans="1:20">
      <c r="A391" s="2" t="s">
        <v>971</v>
      </c>
      <c r="B391" s="2" t="s">
        <v>983</v>
      </c>
      <c r="C391" s="2" t="s">
        <v>60</v>
      </c>
      <c r="D391" s="16">
        <v>0</v>
      </c>
      <c r="E391" s="2" t="s">
        <v>971</v>
      </c>
      <c r="F391" s="2" t="s">
        <v>190</v>
      </c>
      <c r="G391" s="2" t="s">
        <v>984</v>
      </c>
      <c r="H391" s="17">
        <v>2489.9</v>
      </c>
      <c r="I391" s="2"/>
      <c r="J391" s="2"/>
      <c r="K391" s="17">
        <v>2489.9</v>
      </c>
      <c r="L391" s="18">
        <v>266.77</v>
      </c>
      <c r="M391" s="17">
        <v>2223.13</v>
      </c>
      <c r="N391" s="17">
        <v>2489.9</v>
      </c>
      <c r="O391" s="2"/>
      <c r="P391" s="2"/>
      <c r="Q391" s="31" t="s">
        <v>56</v>
      </c>
      <c r="R391" s="62"/>
      <c r="S391" s="62"/>
      <c r="T391" s="5"/>
    </row>
    <row r="392" spans="1:20">
      <c r="A392" s="2" t="s">
        <v>971</v>
      </c>
      <c r="B392" s="2" t="s">
        <v>1033</v>
      </c>
      <c r="C392" s="2" t="s">
        <v>60</v>
      </c>
      <c r="D392" s="16">
        <v>0</v>
      </c>
      <c r="E392" s="2" t="s">
        <v>971</v>
      </c>
      <c r="F392" s="2" t="s">
        <v>190</v>
      </c>
      <c r="G392" s="2" t="s">
        <v>1034</v>
      </c>
      <c r="H392" s="17">
        <v>165070.72</v>
      </c>
      <c r="I392" s="2"/>
      <c r="J392" s="2"/>
      <c r="K392" s="17">
        <v>165070.72</v>
      </c>
      <c r="L392" s="17">
        <v>17686.150000000001</v>
      </c>
      <c r="M392" s="17">
        <v>147384.57</v>
      </c>
      <c r="N392" s="17">
        <v>165070.72</v>
      </c>
      <c r="O392" s="2"/>
      <c r="P392" s="2"/>
      <c r="Q392" s="31" t="s">
        <v>56</v>
      </c>
      <c r="R392" s="62"/>
      <c r="S392" s="62"/>
      <c r="T392" s="5"/>
    </row>
    <row r="393" spans="1:20">
      <c r="A393" s="2" t="s">
        <v>1048</v>
      </c>
      <c r="B393" s="2" t="s">
        <v>1063</v>
      </c>
      <c r="C393" s="2" t="s">
        <v>167</v>
      </c>
      <c r="D393" s="16">
        <v>90</v>
      </c>
      <c r="E393" s="2" t="s">
        <v>1064</v>
      </c>
      <c r="F393" s="2" t="s">
        <v>190</v>
      </c>
      <c r="G393" s="2" t="s">
        <v>1065</v>
      </c>
      <c r="H393" s="17">
        <v>191136</v>
      </c>
      <c r="I393" s="2"/>
      <c r="J393" s="2"/>
      <c r="K393" s="17">
        <v>191136</v>
      </c>
      <c r="L393" s="17">
        <v>20478.86</v>
      </c>
      <c r="M393" s="17">
        <v>170657.14</v>
      </c>
      <c r="N393" s="17">
        <v>191136</v>
      </c>
      <c r="O393" s="2"/>
      <c r="P393" s="2"/>
      <c r="Q393" s="31" t="s">
        <v>56</v>
      </c>
      <c r="R393" s="62"/>
      <c r="S393" s="62"/>
      <c r="T393" s="5"/>
    </row>
    <row r="394" spans="1:20">
      <c r="A394" s="2" t="s">
        <v>1117</v>
      </c>
      <c r="B394" s="2" t="s">
        <v>1173</v>
      </c>
      <c r="C394" s="2" t="s">
        <v>60</v>
      </c>
      <c r="D394" s="16">
        <v>0</v>
      </c>
      <c r="E394" s="2" t="s">
        <v>1117</v>
      </c>
      <c r="F394" s="2" t="s">
        <v>190</v>
      </c>
      <c r="G394" s="2" t="s">
        <v>1174</v>
      </c>
      <c r="H394" s="17">
        <v>204476</v>
      </c>
      <c r="I394" s="2"/>
      <c r="J394" s="2"/>
      <c r="K394" s="17">
        <v>204476</v>
      </c>
      <c r="L394" s="17">
        <v>21908.14</v>
      </c>
      <c r="M394" s="17">
        <v>182567.86</v>
      </c>
      <c r="N394" s="17">
        <v>204476</v>
      </c>
      <c r="O394" s="2"/>
      <c r="P394" s="2"/>
      <c r="Q394" s="31" t="s">
        <v>56</v>
      </c>
      <c r="R394" s="62"/>
      <c r="S394" s="62"/>
      <c r="T394" s="5"/>
    </row>
    <row r="395" spans="1:20">
      <c r="A395" s="2" t="s">
        <v>1117</v>
      </c>
      <c r="B395" s="2" t="s">
        <v>1186</v>
      </c>
      <c r="C395" s="2" t="s">
        <v>60</v>
      </c>
      <c r="D395" s="16">
        <v>0</v>
      </c>
      <c r="E395" s="2" t="s">
        <v>1117</v>
      </c>
      <c r="F395" s="2" t="s">
        <v>190</v>
      </c>
      <c r="G395" s="2" t="s">
        <v>1187</v>
      </c>
      <c r="H395" s="17">
        <v>119504</v>
      </c>
      <c r="I395" s="2"/>
      <c r="J395" s="2"/>
      <c r="K395" s="17">
        <v>119504</v>
      </c>
      <c r="L395" s="17">
        <v>12804</v>
      </c>
      <c r="M395" s="17">
        <v>106700</v>
      </c>
      <c r="N395" s="17">
        <v>119504</v>
      </c>
      <c r="O395" s="2"/>
      <c r="P395" s="2"/>
      <c r="Q395" s="31" t="s">
        <v>56</v>
      </c>
      <c r="R395" s="62"/>
      <c r="S395" s="62"/>
      <c r="T395" s="5"/>
    </row>
    <row r="396" spans="1:20">
      <c r="A396" s="2" t="s">
        <v>1217</v>
      </c>
      <c r="B396" s="2" t="s">
        <v>1239</v>
      </c>
      <c r="C396" s="2" t="s">
        <v>60</v>
      </c>
      <c r="D396" s="16">
        <v>0</v>
      </c>
      <c r="E396" s="2" t="s">
        <v>1217</v>
      </c>
      <c r="F396" s="2" t="s">
        <v>190</v>
      </c>
      <c r="G396" s="2" t="s">
        <v>1240</v>
      </c>
      <c r="H396" s="17">
        <v>28240</v>
      </c>
      <c r="I396" s="2"/>
      <c r="J396" s="2"/>
      <c r="K396" s="17">
        <v>28240</v>
      </c>
      <c r="L396" s="17">
        <v>3025.71</v>
      </c>
      <c r="M396" s="17">
        <v>25214.29</v>
      </c>
      <c r="N396" s="17">
        <v>28240</v>
      </c>
      <c r="O396" s="2"/>
      <c r="P396" s="2"/>
      <c r="Q396" s="31" t="s">
        <v>56</v>
      </c>
      <c r="R396" s="62"/>
      <c r="S396" s="62"/>
      <c r="T396" s="5"/>
    </row>
    <row r="397" spans="1:20">
      <c r="A397" s="2" t="s">
        <v>1287</v>
      </c>
      <c r="B397" s="2" t="s">
        <v>1312</v>
      </c>
      <c r="C397" s="2" t="s">
        <v>60</v>
      </c>
      <c r="D397" s="16">
        <v>0</v>
      </c>
      <c r="E397" s="2" t="s">
        <v>1287</v>
      </c>
      <c r="F397" s="2" t="s">
        <v>190</v>
      </c>
      <c r="G397" s="2" t="s">
        <v>1313</v>
      </c>
      <c r="H397" s="17">
        <v>248990</v>
      </c>
      <c r="I397" s="2"/>
      <c r="J397" s="2"/>
      <c r="K397" s="17">
        <v>248990</v>
      </c>
      <c r="L397" s="17">
        <v>26677.5</v>
      </c>
      <c r="M397" s="17">
        <v>222312.5</v>
      </c>
      <c r="N397" s="17">
        <v>248990</v>
      </c>
      <c r="O397" s="2"/>
      <c r="P397" s="2"/>
      <c r="Q397" s="31" t="s">
        <v>56</v>
      </c>
      <c r="R397" s="63"/>
      <c r="S397" s="62"/>
      <c r="T397" s="5"/>
    </row>
    <row r="398" spans="1:20">
      <c r="A398" s="2" t="s">
        <v>199</v>
      </c>
      <c r="B398" s="2" t="s">
        <v>232</v>
      </c>
      <c r="C398" s="2" t="s">
        <v>162</v>
      </c>
      <c r="D398" s="16">
        <v>90</v>
      </c>
      <c r="E398" s="2" t="s">
        <v>233</v>
      </c>
      <c r="F398" s="2" t="s">
        <v>234</v>
      </c>
      <c r="G398" s="2" t="s">
        <v>235</v>
      </c>
      <c r="H398" s="17">
        <v>15682</v>
      </c>
      <c r="I398" s="2"/>
      <c r="J398" s="2"/>
      <c r="K398" s="17">
        <v>15682</v>
      </c>
      <c r="L398" s="17">
        <v>1680.21</v>
      </c>
      <c r="M398" s="17">
        <v>14001.79</v>
      </c>
      <c r="N398" s="17">
        <v>15682</v>
      </c>
      <c r="O398" s="2"/>
      <c r="P398" s="2"/>
      <c r="Q398" s="31" t="s">
        <v>56</v>
      </c>
      <c r="R398" s="32">
        <f>+K398</f>
        <v>15682</v>
      </c>
      <c r="S398" s="62"/>
      <c r="T398" s="5"/>
    </row>
    <row r="399" spans="1:20">
      <c r="A399" s="2" t="s">
        <v>93</v>
      </c>
      <c r="B399" s="2" t="s">
        <v>150</v>
      </c>
      <c r="C399" s="2" t="s">
        <v>151</v>
      </c>
      <c r="D399" s="16">
        <v>60</v>
      </c>
      <c r="E399" s="2" t="s">
        <v>136</v>
      </c>
      <c r="F399" s="2" t="s">
        <v>152</v>
      </c>
      <c r="G399" s="2" t="s">
        <v>153</v>
      </c>
      <c r="H399" s="17">
        <v>71884</v>
      </c>
      <c r="I399" s="2"/>
      <c r="J399" s="2"/>
      <c r="K399" s="17">
        <v>71884</v>
      </c>
      <c r="L399" s="17">
        <v>7701.86</v>
      </c>
      <c r="M399" s="17">
        <v>64182.14</v>
      </c>
      <c r="N399" s="17">
        <v>71884</v>
      </c>
      <c r="O399" s="2"/>
      <c r="P399" s="2"/>
      <c r="Q399" s="31" t="s">
        <v>56</v>
      </c>
      <c r="R399" s="61">
        <f>+K399+K400+K401+K402</f>
        <v>169929</v>
      </c>
      <c r="S399" s="62"/>
      <c r="T399" s="5"/>
    </row>
    <row r="400" spans="1:20">
      <c r="A400" s="2" t="s">
        <v>1048</v>
      </c>
      <c r="B400" s="2" t="s">
        <v>1066</v>
      </c>
      <c r="C400" s="2" t="s">
        <v>151</v>
      </c>
      <c r="D400" s="16">
        <v>60</v>
      </c>
      <c r="E400" s="2" t="s">
        <v>1067</v>
      </c>
      <c r="F400" s="2" t="s">
        <v>152</v>
      </c>
      <c r="G400" s="2" t="s">
        <v>1068</v>
      </c>
      <c r="H400" s="17">
        <v>68700</v>
      </c>
      <c r="I400" s="2"/>
      <c r="J400" s="2"/>
      <c r="K400" s="17">
        <v>68700</v>
      </c>
      <c r="L400" s="17">
        <v>7360.71</v>
      </c>
      <c r="M400" s="17">
        <v>61339.29</v>
      </c>
      <c r="N400" s="17">
        <v>68700</v>
      </c>
      <c r="O400" s="2"/>
      <c r="P400" s="2"/>
      <c r="Q400" s="31" t="s">
        <v>56</v>
      </c>
      <c r="R400" s="62"/>
      <c r="S400" s="62"/>
      <c r="T400" s="5"/>
    </row>
    <row r="401" spans="1:20">
      <c r="A401" s="2" t="s">
        <v>1048</v>
      </c>
      <c r="B401" s="2" t="s">
        <v>1069</v>
      </c>
      <c r="C401" s="2" t="s">
        <v>151</v>
      </c>
      <c r="D401" s="16">
        <v>60</v>
      </c>
      <c r="E401" s="2" t="s">
        <v>1067</v>
      </c>
      <c r="F401" s="2" t="s">
        <v>152</v>
      </c>
      <c r="G401" s="2" t="s">
        <v>1070</v>
      </c>
      <c r="H401" s="17">
        <v>7841</v>
      </c>
      <c r="I401" s="2"/>
      <c r="J401" s="2"/>
      <c r="K401" s="17">
        <v>7841</v>
      </c>
      <c r="L401" s="18">
        <v>840.11</v>
      </c>
      <c r="M401" s="17">
        <v>7000.89</v>
      </c>
      <c r="N401" s="17">
        <v>7841</v>
      </c>
      <c r="O401" s="2"/>
      <c r="P401" s="2"/>
      <c r="Q401" s="31" t="s">
        <v>56</v>
      </c>
      <c r="R401" s="62"/>
      <c r="S401" s="62"/>
      <c r="T401" s="5"/>
    </row>
    <row r="402" spans="1:20">
      <c r="A402" s="2" t="s">
        <v>1553</v>
      </c>
      <c r="B402" s="2" t="s">
        <v>1618</v>
      </c>
      <c r="C402" s="2" t="s">
        <v>151</v>
      </c>
      <c r="D402" s="16">
        <v>60</v>
      </c>
      <c r="E402" s="2" t="s">
        <v>1557</v>
      </c>
      <c r="F402" s="2" t="s">
        <v>152</v>
      </c>
      <c r="G402" s="2" t="s">
        <v>1619</v>
      </c>
      <c r="H402" s="17">
        <v>21504</v>
      </c>
      <c r="I402" s="2"/>
      <c r="J402" s="2"/>
      <c r="K402" s="17">
        <v>21504</v>
      </c>
      <c r="L402" s="17">
        <v>2304</v>
      </c>
      <c r="M402" s="17">
        <v>19200</v>
      </c>
      <c r="N402" s="17">
        <v>21504</v>
      </c>
      <c r="O402" s="2"/>
      <c r="P402" s="2"/>
      <c r="Q402" s="31" t="s">
        <v>56</v>
      </c>
      <c r="R402" s="63"/>
      <c r="S402" s="62"/>
      <c r="T402" s="5"/>
    </row>
    <row r="403" spans="1:20">
      <c r="A403" s="2" t="s">
        <v>282</v>
      </c>
      <c r="B403" s="2" t="s">
        <v>315</v>
      </c>
      <c r="C403" s="2" t="s">
        <v>151</v>
      </c>
      <c r="D403" s="16">
        <v>60</v>
      </c>
      <c r="E403" s="2" t="s">
        <v>286</v>
      </c>
      <c r="F403" s="2" t="s">
        <v>316</v>
      </c>
      <c r="G403" s="2" t="s">
        <v>317</v>
      </c>
      <c r="H403" s="17">
        <v>77013</v>
      </c>
      <c r="I403" s="2"/>
      <c r="J403" s="2"/>
      <c r="K403" s="17">
        <v>77013</v>
      </c>
      <c r="L403" s="17">
        <v>8251.39</v>
      </c>
      <c r="M403" s="17">
        <v>68761.61</v>
      </c>
      <c r="N403" s="17">
        <v>77013</v>
      </c>
      <c r="O403" s="2"/>
      <c r="P403" s="2"/>
      <c r="Q403" s="31" t="s">
        <v>56</v>
      </c>
      <c r="R403" s="32">
        <f>+K403</f>
        <v>77013</v>
      </c>
      <c r="S403" s="62"/>
      <c r="T403" s="5"/>
    </row>
    <row r="404" spans="1:20">
      <c r="A404" s="2" t="s">
        <v>637</v>
      </c>
      <c r="B404" s="2" t="s">
        <v>668</v>
      </c>
      <c r="C404" s="2" t="s">
        <v>151</v>
      </c>
      <c r="D404" s="16">
        <v>60</v>
      </c>
      <c r="E404" s="2" t="s">
        <v>659</v>
      </c>
      <c r="F404" s="2" t="s">
        <v>669</v>
      </c>
      <c r="G404" s="2" t="s">
        <v>670</v>
      </c>
      <c r="H404" s="17">
        <v>23500</v>
      </c>
      <c r="I404" s="2"/>
      <c r="J404" s="2"/>
      <c r="K404" s="17">
        <v>23500</v>
      </c>
      <c r="L404" s="17">
        <v>2517.86</v>
      </c>
      <c r="M404" s="17">
        <v>20982.14</v>
      </c>
      <c r="N404" s="17">
        <v>23500</v>
      </c>
      <c r="O404" s="2"/>
      <c r="P404" s="2"/>
      <c r="Q404" s="31" t="s">
        <v>56</v>
      </c>
      <c r="R404" s="32">
        <f>+K404</f>
        <v>23500</v>
      </c>
      <c r="S404" s="62"/>
      <c r="T404" s="5"/>
    </row>
    <row r="405" spans="1:20">
      <c r="A405" s="2" t="s">
        <v>769</v>
      </c>
      <c r="B405" s="2" t="s">
        <v>811</v>
      </c>
      <c r="C405" s="2" t="s">
        <v>73</v>
      </c>
      <c r="D405" s="16">
        <v>30</v>
      </c>
      <c r="E405" s="2" t="s">
        <v>805</v>
      </c>
      <c r="F405" s="2" t="s">
        <v>812</v>
      </c>
      <c r="G405" s="2" t="s">
        <v>813</v>
      </c>
      <c r="H405" s="17">
        <v>966395</v>
      </c>
      <c r="I405" s="2"/>
      <c r="J405" s="2"/>
      <c r="K405" s="17">
        <v>966395</v>
      </c>
      <c r="L405" s="17">
        <v>103542.32</v>
      </c>
      <c r="M405" s="17">
        <v>862852.68</v>
      </c>
      <c r="N405" s="17">
        <v>966395</v>
      </c>
      <c r="O405" s="2"/>
      <c r="P405" s="2"/>
      <c r="Q405" s="31" t="s">
        <v>56</v>
      </c>
      <c r="R405" s="61">
        <f>+K405+K406+K407+K408+K409+K410+K411</f>
        <v>1866726</v>
      </c>
      <c r="S405" s="62"/>
      <c r="T405" s="5"/>
    </row>
    <row r="406" spans="1:20">
      <c r="A406" s="2" t="s">
        <v>769</v>
      </c>
      <c r="B406" s="2" t="s">
        <v>848</v>
      </c>
      <c r="C406" s="2" t="s">
        <v>73</v>
      </c>
      <c r="D406" s="16">
        <v>30</v>
      </c>
      <c r="E406" s="2" t="s">
        <v>805</v>
      </c>
      <c r="F406" s="2" t="s">
        <v>812</v>
      </c>
      <c r="G406" s="2" t="s">
        <v>849</v>
      </c>
      <c r="H406" s="17">
        <v>127702</v>
      </c>
      <c r="I406" s="2"/>
      <c r="J406" s="2"/>
      <c r="K406" s="17">
        <v>127702</v>
      </c>
      <c r="L406" s="17">
        <v>13682.36</v>
      </c>
      <c r="M406" s="17">
        <v>114019.64</v>
      </c>
      <c r="N406" s="17">
        <v>127702</v>
      </c>
      <c r="O406" s="2"/>
      <c r="P406" s="2"/>
      <c r="Q406" s="31" t="s">
        <v>56</v>
      </c>
      <c r="R406" s="62"/>
      <c r="S406" s="62"/>
      <c r="T406" s="5"/>
    </row>
    <row r="407" spans="1:20">
      <c r="A407" s="2" t="s">
        <v>915</v>
      </c>
      <c r="B407" s="2" t="s">
        <v>914</v>
      </c>
      <c r="C407" s="2" t="s">
        <v>73</v>
      </c>
      <c r="D407" s="16">
        <v>30</v>
      </c>
      <c r="E407" s="2" t="s">
        <v>916</v>
      </c>
      <c r="F407" s="2" t="s">
        <v>812</v>
      </c>
      <c r="G407" s="2" t="s">
        <v>849</v>
      </c>
      <c r="H407" s="17">
        <v>127702</v>
      </c>
      <c r="I407" s="2"/>
      <c r="J407" s="2"/>
      <c r="K407" s="17">
        <v>127702</v>
      </c>
      <c r="L407" s="17">
        <v>13682.36</v>
      </c>
      <c r="M407" s="17">
        <v>114019.64</v>
      </c>
      <c r="N407" s="17">
        <v>127702</v>
      </c>
      <c r="O407" s="2"/>
      <c r="P407" s="2"/>
      <c r="Q407" s="31" t="s">
        <v>56</v>
      </c>
      <c r="R407" s="62"/>
      <c r="S407" s="62"/>
      <c r="T407" s="5"/>
    </row>
    <row r="408" spans="1:20">
      <c r="A408" s="2" t="s">
        <v>1217</v>
      </c>
      <c r="B408" s="2" t="s">
        <v>1278</v>
      </c>
      <c r="C408" s="2" t="s">
        <v>73</v>
      </c>
      <c r="D408" s="16">
        <v>30</v>
      </c>
      <c r="E408" s="2" t="s">
        <v>1231</v>
      </c>
      <c r="F408" s="2" t="s">
        <v>812</v>
      </c>
      <c r="G408" s="2" t="s">
        <v>1279</v>
      </c>
      <c r="H408" s="17">
        <v>147233</v>
      </c>
      <c r="I408" s="2"/>
      <c r="J408" s="2"/>
      <c r="K408" s="17">
        <v>147233</v>
      </c>
      <c r="L408" s="17">
        <v>15774.96</v>
      </c>
      <c r="M408" s="17">
        <v>131458.04</v>
      </c>
      <c r="N408" s="17">
        <v>147233</v>
      </c>
      <c r="O408" s="2"/>
      <c r="P408" s="2"/>
      <c r="Q408" s="31" t="s">
        <v>56</v>
      </c>
      <c r="R408" s="62"/>
      <c r="S408" s="62"/>
      <c r="T408" s="5"/>
    </row>
    <row r="409" spans="1:20">
      <c r="A409" s="2" t="s">
        <v>1467</v>
      </c>
      <c r="B409" s="2" t="s">
        <v>1491</v>
      </c>
      <c r="C409" s="2" t="s">
        <v>73</v>
      </c>
      <c r="D409" s="16">
        <v>30</v>
      </c>
      <c r="E409" s="2" t="s">
        <v>1492</v>
      </c>
      <c r="F409" s="2" t="s">
        <v>812</v>
      </c>
      <c r="G409" s="2" t="s">
        <v>1493</v>
      </c>
      <c r="H409" s="17">
        <v>217400</v>
      </c>
      <c r="I409" s="2"/>
      <c r="J409" s="2"/>
      <c r="K409" s="17">
        <v>217400</v>
      </c>
      <c r="L409" s="17">
        <v>23292.86</v>
      </c>
      <c r="M409" s="17">
        <v>194107.14</v>
      </c>
      <c r="N409" s="17">
        <v>217400</v>
      </c>
      <c r="O409" s="2"/>
      <c r="P409" s="2"/>
      <c r="Q409" s="31" t="s">
        <v>56</v>
      </c>
      <c r="R409" s="62"/>
      <c r="S409" s="62"/>
      <c r="T409" s="5"/>
    </row>
    <row r="410" spans="1:20">
      <c r="A410" s="2" t="s">
        <v>1553</v>
      </c>
      <c r="B410" s="2" t="s">
        <v>1577</v>
      </c>
      <c r="C410" s="2" t="s">
        <v>73</v>
      </c>
      <c r="D410" s="16">
        <v>30</v>
      </c>
      <c r="E410" s="2" t="s">
        <v>1569</v>
      </c>
      <c r="F410" s="2" t="s">
        <v>812</v>
      </c>
      <c r="G410" s="2" t="s">
        <v>1578</v>
      </c>
      <c r="H410" s="17">
        <v>33964</v>
      </c>
      <c r="I410" s="2"/>
      <c r="J410" s="2"/>
      <c r="K410" s="17">
        <v>33964</v>
      </c>
      <c r="L410" s="17">
        <v>3639</v>
      </c>
      <c r="M410" s="17">
        <v>30325</v>
      </c>
      <c r="N410" s="17">
        <v>33964</v>
      </c>
      <c r="O410" s="2"/>
      <c r="P410" s="2"/>
      <c r="Q410" s="31" t="s">
        <v>56</v>
      </c>
      <c r="R410" s="62"/>
      <c r="S410" s="62"/>
      <c r="T410" s="5"/>
    </row>
    <row r="411" spans="1:20">
      <c r="A411" s="2" t="s">
        <v>1553</v>
      </c>
      <c r="B411" s="2" t="s">
        <v>1597</v>
      </c>
      <c r="C411" s="2" t="s">
        <v>73</v>
      </c>
      <c r="D411" s="16">
        <v>30</v>
      </c>
      <c r="E411" s="2" t="s">
        <v>1569</v>
      </c>
      <c r="F411" s="2" t="s">
        <v>812</v>
      </c>
      <c r="G411" s="2" t="s">
        <v>1598</v>
      </c>
      <c r="H411" s="17">
        <v>246330</v>
      </c>
      <c r="I411" s="2"/>
      <c r="J411" s="2"/>
      <c r="K411" s="17">
        <v>246330</v>
      </c>
      <c r="L411" s="17">
        <v>26392.5</v>
      </c>
      <c r="M411" s="17">
        <v>219937.5</v>
      </c>
      <c r="N411" s="17">
        <v>246330</v>
      </c>
      <c r="O411" s="2"/>
      <c r="P411" s="2"/>
      <c r="Q411" s="31" t="s">
        <v>56</v>
      </c>
      <c r="R411" s="63"/>
      <c r="S411" s="62"/>
      <c r="T411" s="5"/>
    </row>
    <row r="412" spans="1:20">
      <c r="A412" s="2" t="s">
        <v>448</v>
      </c>
      <c r="B412" s="2" t="s">
        <v>456</v>
      </c>
      <c r="C412" s="2" t="s">
        <v>132</v>
      </c>
      <c r="D412" s="16">
        <v>0</v>
      </c>
      <c r="E412" s="2" t="s">
        <v>448</v>
      </c>
      <c r="F412" s="2" t="s">
        <v>457</v>
      </c>
      <c r="G412" s="2" t="s">
        <v>458</v>
      </c>
      <c r="H412" s="17">
        <v>7218</v>
      </c>
      <c r="I412" s="2"/>
      <c r="J412" s="2"/>
      <c r="K412" s="17">
        <v>7218</v>
      </c>
      <c r="L412" s="18">
        <v>773.36</v>
      </c>
      <c r="M412" s="17">
        <v>6444.64</v>
      </c>
      <c r="N412" s="17">
        <v>7218</v>
      </c>
      <c r="O412" s="2"/>
      <c r="P412" s="2"/>
      <c r="Q412" s="31" t="s">
        <v>56</v>
      </c>
      <c r="R412" s="61">
        <f>+K412+K413+K414+K415</f>
        <v>1902453</v>
      </c>
      <c r="S412" s="62"/>
      <c r="T412" s="5"/>
    </row>
    <row r="413" spans="1:20">
      <c r="A413" s="2" t="s">
        <v>448</v>
      </c>
      <c r="B413" s="2" t="s">
        <v>459</v>
      </c>
      <c r="C413" s="2" t="s">
        <v>18</v>
      </c>
      <c r="D413" s="16">
        <v>0</v>
      </c>
      <c r="E413" s="2" t="s">
        <v>448</v>
      </c>
      <c r="F413" s="2" t="s">
        <v>457</v>
      </c>
      <c r="G413" s="2" t="s">
        <v>460</v>
      </c>
      <c r="H413" s="17">
        <v>1897500</v>
      </c>
      <c r="I413" s="2"/>
      <c r="J413" s="20">
        <v>60000</v>
      </c>
      <c r="K413" s="17">
        <f>1897500-J413</f>
        <v>1837500</v>
      </c>
      <c r="L413" s="17">
        <v>203303.57</v>
      </c>
      <c r="M413" s="17">
        <v>1694196.43</v>
      </c>
      <c r="N413" s="17">
        <v>1897500</v>
      </c>
      <c r="O413" s="17">
        <v>60000</v>
      </c>
      <c r="P413" s="2" t="s">
        <v>1768</v>
      </c>
      <c r="Q413" s="31" t="s">
        <v>56</v>
      </c>
      <c r="R413" s="62"/>
      <c r="S413" s="62"/>
      <c r="T413" s="5"/>
    </row>
    <row r="414" spans="1:20">
      <c r="A414" s="2" t="s">
        <v>1217</v>
      </c>
      <c r="B414" s="2" t="s">
        <v>1252</v>
      </c>
      <c r="C414" s="2" t="s">
        <v>23</v>
      </c>
      <c r="D414" s="16">
        <v>30</v>
      </c>
      <c r="E414" s="2" t="s">
        <v>1231</v>
      </c>
      <c r="F414" s="2" t="s">
        <v>457</v>
      </c>
      <c r="G414" s="2" t="s">
        <v>1253</v>
      </c>
      <c r="H414" s="17">
        <v>9800</v>
      </c>
      <c r="I414" s="2"/>
      <c r="J414" s="2"/>
      <c r="K414" s="17">
        <v>9800</v>
      </c>
      <c r="L414" s="17">
        <v>1050</v>
      </c>
      <c r="M414" s="17">
        <v>8750</v>
      </c>
      <c r="N414" s="17">
        <v>9800</v>
      </c>
      <c r="O414" s="2"/>
      <c r="P414" s="2"/>
      <c r="Q414" s="31" t="s">
        <v>56</v>
      </c>
      <c r="R414" s="62"/>
      <c r="S414" s="62"/>
      <c r="T414" s="5"/>
    </row>
    <row r="415" spans="1:20">
      <c r="A415" s="2" t="s">
        <v>1287</v>
      </c>
      <c r="B415" s="2" t="s">
        <v>1328</v>
      </c>
      <c r="C415" s="2" t="s">
        <v>60</v>
      </c>
      <c r="D415" s="16">
        <v>0</v>
      </c>
      <c r="E415" s="2" t="s">
        <v>1287</v>
      </c>
      <c r="F415" s="2" t="s">
        <v>457</v>
      </c>
      <c r="G415" s="2" t="s">
        <v>1329</v>
      </c>
      <c r="H415" s="17">
        <v>47935</v>
      </c>
      <c r="I415" s="2"/>
      <c r="J415" s="2"/>
      <c r="K415" s="17">
        <v>47935</v>
      </c>
      <c r="L415" s="17">
        <v>5135.8900000000003</v>
      </c>
      <c r="M415" s="17">
        <v>42799.11</v>
      </c>
      <c r="N415" s="17">
        <v>47935</v>
      </c>
      <c r="O415" s="2"/>
      <c r="P415" s="2"/>
      <c r="Q415" s="31" t="s">
        <v>56</v>
      </c>
      <c r="R415" s="63"/>
      <c r="S415" s="62"/>
      <c r="T415" s="5"/>
    </row>
    <row r="416" spans="1:20">
      <c r="A416" s="2" t="s">
        <v>282</v>
      </c>
      <c r="B416" s="2" t="s">
        <v>344</v>
      </c>
      <c r="C416" s="2" t="s">
        <v>18</v>
      </c>
      <c r="D416" s="16">
        <v>0</v>
      </c>
      <c r="E416" s="2" t="s">
        <v>282</v>
      </c>
      <c r="F416" s="2" t="s">
        <v>345</v>
      </c>
      <c r="G416" s="2" t="s">
        <v>346</v>
      </c>
      <c r="H416" s="17">
        <v>116996</v>
      </c>
      <c r="I416" s="2"/>
      <c r="J416" s="2"/>
      <c r="K416" s="17">
        <v>116996</v>
      </c>
      <c r="L416" s="17">
        <v>12535.29</v>
      </c>
      <c r="M416" s="17">
        <v>104460.71</v>
      </c>
      <c r="N416" s="17">
        <v>116996</v>
      </c>
      <c r="O416" s="2"/>
      <c r="P416" s="2"/>
      <c r="Q416" s="31" t="s">
        <v>56</v>
      </c>
      <c r="R416" s="61">
        <f>+K416+K417</f>
        <v>158103</v>
      </c>
      <c r="S416" s="62"/>
      <c r="T416" s="5"/>
    </row>
    <row r="417" spans="1:20">
      <c r="A417" s="2" t="s">
        <v>368</v>
      </c>
      <c r="B417" s="2" t="s">
        <v>426</v>
      </c>
      <c r="C417" s="2" t="s">
        <v>18</v>
      </c>
      <c r="D417" s="16">
        <v>0</v>
      </c>
      <c r="E417" s="2" t="s">
        <v>368</v>
      </c>
      <c r="F417" s="2" t="s">
        <v>345</v>
      </c>
      <c r="G417" s="2" t="s">
        <v>427</v>
      </c>
      <c r="H417" s="17">
        <v>41107</v>
      </c>
      <c r="I417" s="2"/>
      <c r="J417" s="2"/>
      <c r="K417" s="17">
        <v>41107</v>
      </c>
      <c r="L417" s="17">
        <v>4404.32</v>
      </c>
      <c r="M417" s="17">
        <v>36702.68</v>
      </c>
      <c r="N417" s="17">
        <v>41107</v>
      </c>
      <c r="O417" s="2"/>
      <c r="P417" s="2"/>
      <c r="Q417" s="31" t="s">
        <v>56</v>
      </c>
      <c r="R417" s="63"/>
      <c r="S417" s="62"/>
      <c r="T417" s="5"/>
    </row>
    <row r="418" spans="1:20">
      <c r="A418" s="2" t="s">
        <v>17</v>
      </c>
      <c r="B418" s="2" t="s">
        <v>53</v>
      </c>
      <c r="C418" s="2" t="s">
        <v>54</v>
      </c>
      <c r="D418" s="16">
        <v>90</v>
      </c>
      <c r="E418" s="2" t="s">
        <v>55</v>
      </c>
      <c r="F418" s="2" t="s">
        <v>57</v>
      </c>
      <c r="G418" s="2" t="s">
        <v>58</v>
      </c>
      <c r="H418" s="17">
        <v>1176000</v>
      </c>
      <c r="I418" s="2"/>
      <c r="J418" s="2"/>
      <c r="K418" s="17">
        <v>1176000</v>
      </c>
      <c r="L418" s="17">
        <v>126000</v>
      </c>
      <c r="M418" s="17">
        <v>1050000</v>
      </c>
      <c r="N418" s="17">
        <v>1176000</v>
      </c>
      <c r="O418" s="2"/>
      <c r="P418" s="2"/>
      <c r="Q418" s="31" t="s">
        <v>56</v>
      </c>
      <c r="R418" s="32">
        <f>+K418</f>
        <v>1176000</v>
      </c>
      <c r="S418" s="62"/>
      <c r="T418" s="5"/>
    </row>
    <row r="419" spans="1:20">
      <c r="A419" s="2" t="s">
        <v>17</v>
      </c>
      <c r="B419" s="2" t="s">
        <v>59</v>
      </c>
      <c r="C419" s="2" t="s">
        <v>60</v>
      </c>
      <c r="D419" s="16">
        <v>0</v>
      </c>
      <c r="E419" s="2" t="s">
        <v>17</v>
      </c>
      <c r="F419" s="2" t="s">
        <v>61</v>
      </c>
      <c r="G419" s="2" t="s">
        <v>62</v>
      </c>
      <c r="H419" s="17">
        <v>26000</v>
      </c>
      <c r="I419" s="19">
        <v>-520</v>
      </c>
      <c r="J419" s="2"/>
      <c r="K419" s="17">
        <v>25480</v>
      </c>
      <c r="L419" s="17">
        <v>2730</v>
      </c>
      <c r="M419" s="17">
        <v>22750</v>
      </c>
      <c r="N419" s="17">
        <v>25480</v>
      </c>
      <c r="O419" s="2"/>
      <c r="P419" s="2"/>
      <c r="Q419" s="31" t="s">
        <v>56</v>
      </c>
      <c r="R419" s="61">
        <f>+K419+K420+K421+K422+K423</f>
        <v>353814.29999999993</v>
      </c>
      <c r="S419" s="62"/>
      <c r="T419" s="5"/>
    </row>
    <row r="420" spans="1:20">
      <c r="A420" s="2" t="s">
        <v>1372</v>
      </c>
      <c r="B420" s="2" t="s">
        <v>1391</v>
      </c>
      <c r="C420" s="2" t="s">
        <v>18</v>
      </c>
      <c r="D420" s="16">
        <v>0</v>
      </c>
      <c r="E420" s="2" t="s">
        <v>1372</v>
      </c>
      <c r="F420" s="2" t="s">
        <v>61</v>
      </c>
      <c r="G420" s="2" t="s">
        <v>1392</v>
      </c>
      <c r="H420" s="17">
        <v>256495</v>
      </c>
      <c r="I420" s="19">
        <v>-5129.8999999999996</v>
      </c>
      <c r="J420" s="2"/>
      <c r="K420" s="17">
        <v>251365.1</v>
      </c>
      <c r="L420" s="17">
        <v>26931.98</v>
      </c>
      <c r="M420" s="17">
        <v>224433.12</v>
      </c>
      <c r="N420" s="17">
        <v>251365.1</v>
      </c>
      <c r="O420" s="2"/>
      <c r="P420" s="2"/>
      <c r="Q420" s="31" t="s">
        <v>56</v>
      </c>
      <c r="R420" s="62"/>
      <c r="S420" s="62"/>
      <c r="T420" s="5"/>
    </row>
    <row r="421" spans="1:20">
      <c r="A421" s="2" t="s">
        <v>1372</v>
      </c>
      <c r="B421" s="2" t="s">
        <v>1430</v>
      </c>
      <c r="C421" s="2" t="s">
        <v>60</v>
      </c>
      <c r="D421" s="16">
        <v>0</v>
      </c>
      <c r="E421" s="2" t="s">
        <v>1372</v>
      </c>
      <c r="F421" s="2" t="s">
        <v>61</v>
      </c>
      <c r="G421" s="2" t="s">
        <v>1431</v>
      </c>
      <c r="H421" s="17">
        <v>27000</v>
      </c>
      <c r="I421" s="19">
        <v>-540</v>
      </c>
      <c r="J421" s="2"/>
      <c r="K421" s="17">
        <v>26460</v>
      </c>
      <c r="L421" s="17">
        <v>2835</v>
      </c>
      <c r="M421" s="17">
        <v>23625</v>
      </c>
      <c r="N421" s="17">
        <v>26460</v>
      </c>
      <c r="O421" s="2"/>
      <c r="P421" s="2"/>
      <c r="Q421" s="31" t="s">
        <v>56</v>
      </c>
      <c r="R421" s="62"/>
      <c r="S421" s="62"/>
      <c r="T421" s="5"/>
    </row>
    <row r="422" spans="1:20">
      <c r="A422" s="2" t="s">
        <v>1467</v>
      </c>
      <c r="B422" s="2" t="s">
        <v>1515</v>
      </c>
      <c r="C422" s="2" t="s">
        <v>60</v>
      </c>
      <c r="D422" s="16">
        <v>0</v>
      </c>
      <c r="E422" s="2" t="s">
        <v>1467</v>
      </c>
      <c r="F422" s="2" t="s">
        <v>61</v>
      </c>
      <c r="G422" s="2" t="s">
        <v>1516</v>
      </c>
      <c r="H422" s="17">
        <v>25770</v>
      </c>
      <c r="I422" s="19">
        <v>-515.4</v>
      </c>
      <c r="J422" s="2"/>
      <c r="K422" s="17">
        <v>25254.6</v>
      </c>
      <c r="L422" s="17">
        <v>2705.85</v>
      </c>
      <c r="M422" s="17">
        <v>22548.75</v>
      </c>
      <c r="N422" s="17">
        <v>25254.6</v>
      </c>
      <c r="O422" s="2"/>
      <c r="P422" s="2"/>
      <c r="Q422" s="31" t="s">
        <v>56</v>
      </c>
      <c r="R422" s="62"/>
      <c r="S422" s="62"/>
      <c r="T422" s="5"/>
    </row>
    <row r="423" spans="1:20">
      <c r="A423" s="2" t="s">
        <v>1467</v>
      </c>
      <c r="B423" s="2" t="s">
        <v>1530</v>
      </c>
      <c r="C423" s="2" t="s">
        <v>60</v>
      </c>
      <c r="D423" s="16">
        <v>0</v>
      </c>
      <c r="E423" s="2" t="s">
        <v>1467</v>
      </c>
      <c r="F423" s="2" t="s">
        <v>61</v>
      </c>
      <c r="G423" s="2" t="s">
        <v>1531</v>
      </c>
      <c r="H423" s="17">
        <v>25770</v>
      </c>
      <c r="I423" s="19">
        <v>-515.4</v>
      </c>
      <c r="J423" s="2"/>
      <c r="K423" s="17">
        <v>25254.6</v>
      </c>
      <c r="L423" s="17">
        <v>2705.85</v>
      </c>
      <c r="M423" s="17">
        <v>22548.75</v>
      </c>
      <c r="N423" s="17">
        <v>25254.6</v>
      </c>
      <c r="O423" s="2"/>
      <c r="P423" s="2"/>
      <c r="Q423" s="31" t="s">
        <v>56</v>
      </c>
      <c r="R423" s="63"/>
      <c r="S423" s="62"/>
      <c r="T423" s="5"/>
    </row>
    <row r="424" spans="1:20">
      <c r="A424" s="2" t="s">
        <v>971</v>
      </c>
      <c r="B424" s="2" t="s">
        <v>995</v>
      </c>
      <c r="C424" s="2" t="s">
        <v>60</v>
      </c>
      <c r="D424" s="16">
        <v>0</v>
      </c>
      <c r="E424" s="2" t="s">
        <v>971</v>
      </c>
      <c r="F424" s="2" t="s">
        <v>996</v>
      </c>
      <c r="G424" s="2" t="s">
        <v>997</v>
      </c>
      <c r="H424" s="17">
        <v>233990</v>
      </c>
      <c r="I424" s="2"/>
      <c r="J424" s="2"/>
      <c r="K424" s="17">
        <v>233990</v>
      </c>
      <c r="L424" s="17">
        <v>25070.36</v>
      </c>
      <c r="M424" s="17">
        <v>208919.64</v>
      </c>
      <c r="N424" s="17">
        <v>233990</v>
      </c>
      <c r="O424" s="2"/>
      <c r="P424" s="2"/>
      <c r="Q424" s="31" t="s">
        <v>56</v>
      </c>
      <c r="R424" s="61">
        <f>+K424+K425</f>
        <v>409270</v>
      </c>
      <c r="S424" s="62"/>
      <c r="T424" s="5"/>
    </row>
    <row r="425" spans="1:20">
      <c r="A425" s="2" t="s">
        <v>1467</v>
      </c>
      <c r="B425" s="2" t="s">
        <v>1481</v>
      </c>
      <c r="C425" s="2" t="s">
        <v>60</v>
      </c>
      <c r="D425" s="16">
        <v>0</v>
      </c>
      <c r="E425" s="2" t="s">
        <v>1467</v>
      </c>
      <c r="F425" s="2" t="s">
        <v>996</v>
      </c>
      <c r="G425" s="2" t="s">
        <v>1482</v>
      </c>
      <c r="H425" s="17">
        <v>175280</v>
      </c>
      <c r="I425" s="2"/>
      <c r="J425" s="2"/>
      <c r="K425" s="17">
        <v>175280</v>
      </c>
      <c r="L425" s="17">
        <v>18780</v>
      </c>
      <c r="M425" s="17">
        <v>156500</v>
      </c>
      <c r="N425" s="17">
        <v>175280</v>
      </c>
      <c r="O425" s="2"/>
      <c r="P425" s="2"/>
      <c r="Q425" s="31" t="s">
        <v>56</v>
      </c>
      <c r="R425" s="63"/>
      <c r="S425" s="62"/>
      <c r="T425" s="5"/>
    </row>
    <row r="426" spans="1:20">
      <c r="A426" s="2" t="s">
        <v>1287</v>
      </c>
      <c r="B426" s="2" t="s">
        <v>1299</v>
      </c>
      <c r="C426" s="2" t="s">
        <v>60</v>
      </c>
      <c r="D426" s="16">
        <v>0</v>
      </c>
      <c r="E426" s="2" t="s">
        <v>1287</v>
      </c>
      <c r="F426" s="2" t="s">
        <v>1300</v>
      </c>
      <c r="G426" s="2" t="s">
        <v>1301</v>
      </c>
      <c r="H426" s="17">
        <v>50875</v>
      </c>
      <c r="I426" s="2"/>
      <c r="J426" s="2"/>
      <c r="K426" s="17">
        <v>50875</v>
      </c>
      <c r="L426" s="17">
        <v>5450.89</v>
      </c>
      <c r="M426" s="17">
        <v>45424.11</v>
      </c>
      <c r="N426" s="17">
        <v>50875</v>
      </c>
      <c r="O426" s="2"/>
      <c r="P426" s="2"/>
      <c r="Q426" s="31" t="s">
        <v>56</v>
      </c>
      <c r="R426" s="61">
        <f>+K426+K427</f>
        <v>54415</v>
      </c>
      <c r="S426" s="62"/>
      <c r="T426" s="5"/>
    </row>
    <row r="427" spans="1:20">
      <c r="A427" s="2" t="s">
        <v>1287</v>
      </c>
      <c r="B427" s="2" t="s">
        <v>1302</v>
      </c>
      <c r="C427" s="2" t="s">
        <v>60</v>
      </c>
      <c r="D427" s="16">
        <v>0</v>
      </c>
      <c r="E427" s="2" t="s">
        <v>1287</v>
      </c>
      <c r="F427" s="2" t="s">
        <v>1300</v>
      </c>
      <c r="G427" s="2" t="s">
        <v>1303</v>
      </c>
      <c r="H427" s="17">
        <v>3540</v>
      </c>
      <c r="I427" s="2"/>
      <c r="J427" s="2"/>
      <c r="K427" s="17">
        <v>3540</v>
      </c>
      <c r="L427" s="18">
        <v>379.29</v>
      </c>
      <c r="M427" s="17">
        <v>3160.71</v>
      </c>
      <c r="N427" s="17">
        <v>3540</v>
      </c>
      <c r="O427" s="2"/>
      <c r="P427" s="2"/>
      <c r="Q427" s="31" t="s">
        <v>56</v>
      </c>
      <c r="R427" s="63"/>
      <c r="S427" s="62"/>
      <c r="T427" s="5"/>
    </row>
    <row r="428" spans="1:20">
      <c r="A428" s="2" t="s">
        <v>596</v>
      </c>
      <c r="B428" s="2" t="s">
        <v>604</v>
      </c>
      <c r="C428" s="2" t="s">
        <v>60</v>
      </c>
      <c r="D428" s="16">
        <v>0</v>
      </c>
      <c r="E428" s="2" t="s">
        <v>596</v>
      </c>
      <c r="F428" s="2" t="s">
        <v>605</v>
      </c>
      <c r="G428" s="2" t="s">
        <v>606</v>
      </c>
      <c r="H428" s="17">
        <v>117620</v>
      </c>
      <c r="I428" s="2"/>
      <c r="J428" s="2"/>
      <c r="K428" s="17">
        <v>117620</v>
      </c>
      <c r="L428" s="17">
        <v>12602.14</v>
      </c>
      <c r="M428" s="17">
        <v>105017.86</v>
      </c>
      <c r="N428" s="17">
        <v>117620</v>
      </c>
      <c r="O428" s="2"/>
      <c r="P428" s="2"/>
      <c r="Q428" s="31" t="s">
        <v>56</v>
      </c>
      <c r="R428" s="61">
        <f>+K428+K429+K430+K431+K432+K433+K434+K435</f>
        <v>3637774.09</v>
      </c>
      <c r="S428" s="62"/>
      <c r="T428" s="5"/>
    </row>
    <row r="429" spans="1:20">
      <c r="A429" s="2" t="s">
        <v>1217</v>
      </c>
      <c r="B429" s="2" t="s">
        <v>1266</v>
      </c>
      <c r="C429" s="2" t="s">
        <v>60</v>
      </c>
      <c r="D429" s="16">
        <v>0</v>
      </c>
      <c r="E429" s="2" t="s">
        <v>1217</v>
      </c>
      <c r="F429" s="2" t="s">
        <v>605</v>
      </c>
      <c r="G429" s="2" t="s">
        <v>1267</v>
      </c>
      <c r="H429" s="17">
        <v>1154454.3999999999</v>
      </c>
      <c r="I429" s="2"/>
      <c r="J429" s="2"/>
      <c r="K429" s="17">
        <v>1154454.3999999999</v>
      </c>
      <c r="L429" s="17">
        <v>123691.54</v>
      </c>
      <c r="M429" s="17">
        <v>1030762.86</v>
      </c>
      <c r="N429" s="17">
        <v>1154454.3999999999</v>
      </c>
      <c r="O429" s="2"/>
      <c r="P429" s="2"/>
      <c r="Q429" s="31" t="s">
        <v>56</v>
      </c>
      <c r="R429" s="62"/>
      <c r="S429" s="62"/>
      <c r="T429" s="5"/>
    </row>
    <row r="430" spans="1:20">
      <c r="A430" s="2" t="s">
        <v>1217</v>
      </c>
      <c r="B430" s="2" t="s">
        <v>1280</v>
      </c>
      <c r="C430" s="2" t="s">
        <v>60</v>
      </c>
      <c r="D430" s="16">
        <v>0</v>
      </c>
      <c r="E430" s="2" t="s">
        <v>1217</v>
      </c>
      <c r="F430" s="2" t="s">
        <v>605</v>
      </c>
      <c r="G430" s="2" t="s">
        <v>1281</v>
      </c>
      <c r="H430" s="17">
        <v>255000</v>
      </c>
      <c r="I430" s="2"/>
      <c r="J430" s="2"/>
      <c r="K430" s="17">
        <v>255000</v>
      </c>
      <c r="L430" s="17">
        <v>27321.43</v>
      </c>
      <c r="M430" s="17">
        <v>227678.57</v>
      </c>
      <c r="N430" s="17">
        <v>255000</v>
      </c>
      <c r="O430" s="2"/>
      <c r="P430" s="2"/>
      <c r="Q430" s="31" t="s">
        <v>56</v>
      </c>
      <c r="R430" s="62"/>
      <c r="S430" s="62"/>
      <c r="T430" s="5"/>
    </row>
    <row r="431" spans="1:20">
      <c r="A431" s="2" t="s">
        <v>1287</v>
      </c>
      <c r="B431" s="2" t="s">
        <v>1336</v>
      </c>
      <c r="C431" s="2" t="s">
        <v>60</v>
      </c>
      <c r="D431" s="16">
        <v>0</v>
      </c>
      <c r="E431" s="2" t="s">
        <v>1287</v>
      </c>
      <c r="F431" s="2" t="s">
        <v>605</v>
      </c>
      <c r="G431" s="2" t="s">
        <v>1337</v>
      </c>
      <c r="H431" s="17">
        <v>1126635.48</v>
      </c>
      <c r="I431" s="2"/>
      <c r="J431" s="2"/>
      <c r="K431" s="17">
        <v>1126635.48</v>
      </c>
      <c r="L431" s="17">
        <v>120710.94</v>
      </c>
      <c r="M431" s="17">
        <v>1005924.54</v>
      </c>
      <c r="N431" s="17">
        <v>1126635.48</v>
      </c>
      <c r="O431" s="2"/>
      <c r="P431" s="2"/>
      <c r="Q431" s="31" t="s">
        <v>56</v>
      </c>
      <c r="R431" s="62"/>
      <c r="S431" s="62"/>
      <c r="T431" s="5"/>
    </row>
    <row r="432" spans="1:20">
      <c r="A432" s="2" t="s">
        <v>1287</v>
      </c>
      <c r="B432" s="2" t="s">
        <v>1338</v>
      </c>
      <c r="C432" s="2" t="s">
        <v>60</v>
      </c>
      <c r="D432" s="16">
        <v>0</v>
      </c>
      <c r="E432" s="2" t="s">
        <v>1287</v>
      </c>
      <c r="F432" s="2" t="s">
        <v>605</v>
      </c>
      <c r="G432" s="2" t="s">
        <v>1339</v>
      </c>
      <c r="H432" s="17">
        <v>280110</v>
      </c>
      <c r="I432" s="2"/>
      <c r="J432" s="2"/>
      <c r="K432" s="17">
        <v>280110</v>
      </c>
      <c r="L432" s="17">
        <v>30011.79</v>
      </c>
      <c r="M432" s="17">
        <v>250098.21</v>
      </c>
      <c r="N432" s="17">
        <v>280110</v>
      </c>
      <c r="O432" s="2"/>
      <c r="P432" s="2"/>
      <c r="Q432" s="31" t="s">
        <v>56</v>
      </c>
      <c r="R432" s="62"/>
      <c r="S432" s="62"/>
      <c r="T432" s="5"/>
    </row>
    <row r="433" spans="1:20">
      <c r="A433" s="2" t="s">
        <v>1372</v>
      </c>
      <c r="B433" s="2" t="s">
        <v>1452</v>
      </c>
      <c r="C433" s="2" t="s">
        <v>60</v>
      </c>
      <c r="D433" s="16">
        <v>0</v>
      </c>
      <c r="E433" s="2" t="s">
        <v>1372</v>
      </c>
      <c r="F433" s="2" t="s">
        <v>605</v>
      </c>
      <c r="G433" s="2" t="s">
        <v>1453</v>
      </c>
      <c r="H433" s="17">
        <v>90409.05</v>
      </c>
      <c r="I433" s="2"/>
      <c r="J433" s="2"/>
      <c r="K433" s="17">
        <v>90409.05</v>
      </c>
      <c r="L433" s="17">
        <v>9686.68</v>
      </c>
      <c r="M433" s="17">
        <v>80722.37</v>
      </c>
      <c r="N433" s="17">
        <v>90409.05</v>
      </c>
      <c r="O433" s="2"/>
      <c r="P433" s="2"/>
      <c r="Q433" s="31" t="s">
        <v>56</v>
      </c>
      <c r="R433" s="62"/>
      <c r="S433" s="62"/>
      <c r="T433" s="5"/>
    </row>
    <row r="434" spans="1:20">
      <c r="A434" s="2" t="s">
        <v>1372</v>
      </c>
      <c r="B434" s="2" t="s">
        <v>1454</v>
      </c>
      <c r="C434" s="2" t="s">
        <v>60</v>
      </c>
      <c r="D434" s="16">
        <v>0</v>
      </c>
      <c r="E434" s="2" t="s">
        <v>1372</v>
      </c>
      <c r="F434" s="2" t="s">
        <v>605</v>
      </c>
      <c r="G434" s="2" t="s">
        <v>1455</v>
      </c>
      <c r="H434" s="17">
        <v>307545.40000000002</v>
      </c>
      <c r="I434" s="2"/>
      <c r="J434" s="2"/>
      <c r="K434" s="17">
        <v>307545.40000000002</v>
      </c>
      <c r="L434" s="17">
        <v>32951.29</v>
      </c>
      <c r="M434" s="17">
        <v>274594.11</v>
      </c>
      <c r="N434" s="17">
        <v>307545.40000000002</v>
      </c>
      <c r="O434" s="2"/>
      <c r="P434" s="2"/>
      <c r="Q434" s="31" t="s">
        <v>56</v>
      </c>
      <c r="R434" s="62"/>
      <c r="S434" s="62"/>
      <c r="T434" s="5"/>
    </row>
    <row r="435" spans="1:20">
      <c r="A435" s="2" t="s">
        <v>1467</v>
      </c>
      <c r="B435" s="2" t="s">
        <v>1520</v>
      </c>
      <c r="C435" s="2" t="s">
        <v>60</v>
      </c>
      <c r="D435" s="16">
        <v>0</v>
      </c>
      <c r="E435" s="2" t="s">
        <v>1467</v>
      </c>
      <c r="F435" s="2" t="s">
        <v>605</v>
      </c>
      <c r="G435" s="2" t="s">
        <v>1521</v>
      </c>
      <c r="H435" s="17">
        <v>305999.76</v>
      </c>
      <c r="I435" s="2"/>
      <c r="J435" s="2"/>
      <c r="K435" s="17">
        <v>305999.76</v>
      </c>
      <c r="L435" s="17">
        <v>32785.69</v>
      </c>
      <c r="M435" s="17">
        <v>273214.07</v>
      </c>
      <c r="N435" s="17">
        <v>305999.76</v>
      </c>
      <c r="O435" s="2"/>
      <c r="P435" s="2"/>
      <c r="Q435" s="31" t="s">
        <v>56</v>
      </c>
      <c r="R435" s="63"/>
      <c r="S435" s="62"/>
      <c r="T435" s="5"/>
    </row>
    <row r="436" spans="1:20">
      <c r="A436" s="2" t="s">
        <v>1217</v>
      </c>
      <c r="B436" s="2" t="s">
        <v>1244</v>
      </c>
      <c r="C436" s="2" t="s">
        <v>64</v>
      </c>
      <c r="D436" s="16">
        <v>30</v>
      </c>
      <c r="E436" s="2" t="s">
        <v>1231</v>
      </c>
      <c r="F436" s="2" t="s">
        <v>1245</v>
      </c>
      <c r="G436" s="2" t="s">
        <v>1246</v>
      </c>
      <c r="H436" s="17">
        <v>1442300</v>
      </c>
      <c r="I436" s="2"/>
      <c r="J436" s="2"/>
      <c r="K436" s="17">
        <v>1442300</v>
      </c>
      <c r="L436" s="17">
        <v>154532.14000000001</v>
      </c>
      <c r="M436" s="17">
        <v>1287767.8600000001</v>
      </c>
      <c r="N436" s="17">
        <v>1442300</v>
      </c>
      <c r="O436" s="2"/>
      <c r="P436" s="2"/>
      <c r="Q436" s="31" t="s">
        <v>56</v>
      </c>
      <c r="R436" s="32">
        <f>+K436</f>
        <v>1442300</v>
      </c>
      <c r="S436" s="62"/>
      <c r="T436" s="5"/>
    </row>
    <row r="437" spans="1:20">
      <c r="A437" s="2" t="s">
        <v>93</v>
      </c>
      <c r="B437" s="2" t="s">
        <v>145</v>
      </c>
      <c r="C437" s="2" t="s">
        <v>146</v>
      </c>
      <c r="D437" s="16">
        <v>90</v>
      </c>
      <c r="E437" s="2" t="s">
        <v>147</v>
      </c>
      <c r="F437" s="2" t="s">
        <v>148</v>
      </c>
      <c r="G437" s="2" t="s">
        <v>149</v>
      </c>
      <c r="H437" s="17">
        <v>91954.87</v>
      </c>
      <c r="I437" s="2"/>
      <c r="J437" s="2"/>
      <c r="K437" s="17">
        <v>91954.87</v>
      </c>
      <c r="L437" s="17">
        <v>9852.31</v>
      </c>
      <c r="M437" s="17">
        <v>82102.559999999998</v>
      </c>
      <c r="N437" s="17">
        <v>91954.87</v>
      </c>
      <c r="O437" s="2"/>
      <c r="P437" s="2"/>
      <c r="Q437" s="31" t="s">
        <v>69</v>
      </c>
      <c r="R437" s="41">
        <f>+K437</f>
        <v>91954.87</v>
      </c>
      <c r="S437" s="61">
        <f>+R437+R438+R445+R450+R456+R457+R459+R463+R468+R475+R476+R478+R479+R481+R482+R487+R489+R500</f>
        <v>43871956.170000002</v>
      </c>
      <c r="T437" s="5"/>
    </row>
    <row r="438" spans="1:20">
      <c r="A438" s="2" t="s">
        <v>93</v>
      </c>
      <c r="B438" s="2" t="s">
        <v>97</v>
      </c>
      <c r="C438" s="2" t="s">
        <v>98</v>
      </c>
      <c r="D438" s="16">
        <v>0</v>
      </c>
      <c r="E438" s="2" t="s">
        <v>93</v>
      </c>
      <c r="F438" s="2" t="s">
        <v>99</v>
      </c>
      <c r="G438" s="2" t="s">
        <v>100</v>
      </c>
      <c r="H438" s="17">
        <v>96500</v>
      </c>
      <c r="I438" s="19">
        <v>-2895</v>
      </c>
      <c r="J438" s="2"/>
      <c r="K438" s="17">
        <v>93605</v>
      </c>
      <c r="L438" s="17">
        <v>10029.11</v>
      </c>
      <c r="M438" s="17">
        <v>83575.89</v>
      </c>
      <c r="N438" s="17">
        <v>93605</v>
      </c>
      <c r="O438" s="2"/>
      <c r="P438" s="2"/>
      <c r="Q438" s="31" t="s">
        <v>69</v>
      </c>
      <c r="R438" s="64">
        <f>+K438+K439+K440+K441+K442+K443+K444</f>
        <v>1144163.5</v>
      </c>
      <c r="S438" s="62"/>
      <c r="T438" s="5"/>
    </row>
    <row r="439" spans="1:20">
      <c r="A439" s="2" t="s">
        <v>93</v>
      </c>
      <c r="B439" s="2" t="s">
        <v>101</v>
      </c>
      <c r="C439" s="2" t="s">
        <v>98</v>
      </c>
      <c r="D439" s="16">
        <v>0</v>
      </c>
      <c r="E439" s="2" t="s">
        <v>93</v>
      </c>
      <c r="F439" s="2" t="s">
        <v>99</v>
      </c>
      <c r="G439" s="2" t="s">
        <v>102</v>
      </c>
      <c r="H439" s="17">
        <v>205360</v>
      </c>
      <c r="I439" s="19">
        <v>-6160.8</v>
      </c>
      <c r="J439" s="2"/>
      <c r="K439" s="17">
        <v>199199.2</v>
      </c>
      <c r="L439" s="17">
        <v>21342.77</v>
      </c>
      <c r="M439" s="17">
        <v>177856.43</v>
      </c>
      <c r="N439" s="17">
        <v>199199.2</v>
      </c>
      <c r="O439" s="2"/>
      <c r="P439" s="2"/>
      <c r="Q439" s="31" t="s">
        <v>69</v>
      </c>
      <c r="R439" s="66"/>
      <c r="S439" s="62"/>
      <c r="T439" s="5"/>
    </row>
    <row r="440" spans="1:20">
      <c r="A440" s="2" t="s">
        <v>505</v>
      </c>
      <c r="B440" s="2" t="s">
        <v>511</v>
      </c>
      <c r="C440" s="2" t="s">
        <v>98</v>
      </c>
      <c r="D440" s="16">
        <v>0</v>
      </c>
      <c r="E440" s="2" t="s">
        <v>505</v>
      </c>
      <c r="F440" s="2" t="s">
        <v>99</v>
      </c>
      <c r="G440" s="2" t="s">
        <v>512</v>
      </c>
      <c r="H440" s="17">
        <v>47500</v>
      </c>
      <c r="I440" s="19">
        <v>-1425</v>
      </c>
      <c r="J440" s="2"/>
      <c r="K440" s="17">
        <v>46075</v>
      </c>
      <c r="L440" s="17">
        <v>4936.6099999999997</v>
      </c>
      <c r="M440" s="17">
        <v>41138.39</v>
      </c>
      <c r="N440" s="17">
        <v>46075</v>
      </c>
      <c r="O440" s="2"/>
      <c r="P440" s="2"/>
      <c r="Q440" s="31" t="s">
        <v>69</v>
      </c>
      <c r="R440" s="66"/>
      <c r="S440" s="62"/>
      <c r="T440" s="5"/>
    </row>
    <row r="441" spans="1:20">
      <c r="A441" s="2" t="s">
        <v>505</v>
      </c>
      <c r="B441" s="2" t="s">
        <v>513</v>
      </c>
      <c r="C441" s="2" t="s">
        <v>98</v>
      </c>
      <c r="D441" s="16">
        <v>0</v>
      </c>
      <c r="E441" s="2" t="s">
        <v>505</v>
      </c>
      <c r="F441" s="2" t="s">
        <v>99</v>
      </c>
      <c r="G441" s="2" t="s">
        <v>514</v>
      </c>
      <c r="H441" s="17">
        <v>348100</v>
      </c>
      <c r="I441" s="19">
        <v>-10443</v>
      </c>
      <c r="J441" s="2"/>
      <c r="K441" s="17">
        <v>337657</v>
      </c>
      <c r="L441" s="17">
        <v>36177.54</v>
      </c>
      <c r="M441" s="17">
        <v>301479.46000000002</v>
      </c>
      <c r="N441" s="17">
        <v>337657</v>
      </c>
      <c r="O441" s="2"/>
      <c r="P441" s="2"/>
      <c r="Q441" s="31" t="s">
        <v>69</v>
      </c>
      <c r="R441" s="66"/>
      <c r="S441" s="62"/>
      <c r="T441" s="5"/>
    </row>
    <row r="442" spans="1:20">
      <c r="A442" s="2" t="s">
        <v>505</v>
      </c>
      <c r="B442" s="2" t="s">
        <v>515</v>
      </c>
      <c r="C442" s="2" t="s">
        <v>98</v>
      </c>
      <c r="D442" s="16">
        <v>0</v>
      </c>
      <c r="E442" s="2" t="s">
        <v>505</v>
      </c>
      <c r="F442" s="2" t="s">
        <v>99</v>
      </c>
      <c r="G442" s="2" t="s">
        <v>516</v>
      </c>
      <c r="H442" s="17">
        <v>51340</v>
      </c>
      <c r="I442" s="19">
        <v>-1540.2</v>
      </c>
      <c r="J442" s="2"/>
      <c r="K442" s="17">
        <v>49799.8</v>
      </c>
      <c r="L442" s="17">
        <v>5335.69</v>
      </c>
      <c r="M442" s="17">
        <v>44464.11</v>
      </c>
      <c r="N442" s="17">
        <v>49799.8</v>
      </c>
      <c r="O442" s="2"/>
      <c r="P442" s="2"/>
      <c r="Q442" s="31" t="s">
        <v>69</v>
      </c>
      <c r="R442" s="66"/>
      <c r="S442" s="62"/>
      <c r="T442" s="5"/>
    </row>
    <row r="443" spans="1:20">
      <c r="A443" s="2" t="s">
        <v>866</v>
      </c>
      <c r="B443" s="2" t="s">
        <v>868</v>
      </c>
      <c r="C443" s="2" t="s">
        <v>98</v>
      </c>
      <c r="D443" s="16">
        <v>0</v>
      </c>
      <c r="E443" s="2" t="s">
        <v>866</v>
      </c>
      <c r="F443" s="2" t="s">
        <v>99</v>
      </c>
      <c r="G443" s="2" t="s">
        <v>869</v>
      </c>
      <c r="H443" s="17">
        <v>256700</v>
      </c>
      <c r="I443" s="19">
        <v>-7701</v>
      </c>
      <c r="J443" s="2"/>
      <c r="K443" s="17">
        <v>248999</v>
      </c>
      <c r="L443" s="17">
        <v>26678.46</v>
      </c>
      <c r="M443" s="17">
        <v>222320.54</v>
      </c>
      <c r="N443" s="17">
        <v>248999</v>
      </c>
      <c r="O443" s="2"/>
      <c r="P443" s="2"/>
      <c r="Q443" s="31" t="s">
        <v>69</v>
      </c>
      <c r="R443" s="66"/>
      <c r="S443" s="62"/>
      <c r="T443" s="5"/>
    </row>
    <row r="444" spans="1:20">
      <c r="A444" s="2" t="s">
        <v>1467</v>
      </c>
      <c r="B444" s="2" t="s">
        <v>1466</v>
      </c>
      <c r="C444" s="2" t="s">
        <v>98</v>
      </c>
      <c r="D444" s="16">
        <v>0</v>
      </c>
      <c r="E444" s="2" t="s">
        <v>1467</v>
      </c>
      <c r="F444" s="2" t="s">
        <v>99</v>
      </c>
      <c r="G444" s="2" t="s">
        <v>1468</v>
      </c>
      <c r="H444" s="17">
        <v>174050</v>
      </c>
      <c r="I444" s="19">
        <v>-5221.5</v>
      </c>
      <c r="J444" s="2"/>
      <c r="K444" s="17">
        <v>168828.5</v>
      </c>
      <c r="L444" s="17">
        <v>18088.77</v>
      </c>
      <c r="M444" s="17">
        <v>150739.73000000001</v>
      </c>
      <c r="N444" s="17">
        <v>168828.5</v>
      </c>
      <c r="O444" s="2"/>
      <c r="P444" s="2"/>
      <c r="Q444" s="31" t="s">
        <v>69</v>
      </c>
      <c r="R444" s="65"/>
      <c r="S444" s="62"/>
      <c r="T444" s="5"/>
    </row>
    <row r="445" spans="1:20">
      <c r="A445" s="2" t="s">
        <v>199</v>
      </c>
      <c r="B445" s="2" t="s">
        <v>276</v>
      </c>
      <c r="C445" s="2" t="s">
        <v>104</v>
      </c>
      <c r="D445" s="16">
        <v>0</v>
      </c>
      <c r="E445" s="2" t="s">
        <v>199</v>
      </c>
      <c r="F445" s="2" t="s">
        <v>277</v>
      </c>
      <c r="G445" s="2" t="s">
        <v>278</v>
      </c>
      <c r="H445" s="17">
        <v>39907</v>
      </c>
      <c r="I445" s="2"/>
      <c r="J445" s="2"/>
      <c r="K445" s="17">
        <v>39907</v>
      </c>
      <c r="L445" s="17">
        <v>4275.75</v>
      </c>
      <c r="M445" s="17">
        <v>35631.25</v>
      </c>
      <c r="N445" s="17">
        <v>39907</v>
      </c>
      <c r="O445" s="2"/>
      <c r="P445" s="2"/>
      <c r="Q445" s="31" t="s">
        <v>69</v>
      </c>
      <c r="R445" s="64">
        <f>+K445+K446+K447+K448+K449</f>
        <v>6405817</v>
      </c>
      <c r="S445" s="62"/>
      <c r="T445" s="5"/>
    </row>
    <row r="446" spans="1:20">
      <c r="A446" s="2" t="s">
        <v>689</v>
      </c>
      <c r="B446" s="2" t="s">
        <v>707</v>
      </c>
      <c r="C446" s="2" t="s">
        <v>104</v>
      </c>
      <c r="D446" s="16">
        <v>0</v>
      </c>
      <c r="E446" s="2" t="s">
        <v>689</v>
      </c>
      <c r="F446" s="2" t="s">
        <v>277</v>
      </c>
      <c r="G446" s="2" t="s">
        <v>708</v>
      </c>
      <c r="H446" s="17">
        <v>191660</v>
      </c>
      <c r="I446" s="2"/>
      <c r="J446" s="2"/>
      <c r="K446" s="17">
        <v>191660</v>
      </c>
      <c r="L446" s="17">
        <v>20535</v>
      </c>
      <c r="M446" s="17">
        <v>171125</v>
      </c>
      <c r="N446" s="17">
        <v>191660</v>
      </c>
      <c r="O446" s="2"/>
      <c r="P446" s="2"/>
      <c r="Q446" s="31" t="s">
        <v>69</v>
      </c>
      <c r="R446" s="66"/>
      <c r="S446" s="62"/>
      <c r="T446" s="5"/>
    </row>
    <row r="447" spans="1:20">
      <c r="A447" s="2" t="s">
        <v>769</v>
      </c>
      <c r="B447" s="2" t="s">
        <v>818</v>
      </c>
      <c r="C447" s="2" t="s">
        <v>104</v>
      </c>
      <c r="D447" s="16">
        <v>0</v>
      </c>
      <c r="E447" s="2" t="s">
        <v>769</v>
      </c>
      <c r="F447" s="2" t="s">
        <v>277</v>
      </c>
      <c r="G447" s="2" t="s">
        <v>819</v>
      </c>
      <c r="H447" s="17">
        <v>2179150</v>
      </c>
      <c r="I447" s="2"/>
      <c r="J447" s="2"/>
      <c r="K447" s="17">
        <v>2179150</v>
      </c>
      <c r="L447" s="17">
        <v>233480.36</v>
      </c>
      <c r="M447" s="17">
        <v>1945669.64</v>
      </c>
      <c r="N447" s="17">
        <v>2179150</v>
      </c>
      <c r="O447" s="2"/>
      <c r="P447" s="2"/>
      <c r="Q447" s="31" t="s">
        <v>69</v>
      </c>
      <c r="R447" s="66"/>
      <c r="S447" s="62"/>
      <c r="T447" s="5"/>
    </row>
    <row r="448" spans="1:20">
      <c r="A448" s="2" t="s">
        <v>1372</v>
      </c>
      <c r="B448" s="2" t="s">
        <v>1393</v>
      </c>
      <c r="C448" s="2" t="s">
        <v>104</v>
      </c>
      <c r="D448" s="16">
        <v>0</v>
      </c>
      <c r="E448" s="2" t="s">
        <v>1372</v>
      </c>
      <c r="F448" s="2" t="s">
        <v>277</v>
      </c>
      <c r="G448" s="2" t="s">
        <v>1394</v>
      </c>
      <c r="H448" s="17">
        <v>2179150</v>
      </c>
      <c r="I448" s="2"/>
      <c r="J448" s="2"/>
      <c r="K448" s="17">
        <v>2179150</v>
      </c>
      <c r="L448" s="17">
        <v>233480.36</v>
      </c>
      <c r="M448" s="17">
        <v>1945669.64</v>
      </c>
      <c r="N448" s="17">
        <v>2179150</v>
      </c>
      <c r="O448" s="2"/>
      <c r="P448" s="2"/>
      <c r="Q448" s="31" t="s">
        <v>69</v>
      </c>
      <c r="R448" s="66"/>
      <c r="S448" s="62"/>
      <c r="T448" s="5"/>
    </row>
    <row r="449" spans="1:20">
      <c r="A449" s="2" t="s">
        <v>1372</v>
      </c>
      <c r="B449" s="2" t="s">
        <v>1411</v>
      </c>
      <c r="C449" s="2" t="s">
        <v>104</v>
      </c>
      <c r="D449" s="16">
        <v>0</v>
      </c>
      <c r="E449" s="2" t="s">
        <v>1372</v>
      </c>
      <c r="F449" s="2" t="s">
        <v>277</v>
      </c>
      <c r="G449" s="2" t="s">
        <v>1412</v>
      </c>
      <c r="H449" s="17">
        <v>1815950</v>
      </c>
      <c r="I449" s="2"/>
      <c r="J449" s="2"/>
      <c r="K449" s="17">
        <v>1815950</v>
      </c>
      <c r="L449" s="17">
        <v>194566.07</v>
      </c>
      <c r="M449" s="17">
        <v>1621383.93</v>
      </c>
      <c r="N449" s="17">
        <v>1815950</v>
      </c>
      <c r="O449" s="2"/>
      <c r="P449" s="2"/>
      <c r="Q449" s="31" t="s">
        <v>69</v>
      </c>
      <c r="R449" s="65"/>
      <c r="S449" s="62"/>
      <c r="T449" s="5"/>
    </row>
    <row r="450" spans="1:20">
      <c r="A450" s="2" t="s">
        <v>199</v>
      </c>
      <c r="B450" s="2" t="s">
        <v>252</v>
      </c>
      <c r="C450" s="2" t="s">
        <v>68</v>
      </c>
      <c r="D450" s="16">
        <v>60</v>
      </c>
      <c r="E450" s="2" t="s">
        <v>200</v>
      </c>
      <c r="F450" s="2" t="s">
        <v>253</v>
      </c>
      <c r="G450" s="2" t="s">
        <v>254</v>
      </c>
      <c r="H450" s="17">
        <v>219190</v>
      </c>
      <c r="I450" s="2"/>
      <c r="J450" s="2"/>
      <c r="K450" s="17">
        <v>219190</v>
      </c>
      <c r="L450" s="17">
        <v>23484.639999999999</v>
      </c>
      <c r="M450" s="17">
        <v>195705.36</v>
      </c>
      <c r="N450" s="17">
        <v>219190</v>
      </c>
      <c r="O450" s="2"/>
      <c r="P450" s="2"/>
      <c r="Q450" s="31" t="s">
        <v>69</v>
      </c>
      <c r="R450" s="64">
        <f>+K450+K451+K452+K453+K454+K455</f>
        <v>2176670</v>
      </c>
      <c r="S450" s="62"/>
      <c r="T450" s="5"/>
    </row>
    <row r="451" spans="1:20">
      <c r="A451" s="2" t="s">
        <v>199</v>
      </c>
      <c r="B451" s="2" t="s">
        <v>255</v>
      </c>
      <c r="C451" s="2" t="s">
        <v>68</v>
      </c>
      <c r="D451" s="16">
        <v>60</v>
      </c>
      <c r="E451" s="2" t="s">
        <v>200</v>
      </c>
      <c r="F451" s="2" t="s">
        <v>253</v>
      </c>
      <c r="G451" s="2" t="s">
        <v>256</v>
      </c>
      <c r="H451" s="17">
        <v>255015</v>
      </c>
      <c r="I451" s="2"/>
      <c r="J451" s="2"/>
      <c r="K451" s="17">
        <v>255015</v>
      </c>
      <c r="L451" s="17">
        <v>27323.040000000001</v>
      </c>
      <c r="M451" s="17">
        <v>227691.96</v>
      </c>
      <c r="N451" s="17">
        <v>255015</v>
      </c>
      <c r="O451" s="2"/>
      <c r="P451" s="2"/>
      <c r="Q451" s="31" t="s">
        <v>69</v>
      </c>
      <c r="R451" s="66"/>
      <c r="S451" s="62"/>
      <c r="T451" s="5"/>
    </row>
    <row r="452" spans="1:20">
      <c r="A452" s="2" t="s">
        <v>199</v>
      </c>
      <c r="B452" s="2" t="s">
        <v>257</v>
      </c>
      <c r="C452" s="2" t="s">
        <v>68</v>
      </c>
      <c r="D452" s="16">
        <v>60</v>
      </c>
      <c r="E452" s="2" t="s">
        <v>200</v>
      </c>
      <c r="F452" s="2" t="s">
        <v>253</v>
      </c>
      <c r="G452" s="2" t="s">
        <v>258</v>
      </c>
      <c r="H452" s="17">
        <v>264015</v>
      </c>
      <c r="I452" s="2"/>
      <c r="J452" s="2"/>
      <c r="K452" s="17">
        <v>264015</v>
      </c>
      <c r="L452" s="17">
        <v>28287.32</v>
      </c>
      <c r="M452" s="17">
        <v>235727.68</v>
      </c>
      <c r="N452" s="17">
        <v>264015</v>
      </c>
      <c r="O452" s="2"/>
      <c r="P452" s="2"/>
      <c r="Q452" s="31" t="s">
        <v>69</v>
      </c>
      <c r="R452" s="66"/>
      <c r="S452" s="62"/>
      <c r="T452" s="5"/>
    </row>
    <row r="453" spans="1:20">
      <c r="A453" s="2" t="s">
        <v>199</v>
      </c>
      <c r="B453" s="2" t="s">
        <v>259</v>
      </c>
      <c r="C453" s="2" t="s">
        <v>68</v>
      </c>
      <c r="D453" s="16">
        <v>60</v>
      </c>
      <c r="E453" s="2" t="s">
        <v>200</v>
      </c>
      <c r="F453" s="2" t="s">
        <v>253</v>
      </c>
      <c r="G453" s="2" t="s">
        <v>260</v>
      </c>
      <c r="H453" s="17">
        <v>168550</v>
      </c>
      <c r="I453" s="2"/>
      <c r="J453" s="2"/>
      <c r="K453" s="17">
        <v>168550</v>
      </c>
      <c r="L453" s="17">
        <v>18058.93</v>
      </c>
      <c r="M453" s="17">
        <v>150491.07</v>
      </c>
      <c r="N453" s="17">
        <v>168550</v>
      </c>
      <c r="O453" s="2"/>
      <c r="P453" s="2"/>
      <c r="Q453" s="31" t="s">
        <v>69</v>
      </c>
      <c r="R453" s="66"/>
      <c r="S453" s="62"/>
      <c r="T453" s="5"/>
    </row>
    <row r="454" spans="1:20">
      <c r="A454" s="2" t="s">
        <v>199</v>
      </c>
      <c r="B454" s="2" t="s">
        <v>261</v>
      </c>
      <c r="C454" s="2" t="s">
        <v>68</v>
      </c>
      <c r="D454" s="16">
        <v>60</v>
      </c>
      <c r="E454" s="2" t="s">
        <v>200</v>
      </c>
      <c r="F454" s="2" t="s">
        <v>253</v>
      </c>
      <c r="G454" s="2" t="s">
        <v>262</v>
      </c>
      <c r="H454" s="17">
        <v>228290</v>
      </c>
      <c r="I454" s="2"/>
      <c r="J454" s="2"/>
      <c r="K454" s="17">
        <v>228290</v>
      </c>
      <c r="L454" s="17">
        <v>24459.64</v>
      </c>
      <c r="M454" s="17">
        <v>203830.36</v>
      </c>
      <c r="N454" s="17">
        <v>228290</v>
      </c>
      <c r="O454" s="2"/>
      <c r="P454" s="2"/>
      <c r="Q454" s="31" t="s">
        <v>69</v>
      </c>
      <c r="R454" s="66"/>
      <c r="S454" s="62"/>
      <c r="T454" s="5"/>
    </row>
    <row r="455" spans="1:20">
      <c r="A455" s="2" t="s">
        <v>1287</v>
      </c>
      <c r="B455" s="2" t="s">
        <v>1351</v>
      </c>
      <c r="C455" s="2" t="s">
        <v>151</v>
      </c>
      <c r="D455" s="16">
        <v>60</v>
      </c>
      <c r="E455" s="2" t="s">
        <v>1331</v>
      </c>
      <c r="F455" s="2" t="s">
        <v>253</v>
      </c>
      <c r="G455" s="2" t="s">
        <v>1352</v>
      </c>
      <c r="H455" s="17">
        <v>1041610</v>
      </c>
      <c r="I455" s="2"/>
      <c r="J455" s="2"/>
      <c r="K455" s="17">
        <v>1041610</v>
      </c>
      <c r="L455" s="17">
        <v>111601.07</v>
      </c>
      <c r="M455" s="17">
        <v>930008.93</v>
      </c>
      <c r="N455" s="17">
        <v>1041610</v>
      </c>
      <c r="O455" s="2"/>
      <c r="P455" s="2"/>
      <c r="Q455" s="31" t="s">
        <v>69</v>
      </c>
      <c r="R455" s="65"/>
      <c r="S455" s="62"/>
      <c r="T455" s="5"/>
    </row>
    <row r="456" spans="1:20">
      <c r="A456" s="2" t="s">
        <v>368</v>
      </c>
      <c r="B456" s="2" t="s">
        <v>419</v>
      </c>
      <c r="C456" s="2" t="s">
        <v>73</v>
      </c>
      <c r="D456" s="16">
        <v>30</v>
      </c>
      <c r="E456" s="2" t="s">
        <v>370</v>
      </c>
      <c r="F456" s="2" t="s">
        <v>420</v>
      </c>
      <c r="G456" s="2" t="s">
        <v>421</v>
      </c>
      <c r="H456" s="17">
        <v>140025</v>
      </c>
      <c r="I456" s="2"/>
      <c r="J456" s="17">
        <v>25000</v>
      </c>
      <c r="K456" s="17">
        <f>165025-J456</f>
        <v>140025</v>
      </c>
      <c r="L456" s="17">
        <v>17681.25</v>
      </c>
      <c r="M456" s="17">
        <v>147343.75</v>
      </c>
      <c r="N456" s="17">
        <v>165025</v>
      </c>
      <c r="O456" s="2"/>
      <c r="P456" s="2" t="s">
        <v>1771</v>
      </c>
      <c r="Q456" s="31" t="s">
        <v>69</v>
      </c>
      <c r="R456" s="41">
        <f>+K456</f>
        <v>140025</v>
      </c>
      <c r="S456" s="62"/>
      <c r="T456" s="5"/>
    </row>
    <row r="457" spans="1:20">
      <c r="A457" s="2" t="s">
        <v>1467</v>
      </c>
      <c r="B457" s="2" t="s">
        <v>1517</v>
      </c>
      <c r="C457" s="2" t="s">
        <v>151</v>
      </c>
      <c r="D457" s="16">
        <v>60</v>
      </c>
      <c r="E457" s="2" t="s">
        <v>1495</v>
      </c>
      <c r="F457" s="2" t="s">
        <v>1518</v>
      </c>
      <c r="G457" s="2" t="s">
        <v>1519</v>
      </c>
      <c r="H457" s="17">
        <v>159600</v>
      </c>
      <c r="I457" s="2"/>
      <c r="J457" s="2"/>
      <c r="K457" s="17">
        <v>159600</v>
      </c>
      <c r="L457" s="17">
        <v>17100</v>
      </c>
      <c r="M457" s="17">
        <v>142500</v>
      </c>
      <c r="N457" s="17">
        <v>159600</v>
      </c>
      <c r="O457" s="2"/>
      <c r="P457" s="2"/>
      <c r="Q457" s="31" t="s">
        <v>69</v>
      </c>
      <c r="R457" s="64">
        <f>+K457+K458</f>
        <v>390600</v>
      </c>
      <c r="S457" s="62"/>
      <c r="T457" s="5"/>
    </row>
    <row r="458" spans="1:20">
      <c r="A458" s="2" t="s">
        <v>1553</v>
      </c>
      <c r="B458" s="2" t="s">
        <v>1556</v>
      </c>
      <c r="C458" s="2" t="s">
        <v>151</v>
      </c>
      <c r="D458" s="16">
        <v>60</v>
      </c>
      <c r="E458" s="2" t="s">
        <v>1557</v>
      </c>
      <c r="F458" s="2" t="s">
        <v>1518</v>
      </c>
      <c r="G458" s="2" t="s">
        <v>1558</v>
      </c>
      <c r="H458" s="17">
        <v>231000</v>
      </c>
      <c r="I458" s="2"/>
      <c r="J458" s="2"/>
      <c r="K458" s="17">
        <v>231000</v>
      </c>
      <c r="L458" s="17">
        <v>24750</v>
      </c>
      <c r="M458" s="17">
        <v>206250</v>
      </c>
      <c r="N458" s="17">
        <v>231000</v>
      </c>
      <c r="O458" s="2"/>
      <c r="P458" s="2"/>
      <c r="Q458" s="31" t="s">
        <v>69</v>
      </c>
      <c r="R458" s="65"/>
      <c r="S458" s="62"/>
      <c r="T458" s="5"/>
    </row>
    <row r="459" spans="1:20">
      <c r="A459" s="2" t="s">
        <v>769</v>
      </c>
      <c r="B459" s="2" t="s">
        <v>778</v>
      </c>
      <c r="C459" s="2" t="s">
        <v>779</v>
      </c>
      <c r="D459" s="16">
        <v>0</v>
      </c>
      <c r="E459" s="2" t="s">
        <v>769</v>
      </c>
      <c r="F459" s="2" t="s">
        <v>780</v>
      </c>
      <c r="G459" s="2" t="s">
        <v>781</v>
      </c>
      <c r="H459" s="17">
        <v>443290</v>
      </c>
      <c r="I459" s="2"/>
      <c r="J459" s="2"/>
      <c r="K459" s="17">
        <v>443290</v>
      </c>
      <c r="L459" s="17">
        <v>47495.360000000001</v>
      </c>
      <c r="M459" s="17">
        <v>395794.64</v>
      </c>
      <c r="N459" s="17">
        <v>443290</v>
      </c>
      <c r="O459" s="2"/>
      <c r="P459" s="2"/>
      <c r="Q459" s="31" t="s">
        <v>69</v>
      </c>
      <c r="R459" s="64">
        <f>+K459+K460+K461+K462</f>
        <v>1492153</v>
      </c>
      <c r="S459" s="62"/>
      <c r="T459" s="5"/>
    </row>
    <row r="460" spans="1:20">
      <c r="A460" s="2" t="s">
        <v>769</v>
      </c>
      <c r="B460" s="2" t="s">
        <v>782</v>
      </c>
      <c r="C460" s="2" t="s">
        <v>779</v>
      </c>
      <c r="D460" s="16">
        <v>0</v>
      </c>
      <c r="E460" s="2" t="s">
        <v>769</v>
      </c>
      <c r="F460" s="2" t="s">
        <v>780</v>
      </c>
      <c r="G460" s="2" t="s">
        <v>783</v>
      </c>
      <c r="H460" s="17">
        <v>353465</v>
      </c>
      <c r="I460" s="2"/>
      <c r="J460" s="2"/>
      <c r="K460" s="17">
        <v>353465</v>
      </c>
      <c r="L460" s="17">
        <v>37871.25</v>
      </c>
      <c r="M460" s="17">
        <v>315593.75</v>
      </c>
      <c r="N460" s="17">
        <v>353465</v>
      </c>
      <c r="O460" s="2"/>
      <c r="P460" s="2"/>
      <c r="Q460" s="31" t="s">
        <v>69</v>
      </c>
      <c r="R460" s="66"/>
      <c r="S460" s="62"/>
      <c r="T460" s="5"/>
    </row>
    <row r="461" spans="1:20">
      <c r="A461" s="2" t="s">
        <v>769</v>
      </c>
      <c r="B461" s="2" t="s">
        <v>784</v>
      </c>
      <c r="C461" s="2" t="s">
        <v>779</v>
      </c>
      <c r="D461" s="16">
        <v>0</v>
      </c>
      <c r="E461" s="2" t="s">
        <v>769</v>
      </c>
      <c r="F461" s="2" t="s">
        <v>780</v>
      </c>
      <c r="G461" s="2" t="s">
        <v>785</v>
      </c>
      <c r="H461" s="17">
        <v>94498</v>
      </c>
      <c r="I461" s="2"/>
      <c r="J461" s="2"/>
      <c r="K461" s="17">
        <v>94498</v>
      </c>
      <c r="L461" s="17">
        <v>10124.790000000001</v>
      </c>
      <c r="M461" s="17">
        <v>84373.21</v>
      </c>
      <c r="N461" s="17">
        <v>94498</v>
      </c>
      <c r="O461" s="2"/>
      <c r="P461" s="2"/>
      <c r="Q461" s="31" t="s">
        <v>69</v>
      </c>
      <c r="R461" s="66"/>
      <c r="S461" s="62"/>
      <c r="T461" s="5"/>
    </row>
    <row r="462" spans="1:20">
      <c r="A462" s="2" t="s">
        <v>915</v>
      </c>
      <c r="B462" s="2" t="s">
        <v>968</v>
      </c>
      <c r="C462" s="2" t="s">
        <v>779</v>
      </c>
      <c r="D462" s="16">
        <v>0</v>
      </c>
      <c r="E462" s="2" t="s">
        <v>915</v>
      </c>
      <c r="F462" s="2" t="s">
        <v>780</v>
      </c>
      <c r="G462" s="2" t="s">
        <v>969</v>
      </c>
      <c r="H462" s="17">
        <v>600900</v>
      </c>
      <c r="I462" s="2"/>
      <c r="J462" s="2"/>
      <c r="K462" s="17">
        <v>600900</v>
      </c>
      <c r="L462" s="17">
        <v>64382.14</v>
      </c>
      <c r="M462" s="17">
        <v>536517.86</v>
      </c>
      <c r="N462" s="17">
        <v>600900</v>
      </c>
      <c r="O462" s="2"/>
      <c r="P462" s="2"/>
      <c r="Q462" s="31" t="s">
        <v>69</v>
      </c>
      <c r="R462" s="65"/>
      <c r="S462" s="62"/>
      <c r="T462" s="5"/>
    </row>
    <row r="463" spans="1:20">
      <c r="A463" s="2" t="s">
        <v>971</v>
      </c>
      <c r="B463" s="2" t="s">
        <v>1024</v>
      </c>
      <c r="C463" s="2" t="s">
        <v>151</v>
      </c>
      <c r="D463" s="16">
        <v>60</v>
      </c>
      <c r="E463" s="2" t="s">
        <v>991</v>
      </c>
      <c r="F463" s="2" t="s">
        <v>1025</v>
      </c>
      <c r="G463" s="2" t="s">
        <v>1026</v>
      </c>
      <c r="H463" s="17">
        <v>28145</v>
      </c>
      <c r="I463" s="2"/>
      <c r="J463" s="2"/>
      <c r="K463" s="17">
        <v>28145</v>
      </c>
      <c r="L463" s="17">
        <v>3015.54</v>
      </c>
      <c r="M463" s="17">
        <v>25129.46</v>
      </c>
      <c r="N463" s="17">
        <v>28145</v>
      </c>
      <c r="O463" s="2"/>
      <c r="P463" s="2"/>
      <c r="Q463" s="31" t="s">
        <v>69</v>
      </c>
      <c r="R463" s="64">
        <f>+K463+K464+K465+K466+K467</f>
        <v>323130</v>
      </c>
      <c r="S463" s="62"/>
      <c r="T463" s="5"/>
    </row>
    <row r="464" spans="1:20">
      <c r="A464" s="2" t="s">
        <v>971</v>
      </c>
      <c r="B464" s="2" t="s">
        <v>1027</v>
      </c>
      <c r="C464" s="2" t="s">
        <v>151</v>
      </c>
      <c r="D464" s="16">
        <v>60</v>
      </c>
      <c r="E464" s="2" t="s">
        <v>991</v>
      </c>
      <c r="F464" s="2" t="s">
        <v>1025</v>
      </c>
      <c r="G464" s="2" t="s">
        <v>1028</v>
      </c>
      <c r="H464" s="17">
        <v>54780</v>
      </c>
      <c r="I464" s="2"/>
      <c r="J464" s="2"/>
      <c r="K464" s="17">
        <v>54780</v>
      </c>
      <c r="L464" s="17">
        <v>5869.29</v>
      </c>
      <c r="M464" s="17">
        <v>48910.71</v>
      </c>
      <c r="N464" s="17">
        <v>54780</v>
      </c>
      <c r="O464" s="2"/>
      <c r="P464" s="2"/>
      <c r="Q464" s="31" t="s">
        <v>69</v>
      </c>
      <c r="R464" s="66"/>
      <c r="S464" s="62"/>
      <c r="T464" s="5"/>
    </row>
    <row r="465" spans="1:20">
      <c r="A465" s="2" t="s">
        <v>971</v>
      </c>
      <c r="B465" s="2" t="s">
        <v>1029</v>
      </c>
      <c r="C465" s="2" t="s">
        <v>151</v>
      </c>
      <c r="D465" s="16">
        <v>60</v>
      </c>
      <c r="E465" s="2" t="s">
        <v>991</v>
      </c>
      <c r="F465" s="2" t="s">
        <v>1025</v>
      </c>
      <c r="G465" s="2" t="s">
        <v>1030</v>
      </c>
      <c r="H465" s="17">
        <v>21925</v>
      </c>
      <c r="I465" s="2"/>
      <c r="J465" s="2"/>
      <c r="K465" s="17">
        <v>21925</v>
      </c>
      <c r="L465" s="17">
        <v>2349.11</v>
      </c>
      <c r="M465" s="17">
        <v>19575.89</v>
      </c>
      <c r="N465" s="17">
        <v>21925</v>
      </c>
      <c r="O465" s="2"/>
      <c r="P465" s="2"/>
      <c r="Q465" s="31" t="s">
        <v>69</v>
      </c>
      <c r="R465" s="66"/>
      <c r="S465" s="62"/>
      <c r="T465" s="5"/>
    </row>
    <row r="466" spans="1:20">
      <c r="A466" s="2" t="s">
        <v>971</v>
      </c>
      <c r="B466" s="2" t="s">
        <v>1031</v>
      </c>
      <c r="C466" s="2" t="s">
        <v>237</v>
      </c>
      <c r="D466" s="16">
        <v>60</v>
      </c>
      <c r="E466" s="2" t="s">
        <v>991</v>
      </c>
      <c r="F466" s="2" t="s">
        <v>1025</v>
      </c>
      <c r="G466" s="2" t="s">
        <v>1032</v>
      </c>
      <c r="H466" s="17">
        <v>98130</v>
      </c>
      <c r="I466" s="2"/>
      <c r="J466" s="2"/>
      <c r="K466" s="17">
        <v>98130</v>
      </c>
      <c r="L466" s="17">
        <v>10513.93</v>
      </c>
      <c r="M466" s="17">
        <v>87616.07</v>
      </c>
      <c r="N466" s="17">
        <v>98130</v>
      </c>
      <c r="O466" s="2"/>
      <c r="P466" s="2"/>
      <c r="Q466" s="31" t="s">
        <v>69</v>
      </c>
      <c r="R466" s="66"/>
      <c r="S466" s="62"/>
      <c r="T466" s="5"/>
    </row>
    <row r="467" spans="1:20">
      <c r="A467" s="2" t="s">
        <v>1372</v>
      </c>
      <c r="B467" s="2" t="s">
        <v>1450</v>
      </c>
      <c r="C467" s="2" t="s">
        <v>68</v>
      </c>
      <c r="D467" s="16">
        <v>60</v>
      </c>
      <c r="E467" s="2" t="s">
        <v>1373</v>
      </c>
      <c r="F467" s="2" t="s">
        <v>1025</v>
      </c>
      <c r="G467" s="2" t="s">
        <v>1451</v>
      </c>
      <c r="H467" s="17">
        <v>120150</v>
      </c>
      <c r="I467" s="2"/>
      <c r="J467" s="2"/>
      <c r="K467" s="17">
        <v>120150</v>
      </c>
      <c r="L467" s="17">
        <v>12873.21</v>
      </c>
      <c r="M467" s="17">
        <v>107276.79</v>
      </c>
      <c r="N467" s="17">
        <v>120150</v>
      </c>
      <c r="O467" s="2"/>
      <c r="P467" s="2"/>
      <c r="Q467" s="31" t="s">
        <v>69</v>
      </c>
      <c r="R467" s="65"/>
      <c r="S467" s="62"/>
      <c r="T467" s="5"/>
    </row>
    <row r="468" spans="1:20">
      <c r="A468" s="2" t="s">
        <v>282</v>
      </c>
      <c r="B468" s="2" t="s">
        <v>302</v>
      </c>
      <c r="C468" s="2" t="s">
        <v>237</v>
      </c>
      <c r="D468" s="16">
        <v>60</v>
      </c>
      <c r="E468" s="2" t="s">
        <v>286</v>
      </c>
      <c r="F468" s="2" t="s">
        <v>303</v>
      </c>
      <c r="G468" s="2" t="s">
        <v>304</v>
      </c>
      <c r="H468" s="17">
        <v>112895</v>
      </c>
      <c r="I468" s="2"/>
      <c r="J468" s="2"/>
      <c r="K468" s="17">
        <v>112895</v>
      </c>
      <c r="L468" s="17">
        <v>12095.89</v>
      </c>
      <c r="M468" s="17">
        <v>100799.11</v>
      </c>
      <c r="N468" s="17">
        <v>112895</v>
      </c>
      <c r="O468" s="2"/>
      <c r="P468" s="2"/>
      <c r="Q468" s="31" t="s">
        <v>69</v>
      </c>
      <c r="R468" s="64">
        <f>+K468+K469+K470+K471+K472+K473+K474</f>
        <v>938248</v>
      </c>
      <c r="S468" s="62"/>
      <c r="T468" s="5"/>
    </row>
    <row r="469" spans="1:20">
      <c r="A469" s="2" t="s">
        <v>282</v>
      </c>
      <c r="B469" s="2" t="s">
        <v>305</v>
      </c>
      <c r="C469" s="2" t="s">
        <v>237</v>
      </c>
      <c r="D469" s="16">
        <v>60</v>
      </c>
      <c r="E469" s="2" t="s">
        <v>286</v>
      </c>
      <c r="F469" s="2" t="s">
        <v>303</v>
      </c>
      <c r="G469" s="2" t="s">
        <v>306</v>
      </c>
      <c r="H469" s="17">
        <v>300000</v>
      </c>
      <c r="I469" s="2"/>
      <c r="J469" s="2"/>
      <c r="K469" s="17">
        <v>300000</v>
      </c>
      <c r="L469" s="17">
        <v>32142.86</v>
      </c>
      <c r="M469" s="17">
        <v>267857.14</v>
      </c>
      <c r="N469" s="17">
        <v>300000</v>
      </c>
      <c r="O469" s="2"/>
      <c r="P469" s="2"/>
      <c r="Q469" s="31" t="s">
        <v>69</v>
      </c>
      <c r="R469" s="66"/>
      <c r="S469" s="62"/>
      <c r="T469" s="5"/>
    </row>
    <row r="470" spans="1:20">
      <c r="A470" s="2" t="s">
        <v>282</v>
      </c>
      <c r="B470" s="2" t="s">
        <v>307</v>
      </c>
      <c r="C470" s="2" t="s">
        <v>237</v>
      </c>
      <c r="D470" s="16">
        <v>60</v>
      </c>
      <c r="E470" s="2" t="s">
        <v>286</v>
      </c>
      <c r="F470" s="2" t="s">
        <v>303</v>
      </c>
      <c r="G470" s="2" t="s">
        <v>308</v>
      </c>
      <c r="H470" s="17">
        <v>120000</v>
      </c>
      <c r="I470" s="2"/>
      <c r="J470" s="2"/>
      <c r="K470" s="17">
        <v>120000</v>
      </c>
      <c r="L470" s="17">
        <v>12857.14</v>
      </c>
      <c r="M470" s="17">
        <v>107142.86</v>
      </c>
      <c r="N470" s="17">
        <v>120000</v>
      </c>
      <c r="O470" s="2"/>
      <c r="P470" s="2"/>
      <c r="Q470" s="31" t="s">
        <v>69</v>
      </c>
      <c r="R470" s="66"/>
      <c r="S470" s="62"/>
      <c r="T470" s="5"/>
    </row>
    <row r="471" spans="1:20">
      <c r="A471" s="2" t="s">
        <v>282</v>
      </c>
      <c r="B471" s="2" t="s">
        <v>309</v>
      </c>
      <c r="C471" s="2" t="s">
        <v>237</v>
      </c>
      <c r="D471" s="16">
        <v>60</v>
      </c>
      <c r="E471" s="2" t="s">
        <v>286</v>
      </c>
      <c r="F471" s="2" t="s">
        <v>303</v>
      </c>
      <c r="G471" s="2" t="s">
        <v>310</v>
      </c>
      <c r="H471" s="17">
        <v>24000</v>
      </c>
      <c r="I471" s="2"/>
      <c r="J471" s="2"/>
      <c r="K471" s="17">
        <v>24000</v>
      </c>
      <c r="L471" s="17">
        <v>2571.4299999999998</v>
      </c>
      <c r="M471" s="17">
        <v>21428.57</v>
      </c>
      <c r="N471" s="17">
        <v>24000</v>
      </c>
      <c r="O471" s="2"/>
      <c r="P471" s="2"/>
      <c r="Q471" s="31" t="s">
        <v>69</v>
      </c>
      <c r="R471" s="66"/>
      <c r="S471" s="62"/>
      <c r="T471" s="5"/>
    </row>
    <row r="472" spans="1:20">
      <c r="A472" s="2" t="s">
        <v>769</v>
      </c>
      <c r="B472" s="2" t="s">
        <v>768</v>
      </c>
      <c r="C472" s="2" t="s">
        <v>237</v>
      </c>
      <c r="D472" s="16">
        <v>60</v>
      </c>
      <c r="E472" s="2" t="s">
        <v>770</v>
      </c>
      <c r="F472" s="2" t="s">
        <v>303</v>
      </c>
      <c r="G472" s="2" t="s">
        <v>771</v>
      </c>
      <c r="H472" s="17">
        <v>113650</v>
      </c>
      <c r="I472" s="2"/>
      <c r="J472" s="2"/>
      <c r="K472" s="17">
        <v>113650</v>
      </c>
      <c r="L472" s="17">
        <v>12176.79</v>
      </c>
      <c r="M472" s="17">
        <v>101473.21</v>
      </c>
      <c r="N472" s="17">
        <v>113650</v>
      </c>
      <c r="O472" s="2"/>
      <c r="P472" s="2"/>
      <c r="Q472" s="31" t="s">
        <v>69</v>
      </c>
      <c r="R472" s="66"/>
      <c r="S472" s="62"/>
      <c r="T472" s="5"/>
    </row>
    <row r="473" spans="1:20">
      <c r="A473" s="2" t="s">
        <v>769</v>
      </c>
      <c r="B473" s="2" t="s">
        <v>772</v>
      </c>
      <c r="C473" s="2" t="s">
        <v>237</v>
      </c>
      <c r="D473" s="16">
        <v>60</v>
      </c>
      <c r="E473" s="2" t="s">
        <v>770</v>
      </c>
      <c r="F473" s="2" t="s">
        <v>303</v>
      </c>
      <c r="G473" s="2" t="s">
        <v>773</v>
      </c>
      <c r="H473" s="17">
        <v>113650</v>
      </c>
      <c r="I473" s="2"/>
      <c r="J473" s="2"/>
      <c r="K473" s="17">
        <v>113650</v>
      </c>
      <c r="L473" s="17">
        <v>12176.79</v>
      </c>
      <c r="M473" s="17">
        <v>101473.21</v>
      </c>
      <c r="N473" s="17">
        <v>113650</v>
      </c>
      <c r="O473" s="2"/>
      <c r="P473" s="2"/>
      <c r="Q473" s="31" t="s">
        <v>69</v>
      </c>
      <c r="R473" s="66"/>
      <c r="S473" s="62"/>
      <c r="T473" s="5"/>
    </row>
    <row r="474" spans="1:20">
      <c r="A474" s="2" t="s">
        <v>769</v>
      </c>
      <c r="B474" s="2" t="s">
        <v>774</v>
      </c>
      <c r="C474" s="2" t="s">
        <v>237</v>
      </c>
      <c r="D474" s="16">
        <v>60</v>
      </c>
      <c r="E474" s="2" t="s">
        <v>770</v>
      </c>
      <c r="F474" s="2" t="s">
        <v>303</v>
      </c>
      <c r="G474" s="2" t="s">
        <v>775</v>
      </c>
      <c r="H474" s="17">
        <v>154053</v>
      </c>
      <c r="I474" s="2"/>
      <c r="J474" s="2"/>
      <c r="K474" s="17">
        <v>154053</v>
      </c>
      <c r="L474" s="17">
        <v>16505.68</v>
      </c>
      <c r="M474" s="17">
        <v>137547.32</v>
      </c>
      <c r="N474" s="17">
        <v>154053</v>
      </c>
      <c r="O474" s="2"/>
      <c r="P474" s="2"/>
      <c r="Q474" s="31" t="s">
        <v>69</v>
      </c>
      <c r="R474" s="65"/>
      <c r="S474" s="62"/>
      <c r="T474" s="5"/>
    </row>
    <row r="475" spans="1:20">
      <c r="A475" s="2" t="s">
        <v>866</v>
      </c>
      <c r="B475" s="2" t="s">
        <v>884</v>
      </c>
      <c r="C475" s="2" t="s">
        <v>146</v>
      </c>
      <c r="D475" s="16">
        <v>90</v>
      </c>
      <c r="E475" s="2" t="s">
        <v>885</v>
      </c>
      <c r="F475" s="2" t="s">
        <v>886</v>
      </c>
      <c r="G475" s="2" t="s">
        <v>887</v>
      </c>
      <c r="H475" s="17">
        <v>169280</v>
      </c>
      <c r="I475" s="2"/>
      <c r="J475" s="2"/>
      <c r="K475" s="17">
        <v>169280</v>
      </c>
      <c r="L475" s="17">
        <v>18137.14</v>
      </c>
      <c r="M475" s="17">
        <v>151142.85999999999</v>
      </c>
      <c r="N475" s="17">
        <v>169280</v>
      </c>
      <c r="O475" s="2"/>
      <c r="P475" s="2"/>
      <c r="Q475" s="31" t="s">
        <v>69</v>
      </c>
      <c r="R475" s="41">
        <f>+K475</f>
        <v>169280</v>
      </c>
      <c r="S475" s="62"/>
      <c r="T475" s="5"/>
    </row>
    <row r="476" spans="1:20">
      <c r="A476" s="2" t="s">
        <v>689</v>
      </c>
      <c r="B476" s="2" t="s">
        <v>696</v>
      </c>
      <c r="C476" s="2" t="s">
        <v>34</v>
      </c>
      <c r="D476" s="16">
        <v>60</v>
      </c>
      <c r="E476" s="2" t="s">
        <v>692</v>
      </c>
      <c r="F476" s="2" t="s">
        <v>697</v>
      </c>
      <c r="G476" s="2" t="s">
        <v>698</v>
      </c>
      <c r="H476" s="17">
        <v>167725</v>
      </c>
      <c r="I476" s="2"/>
      <c r="J476" s="2"/>
      <c r="K476" s="17">
        <v>167725</v>
      </c>
      <c r="L476" s="17">
        <v>17970.54</v>
      </c>
      <c r="M476" s="17">
        <v>149754.46</v>
      </c>
      <c r="N476" s="17">
        <v>167725</v>
      </c>
      <c r="O476" s="2"/>
      <c r="P476" s="2"/>
      <c r="Q476" s="31" t="s">
        <v>69</v>
      </c>
      <c r="R476" s="64">
        <f>+K476+K477</f>
        <v>216905</v>
      </c>
      <c r="S476" s="62"/>
      <c r="T476" s="5"/>
    </row>
    <row r="477" spans="1:20">
      <c r="A477" s="2" t="s">
        <v>1117</v>
      </c>
      <c r="B477" s="2" t="s">
        <v>1202</v>
      </c>
      <c r="C477" s="2" t="s">
        <v>34</v>
      </c>
      <c r="D477" s="16">
        <v>60</v>
      </c>
      <c r="E477" s="2" t="s">
        <v>1139</v>
      </c>
      <c r="F477" s="2" t="s">
        <v>697</v>
      </c>
      <c r="G477" s="2" t="s">
        <v>1203</v>
      </c>
      <c r="H477" s="17">
        <v>49180</v>
      </c>
      <c r="I477" s="2"/>
      <c r="J477" s="2"/>
      <c r="K477" s="17">
        <v>49180</v>
      </c>
      <c r="L477" s="17">
        <v>5269.29</v>
      </c>
      <c r="M477" s="17">
        <v>43910.71</v>
      </c>
      <c r="N477" s="17">
        <v>49180</v>
      </c>
      <c r="O477" s="2"/>
      <c r="P477" s="2"/>
      <c r="Q477" s="31" t="s">
        <v>69</v>
      </c>
      <c r="R477" s="65"/>
      <c r="S477" s="62"/>
      <c r="T477" s="5"/>
    </row>
    <row r="478" spans="1:20">
      <c r="A478" s="2" t="s">
        <v>1372</v>
      </c>
      <c r="B478" s="2" t="s">
        <v>1395</v>
      </c>
      <c r="C478" s="2" t="s">
        <v>54</v>
      </c>
      <c r="D478" s="16">
        <v>90</v>
      </c>
      <c r="E478" s="2" t="s">
        <v>1376</v>
      </c>
      <c r="F478" s="2" t="s">
        <v>1396</v>
      </c>
      <c r="G478" s="2" t="s">
        <v>1397</v>
      </c>
      <c r="H478" s="17">
        <v>412500</v>
      </c>
      <c r="I478" s="2"/>
      <c r="J478" s="2"/>
      <c r="K478" s="17">
        <v>412500</v>
      </c>
      <c r="L478" s="17">
        <v>44196.43</v>
      </c>
      <c r="M478" s="17">
        <v>368303.57</v>
      </c>
      <c r="N478" s="17">
        <v>412500</v>
      </c>
      <c r="O478" s="2"/>
      <c r="P478" s="2"/>
      <c r="Q478" s="31" t="s">
        <v>69</v>
      </c>
      <c r="R478" s="41">
        <f>+K478</f>
        <v>412500</v>
      </c>
      <c r="S478" s="62"/>
      <c r="T478" s="5"/>
    </row>
    <row r="479" spans="1:20">
      <c r="A479" s="2" t="s">
        <v>637</v>
      </c>
      <c r="B479" s="2" t="s">
        <v>662</v>
      </c>
      <c r="C479" s="2" t="s">
        <v>146</v>
      </c>
      <c r="D479" s="16">
        <v>90</v>
      </c>
      <c r="E479" s="2" t="s">
        <v>655</v>
      </c>
      <c r="F479" s="2" t="s">
        <v>663</v>
      </c>
      <c r="G479" s="2" t="s">
        <v>664</v>
      </c>
      <c r="H479" s="17">
        <v>643242.6</v>
      </c>
      <c r="I479" s="2"/>
      <c r="J479" s="2"/>
      <c r="K479" s="17">
        <v>643242.6</v>
      </c>
      <c r="L479" s="17">
        <v>68918.850000000006</v>
      </c>
      <c r="M479" s="17">
        <v>574323.75</v>
      </c>
      <c r="N479" s="17">
        <v>643242.6</v>
      </c>
      <c r="O479" s="2"/>
      <c r="P479" s="2"/>
      <c r="Q479" s="31" t="s">
        <v>69</v>
      </c>
      <c r="R479" s="64">
        <f>+K479+K480</f>
        <v>1010809.8</v>
      </c>
      <c r="S479" s="62"/>
      <c r="T479" s="5"/>
    </row>
    <row r="480" spans="1:20">
      <c r="A480" s="2" t="s">
        <v>971</v>
      </c>
      <c r="B480" s="2" t="s">
        <v>1014</v>
      </c>
      <c r="C480" s="2" t="s">
        <v>146</v>
      </c>
      <c r="D480" s="16">
        <v>90</v>
      </c>
      <c r="E480" s="2" t="s">
        <v>986</v>
      </c>
      <c r="F480" s="2" t="s">
        <v>663</v>
      </c>
      <c r="G480" s="2" t="s">
        <v>1015</v>
      </c>
      <c r="H480" s="17">
        <v>367567.2</v>
      </c>
      <c r="I480" s="2"/>
      <c r="J480" s="2"/>
      <c r="K480" s="17">
        <v>367567.2</v>
      </c>
      <c r="L480" s="17">
        <v>39382.199999999997</v>
      </c>
      <c r="M480" s="17">
        <v>328185</v>
      </c>
      <c r="N480" s="17">
        <v>367567.2</v>
      </c>
      <c r="O480" s="2"/>
      <c r="P480" s="2"/>
      <c r="Q480" s="31" t="s">
        <v>69</v>
      </c>
      <c r="R480" s="65"/>
      <c r="S480" s="62"/>
      <c r="T480" s="5"/>
    </row>
    <row r="481" spans="1:20">
      <c r="A481" s="2" t="s">
        <v>769</v>
      </c>
      <c r="B481" s="2" t="s">
        <v>852</v>
      </c>
      <c r="C481" s="2" t="s">
        <v>162</v>
      </c>
      <c r="D481" s="16">
        <v>90</v>
      </c>
      <c r="E481" s="2" t="s">
        <v>815</v>
      </c>
      <c r="F481" s="2" t="s">
        <v>853</v>
      </c>
      <c r="G481" s="2" t="s">
        <v>854</v>
      </c>
      <c r="H481" s="17">
        <v>586795</v>
      </c>
      <c r="I481" s="2"/>
      <c r="J481" s="2"/>
      <c r="K481" s="17">
        <v>586795</v>
      </c>
      <c r="L481" s="17">
        <v>62870.89</v>
      </c>
      <c r="M481" s="17">
        <v>523924.11</v>
      </c>
      <c r="N481" s="17">
        <v>586795</v>
      </c>
      <c r="O481" s="2"/>
      <c r="P481" s="2"/>
      <c r="Q481" s="31" t="s">
        <v>69</v>
      </c>
      <c r="R481" s="41">
        <f>+K481</f>
        <v>586795</v>
      </c>
      <c r="S481" s="62"/>
      <c r="T481" s="5"/>
    </row>
    <row r="482" spans="1:20">
      <c r="A482" s="2" t="s">
        <v>505</v>
      </c>
      <c r="B482" s="2" t="s">
        <v>573</v>
      </c>
      <c r="C482" s="2" t="s">
        <v>68</v>
      </c>
      <c r="D482" s="16">
        <v>60</v>
      </c>
      <c r="E482" s="2" t="s">
        <v>509</v>
      </c>
      <c r="F482" s="2" t="s">
        <v>574</v>
      </c>
      <c r="G482" s="2" t="s">
        <v>575</v>
      </c>
      <c r="H482" s="17">
        <v>988600</v>
      </c>
      <c r="I482" s="2"/>
      <c r="J482" s="2"/>
      <c r="K482" s="17">
        <v>988600</v>
      </c>
      <c r="L482" s="17">
        <v>105921.43</v>
      </c>
      <c r="M482" s="17">
        <v>882678.57</v>
      </c>
      <c r="N482" s="17">
        <v>988600</v>
      </c>
      <c r="O482" s="2"/>
      <c r="P482" s="2"/>
      <c r="Q482" s="31" t="s">
        <v>69</v>
      </c>
      <c r="R482" s="64">
        <f>+K482+K483+K484+K485+K486</f>
        <v>6348560</v>
      </c>
      <c r="S482" s="62"/>
      <c r="T482" s="5"/>
    </row>
    <row r="483" spans="1:20">
      <c r="A483" s="2" t="s">
        <v>505</v>
      </c>
      <c r="B483" s="2" t="s">
        <v>591</v>
      </c>
      <c r="C483" s="2" t="s">
        <v>68</v>
      </c>
      <c r="D483" s="16">
        <v>60</v>
      </c>
      <c r="E483" s="2" t="s">
        <v>509</v>
      </c>
      <c r="F483" s="2" t="s">
        <v>574</v>
      </c>
      <c r="G483" s="2" t="s">
        <v>592</v>
      </c>
      <c r="H483" s="17">
        <v>70510</v>
      </c>
      <c r="I483" s="2"/>
      <c r="J483" s="2"/>
      <c r="K483" s="17">
        <v>70510</v>
      </c>
      <c r="L483" s="17">
        <v>7554.64</v>
      </c>
      <c r="M483" s="17">
        <v>62955.360000000001</v>
      </c>
      <c r="N483" s="17">
        <v>70510</v>
      </c>
      <c r="O483" s="2"/>
      <c r="P483" s="2"/>
      <c r="Q483" s="31" t="s">
        <v>69</v>
      </c>
      <c r="R483" s="66"/>
      <c r="S483" s="62"/>
      <c r="T483" s="5"/>
    </row>
    <row r="484" spans="1:20">
      <c r="A484" s="2" t="s">
        <v>505</v>
      </c>
      <c r="B484" s="2" t="s">
        <v>593</v>
      </c>
      <c r="C484" s="2" t="s">
        <v>68</v>
      </c>
      <c r="D484" s="16">
        <v>60</v>
      </c>
      <c r="E484" s="2" t="s">
        <v>509</v>
      </c>
      <c r="F484" s="2" t="s">
        <v>574</v>
      </c>
      <c r="G484" s="2" t="s">
        <v>594</v>
      </c>
      <c r="H484" s="17">
        <v>2221065</v>
      </c>
      <c r="I484" s="2"/>
      <c r="J484" s="2"/>
      <c r="K484" s="17">
        <v>2221065</v>
      </c>
      <c r="L484" s="17">
        <v>237971.25</v>
      </c>
      <c r="M484" s="17">
        <v>1983093.75</v>
      </c>
      <c r="N484" s="17">
        <v>2221065</v>
      </c>
      <c r="O484" s="2"/>
      <c r="P484" s="2"/>
      <c r="Q484" s="31" t="s">
        <v>69</v>
      </c>
      <c r="R484" s="66"/>
      <c r="S484" s="62"/>
      <c r="T484" s="5"/>
    </row>
    <row r="485" spans="1:20">
      <c r="A485" s="2" t="s">
        <v>866</v>
      </c>
      <c r="B485" s="2" t="s">
        <v>888</v>
      </c>
      <c r="C485" s="2" t="s">
        <v>68</v>
      </c>
      <c r="D485" s="16">
        <v>60</v>
      </c>
      <c r="E485" s="2" t="s">
        <v>873</v>
      </c>
      <c r="F485" s="2" t="s">
        <v>574</v>
      </c>
      <c r="G485" s="2" t="s">
        <v>889</v>
      </c>
      <c r="H485" s="17">
        <v>2539560</v>
      </c>
      <c r="I485" s="2"/>
      <c r="J485" s="2"/>
      <c r="K485" s="17">
        <v>2539560</v>
      </c>
      <c r="L485" s="17">
        <v>272095.71000000002</v>
      </c>
      <c r="M485" s="17">
        <v>2267464.29</v>
      </c>
      <c r="N485" s="17">
        <v>2539560</v>
      </c>
      <c r="O485" s="2"/>
      <c r="P485" s="2"/>
      <c r="Q485" s="31" t="s">
        <v>69</v>
      </c>
      <c r="R485" s="66"/>
      <c r="S485" s="62"/>
      <c r="T485" s="5"/>
    </row>
    <row r="486" spans="1:20">
      <c r="A486" s="2" t="s">
        <v>1117</v>
      </c>
      <c r="B486" s="2" t="s">
        <v>1146</v>
      </c>
      <c r="C486" s="2" t="s">
        <v>151</v>
      </c>
      <c r="D486" s="16">
        <v>60</v>
      </c>
      <c r="E486" s="2" t="s">
        <v>1139</v>
      </c>
      <c r="F486" s="2" t="s">
        <v>574</v>
      </c>
      <c r="G486" s="2" t="s">
        <v>1147</v>
      </c>
      <c r="H486" s="17">
        <v>528825</v>
      </c>
      <c r="I486" s="2"/>
      <c r="J486" s="2"/>
      <c r="K486" s="17">
        <v>528825</v>
      </c>
      <c r="L486" s="17">
        <v>56659.82</v>
      </c>
      <c r="M486" s="17">
        <v>472165.18</v>
      </c>
      <c r="N486" s="17">
        <v>528825</v>
      </c>
      <c r="O486" s="2"/>
      <c r="P486" s="2"/>
      <c r="Q486" s="31" t="s">
        <v>69</v>
      </c>
      <c r="R486" s="65"/>
      <c r="S486" s="62"/>
      <c r="T486" s="5"/>
    </row>
    <row r="487" spans="1:20">
      <c r="A487" s="2" t="s">
        <v>17</v>
      </c>
      <c r="B487" s="2" t="s">
        <v>78</v>
      </c>
      <c r="C487" s="2" t="s">
        <v>79</v>
      </c>
      <c r="D487" s="16">
        <v>30</v>
      </c>
      <c r="E487" s="2" t="s">
        <v>24</v>
      </c>
      <c r="F487" s="2" t="s">
        <v>80</v>
      </c>
      <c r="G487" s="2" t="s">
        <v>81</v>
      </c>
      <c r="H487" s="17">
        <v>23350</v>
      </c>
      <c r="I487" s="2"/>
      <c r="J487" s="2"/>
      <c r="K487" s="17">
        <v>23350</v>
      </c>
      <c r="L487" s="17">
        <v>2501.79</v>
      </c>
      <c r="M487" s="17">
        <v>20848.21</v>
      </c>
      <c r="N487" s="17">
        <v>23350</v>
      </c>
      <c r="O487" s="2"/>
      <c r="P487" s="2"/>
      <c r="Q487" s="31" t="s">
        <v>69</v>
      </c>
      <c r="R487" s="64">
        <f>+K487+K488</f>
        <v>30025</v>
      </c>
      <c r="S487" s="62"/>
      <c r="T487" s="5"/>
    </row>
    <row r="488" spans="1:20">
      <c r="A488" s="2" t="s">
        <v>17</v>
      </c>
      <c r="B488" s="2" t="s">
        <v>82</v>
      </c>
      <c r="C488" s="2" t="s">
        <v>79</v>
      </c>
      <c r="D488" s="16">
        <v>30</v>
      </c>
      <c r="E488" s="2" t="s">
        <v>24</v>
      </c>
      <c r="F488" s="2" t="s">
        <v>80</v>
      </c>
      <c r="G488" s="2" t="s">
        <v>83</v>
      </c>
      <c r="H488" s="17">
        <v>6675</v>
      </c>
      <c r="I488" s="2"/>
      <c r="J488" s="2"/>
      <c r="K488" s="17">
        <v>6675</v>
      </c>
      <c r="L488" s="18">
        <v>715.18</v>
      </c>
      <c r="M488" s="17">
        <v>5959.82</v>
      </c>
      <c r="N488" s="17">
        <v>6675</v>
      </c>
      <c r="O488" s="2"/>
      <c r="P488" s="2"/>
      <c r="Q488" s="31" t="s">
        <v>69</v>
      </c>
      <c r="R488" s="65"/>
      <c r="S488" s="62"/>
      <c r="T488" s="5"/>
    </row>
    <row r="489" spans="1:20">
      <c r="A489" s="2" t="s">
        <v>17</v>
      </c>
      <c r="B489" s="2" t="s">
        <v>67</v>
      </c>
      <c r="C489" s="2" t="s">
        <v>68</v>
      </c>
      <c r="D489" s="16">
        <v>60</v>
      </c>
      <c r="E489" s="2" t="s">
        <v>35</v>
      </c>
      <c r="F489" s="2" t="s">
        <v>70</v>
      </c>
      <c r="G489" s="2" t="s">
        <v>71</v>
      </c>
      <c r="H489" s="17">
        <v>2419200</v>
      </c>
      <c r="I489" s="2"/>
      <c r="J489" s="2"/>
      <c r="K489" s="17">
        <v>2419200</v>
      </c>
      <c r="L489" s="17">
        <v>259200</v>
      </c>
      <c r="M489" s="17">
        <v>2160000</v>
      </c>
      <c r="N489" s="17">
        <v>2419200</v>
      </c>
      <c r="O489" s="2"/>
      <c r="P489" s="2"/>
      <c r="Q489" s="31" t="s">
        <v>69</v>
      </c>
      <c r="R489" s="64">
        <f>+K489+K490+K491+K492+K493+K494+K495+K496+K497+K498+K499</f>
        <v>20938320</v>
      </c>
      <c r="S489" s="62"/>
      <c r="T489" s="5"/>
    </row>
    <row r="490" spans="1:20">
      <c r="A490" s="2" t="s">
        <v>17</v>
      </c>
      <c r="B490" s="2" t="s">
        <v>76</v>
      </c>
      <c r="C490" s="2" t="s">
        <v>68</v>
      </c>
      <c r="D490" s="16">
        <v>60</v>
      </c>
      <c r="E490" s="2" t="s">
        <v>35</v>
      </c>
      <c r="F490" s="2" t="s">
        <v>70</v>
      </c>
      <c r="G490" s="2" t="s">
        <v>77</v>
      </c>
      <c r="H490" s="17">
        <v>316320</v>
      </c>
      <c r="I490" s="2"/>
      <c r="J490" s="2"/>
      <c r="K490" s="17">
        <v>316320</v>
      </c>
      <c r="L490" s="17">
        <v>33891.43</v>
      </c>
      <c r="M490" s="17">
        <v>282428.57</v>
      </c>
      <c r="N490" s="17">
        <v>316320</v>
      </c>
      <c r="O490" s="2"/>
      <c r="P490" s="2"/>
      <c r="Q490" s="31" t="s">
        <v>69</v>
      </c>
      <c r="R490" s="66"/>
      <c r="S490" s="62"/>
      <c r="T490" s="5"/>
    </row>
    <row r="491" spans="1:20">
      <c r="A491" s="2" t="s">
        <v>199</v>
      </c>
      <c r="B491" s="2" t="s">
        <v>230</v>
      </c>
      <c r="C491" s="2" t="s">
        <v>68</v>
      </c>
      <c r="D491" s="16">
        <v>60</v>
      </c>
      <c r="E491" s="2" t="s">
        <v>200</v>
      </c>
      <c r="F491" s="2" t="s">
        <v>70</v>
      </c>
      <c r="G491" s="2" t="s">
        <v>231</v>
      </c>
      <c r="H491" s="17">
        <v>2419200</v>
      </c>
      <c r="I491" s="2"/>
      <c r="J491" s="2"/>
      <c r="K491" s="17">
        <v>2419200</v>
      </c>
      <c r="L491" s="17">
        <v>259200</v>
      </c>
      <c r="M491" s="17">
        <v>2160000</v>
      </c>
      <c r="N491" s="17">
        <v>2419200</v>
      </c>
      <c r="O491" s="2"/>
      <c r="P491" s="2"/>
      <c r="Q491" s="31" t="s">
        <v>69</v>
      </c>
      <c r="R491" s="66"/>
      <c r="S491" s="62"/>
      <c r="T491" s="5"/>
    </row>
    <row r="492" spans="1:20" s="10" customFormat="1">
      <c r="A492" s="35" t="s">
        <v>505</v>
      </c>
      <c r="B492" s="35" t="s">
        <v>550</v>
      </c>
      <c r="C492" s="35" t="s">
        <v>68</v>
      </c>
      <c r="D492" s="36">
        <v>60</v>
      </c>
      <c r="E492" s="35" t="s">
        <v>509</v>
      </c>
      <c r="F492" s="35" t="s">
        <v>70</v>
      </c>
      <c r="G492" s="35" t="s">
        <v>551</v>
      </c>
      <c r="H492" s="37">
        <v>2419200</v>
      </c>
      <c r="I492" s="35"/>
      <c r="J492" s="35"/>
      <c r="K492" s="37">
        <v>2419200</v>
      </c>
      <c r="L492" s="37">
        <v>259200</v>
      </c>
      <c r="M492" s="37">
        <v>2160000</v>
      </c>
      <c r="N492" s="37">
        <v>2419200</v>
      </c>
      <c r="O492" s="35"/>
      <c r="P492" s="35"/>
      <c r="Q492" s="38" t="s">
        <v>69</v>
      </c>
      <c r="R492" s="66"/>
      <c r="S492" s="62"/>
      <c r="T492" s="9"/>
    </row>
    <row r="493" spans="1:20" s="10" customFormat="1">
      <c r="A493" s="35" t="s">
        <v>596</v>
      </c>
      <c r="B493" s="35" t="s">
        <v>630</v>
      </c>
      <c r="C493" s="35" t="s">
        <v>68</v>
      </c>
      <c r="D493" s="36">
        <v>60</v>
      </c>
      <c r="E493" s="35" t="s">
        <v>613</v>
      </c>
      <c r="F493" s="35" t="s">
        <v>70</v>
      </c>
      <c r="G493" s="35" t="s">
        <v>631</v>
      </c>
      <c r="H493" s="37">
        <v>2419200</v>
      </c>
      <c r="I493" s="35"/>
      <c r="J493" s="35"/>
      <c r="K493" s="37">
        <v>2419200</v>
      </c>
      <c r="L493" s="37">
        <v>259200</v>
      </c>
      <c r="M493" s="37">
        <v>2160000</v>
      </c>
      <c r="N493" s="37">
        <v>2419200</v>
      </c>
      <c r="O493" s="35"/>
      <c r="P493" s="35"/>
      <c r="Q493" s="38" t="s">
        <v>69</v>
      </c>
      <c r="R493" s="66"/>
      <c r="S493" s="62"/>
      <c r="T493" s="9"/>
    </row>
    <row r="494" spans="1:20" s="10" customFormat="1">
      <c r="A494" s="35" t="s">
        <v>689</v>
      </c>
      <c r="B494" s="35" t="s">
        <v>756</v>
      </c>
      <c r="C494" s="35" t="s">
        <v>68</v>
      </c>
      <c r="D494" s="36">
        <v>60</v>
      </c>
      <c r="E494" s="35" t="s">
        <v>692</v>
      </c>
      <c r="F494" s="35" t="s">
        <v>70</v>
      </c>
      <c r="G494" s="35" t="s">
        <v>757</v>
      </c>
      <c r="H494" s="37">
        <v>2419200</v>
      </c>
      <c r="I494" s="35"/>
      <c r="J494" s="35"/>
      <c r="K494" s="37">
        <v>2419200</v>
      </c>
      <c r="L494" s="37">
        <v>259200</v>
      </c>
      <c r="M494" s="37">
        <v>2160000</v>
      </c>
      <c r="N494" s="37">
        <v>2419200</v>
      </c>
      <c r="O494" s="35"/>
      <c r="P494" s="35"/>
      <c r="Q494" s="38" t="s">
        <v>69</v>
      </c>
      <c r="R494" s="66"/>
      <c r="S494" s="62"/>
      <c r="T494" s="9"/>
    </row>
    <row r="495" spans="1:20">
      <c r="A495" s="2" t="s">
        <v>769</v>
      </c>
      <c r="B495" s="2" t="s">
        <v>850</v>
      </c>
      <c r="C495" s="2" t="s">
        <v>68</v>
      </c>
      <c r="D495" s="16">
        <v>60</v>
      </c>
      <c r="E495" s="2" t="s">
        <v>770</v>
      </c>
      <c r="F495" s="2" t="s">
        <v>70</v>
      </c>
      <c r="G495" s="2" t="s">
        <v>851</v>
      </c>
      <c r="H495" s="17">
        <v>1209600</v>
      </c>
      <c r="I495" s="2"/>
      <c r="J495" s="2"/>
      <c r="K495" s="17">
        <v>1209600</v>
      </c>
      <c r="L495" s="17">
        <v>129600</v>
      </c>
      <c r="M495" s="17">
        <v>1080000</v>
      </c>
      <c r="N495" s="17">
        <v>1209600</v>
      </c>
      <c r="O495" s="2"/>
      <c r="P495" s="2"/>
      <c r="Q495" s="31" t="s">
        <v>69</v>
      </c>
      <c r="R495" s="66"/>
      <c r="S495" s="62"/>
      <c r="T495" s="5"/>
    </row>
    <row r="496" spans="1:20">
      <c r="A496" s="2" t="s">
        <v>971</v>
      </c>
      <c r="B496" s="2" t="s">
        <v>990</v>
      </c>
      <c r="C496" s="2" t="s">
        <v>151</v>
      </c>
      <c r="D496" s="16">
        <v>60</v>
      </c>
      <c r="E496" s="2" t="s">
        <v>991</v>
      </c>
      <c r="F496" s="2" t="s">
        <v>70</v>
      </c>
      <c r="G496" s="2" t="s">
        <v>992</v>
      </c>
      <c r="H496" s="17">
        <v>58800</v>
      </c>
      <c r="I496" s="2"/>
      <c r="J496" s="2"/>
      <c r="K496" s="17">
        <v>58800</v>
      </c>
      <c r="L496" s="17">
        <v>6300</v>
      </c>
      <c r="M496" s="17">
        <v>52500</v>
      </c>
      <c r="N496" s="17">
        <v>58800</v>
      </c>
      <c r="O496" s="2"/>
      <c r="P496" s="2"/>
      <c r="Q496" s="31" t="s">
        <v>69</v>
      </c>
      <c r="R496" s="66"/>
      <c r="S496" s="62"/>
      <c r="T496" s="5"/>
    </row>
    <row r="497" spans="1:20">
      <c r="A497" s="2" t="s">
        <v>1217</v>
      </c>
      <c r="B497" s="2" t="s">
        <v>1282</v>
      </c>
      <c r="C497" s="2" t="s">
        <v>68</v>
      </c>
      <c r="D497" s="16">
        <v>60</v>
      </c>
      <c r="E497" s="2" t="s">
        <v>1223</v>
      </c>
      <c r="F497" s="2" t="s">
        <v>70</v>
      </c>
      <c r="G497" s="2" t="s">
        <v>1283</v>
      </c>
      <c r="H497" s="17">
        <v>2419200</v>
      </c>
      <c r="I497" s="2"/>
      <c r="J497" s="2"/>
      <c r="K497" s="17">
        <v>2419200</v>
      </c>
      <c r="L497" s="17">
        <v>259200</v>
      </c>
      <c r="M497" s="17">
        <v>2160000</v>
      </c>
      <c r="N497" s="17">
        <v>2419200</v>
      </c>
      <c r="O497" s="2"/>
      <c r="P497" s="2"/>
      <c r="Q497" s="31" t="s">
        <v>69</v>
      </c>
      <c r="R497" s="66"/>
      <c r="S497" s="62"/>
      <c r="T497" s="5"/>
    </row>
    <row r="498" spans="1:20">
      <c r="A498" s="2" t="s">
        <v>1467</v>
      </c>
      <c r="B498" s="2" t="s">
        <v>1550</v>
      </c>
      <c r="C498" s="2" t="s">
        <v>68</v>
      </c>
      <c r="D498" s="16">
        <v>60</v>
      </c>
      <c r="E498" s="2" t="s">
        <v>1495</v>
      </c>
      <c r="F498" s="2" t="s">
        <v>70</v>
      </c>
      <c r="G498" s="2" t="s">
        <v>1551</v>
      </c>
      <c r="H498" s="17">
        <v>2419200</v>
      </c>
      <c r="I498" s="2"/>
      <c r="J498" s="2"/>
      <c r="K498" s="17">
        <v>2419200</v>
      </c>
      <c r="L498" s="17">
        <v>259200</v>
      </c>
      <c r="M498" s="17">
        <v>2160000</v>
      </c>
      <c r="N498" s="17">
        <v>2419200</v>
      </c>
      <c r="O498" s="2"/>
      <c r="P498" s="2"/>
      <c r="Q498" s="31" t="s">
        <v>69</v>
      </c>
      <c r="R498" s="66"/>
      <c r="S498" s="62"/>
      <c r="T498" s="5"/>
    </row>
    <row r="499" spans="1:20">
      <c r="A499" s="2" t="s">
        <v>1553</v>
      </c>
      <c r="B499" s="2" t="s">
        <v>1620</v>
      </c>
      <c r="C499" s="2" t="s">
        <v>68</v>
      </c>
      <c r="D499" s="16">
        <v>60</v>
      </c>
      <c r="E499" s="2" t="s">
        <v>1557</v>
      </c>
      <c r="F499" s="2" t="s">
        <v>70</v>
      </c>
      <c r="G499" s="2" t="s">
        <v>1621</v>
      </c>
      <c r="H499" s="17">
        <v>2419200</v>
      </c>
      <c r="I499" s="2"/>
      <c r="J499" s="2"/>
      <c r="K499" s="17">
        <v>2419200</v>
      </c>
      <c r="L499" s="17">
        <v>259200</v>
      </c>
      <c r="M499" s="17">
        <v>2160000</v>
      </c>
      <c r="N499" s="17">
        <v>2419200</v>
      </c>
      <c r="O499" s="2"/>
      <c r="P499" s="2"/>
      <c r="Q499" s="31" t="s">
        <v>69</v>
      </c>
      <c r="R499" s="65"/>
      <c r="S499" s="62"/>
      <c r="T499" s="5"/>
    </row>
    <row r="500" spans="1:20">
      <c r="A500" s="2" t="s">
        <v>93</v>
      </c>
      <c r="B500" s="2" t="s">
        <v>175</v>
      </c>
      <c r="C500" s="2" t="s">
        <v>176</v>
      </c>
      <c r="D500" s="16">
        <v>60</v>
      </c>
      <c r="E500" s="2" t="s">
        <v>136</v>
      </c>
      <c r="F500" s="2" t="s">
        <v>177</v>
      </c>
      <c r="G500" s="2" t="s">
        <v>178</v>
      </c>
      <c r="H500" s="17">
        <v>408000</v>
      </c>
      <c r="I500" s="2"/>
      <c r="J500" s="2"/>
      <c r="K500" s="17">
        <v>408000</v>
      </c>
      <c r="L500" s="17">
        <v>43714.29</v>
      </c>
      <c r="M500" s="17">
        <v>364285.71</v>
      </c>
      <c r="N500" s="17">
        <v>408000</v>
      </c>
      <c r="O500" s="2"/>
      <c r="P500" s="2"/>
      <c r="Q500" s="31" t="s">
        <v>69</v>
      </c>
      <c r="R500" s="64">
        <f>+K500+K501+K502+K503</f>
        <v>1056000</v>
      </c>
      <c r="S500" s="62"/>
      <c r="T500" s="5"/>
    </row>
    <row r="501" spans="1:20">
      <c r="A501" s="2" t="s">
        <v>866</v>
      </c>
      <c r="B501" s="2" t="s">
        <v>872</v>
      </c>
      <c r="C501" s="2" t="s">
        <v>176</v>
      </c>
      <c r="D501" s="16">
        <v>60</v>
      </c>
      <c r="E501" s="2" t="s">
        <v>873</v>
      </c>
      <c r="F501" s="2" t="s">
        <v>177</v>
      </c>
      <c r="G501" s="2" t="s">
        <v>874</v>
      </c>
      <c r="H501" s="17">
        <v>480000</v>
      </c>
      <c r="I501" s="2"/>
      <c r="J501" s="2"/>
      <c r="K501" s="17">
        <v>480000</v>
      </c>
      <c r="L501" s="17">
        <v>51428.57</v>
      </c>
      <c r="M501" s="17">
        <v>428571.43</v>
      </c>
      <c r="N501" s="17">
        <v>480000</v>
      </c>
      <c r="O501" s="2"/>
      <c r="P501" s="2"/>
      <c r="Q501" s="31" t="s">
        <v>69</v>
      </c>
      <c r="R501" s="66"/>
      <c r="S501" s="62"/>
      <c r="T501" s="5"/>
    </row>
    <row r="502" spans="1:20">
      <c r="A502" s="2" t="s">
        <v>866</v>
      </c>
      <c r="B502" s="2" t="s">
        <v>875</v>
      </c>
      <c r="C502" s="2" t="s">
        <v>176</v>
      </c>
      <c r="D502" s="16">
        <v>60</v>
      </c>
      <c r="E502" s="2" t="s">
        <v>873</v>
      </c>
      <c r="F502" s="2" t="s">
        <v>177</v>
      </c>
      <c r="G502" s="2" t="s">
        <v>876</v>
      </c>
      <c r="H502" s="17">
        <v>72000</v>
      </c>
      <c r="I502" s="2"/>
      <c r="J502" s="2"/>
      <c r="K502" s="17">
        <v>72000</v>
      </c>
      <c r="L502" s="17">
        <v>7714.29</v>
      </c>
      <c r="M502" s="17">
        <v>64285.71</v>
      </c>
      <c r="N502" s="17">
        <v>72000</v>
      </c>
      <c r="O502" s="2"/>
      <c r="P502" s="2"/>
      <c r="Q502" s="31" t="s">
        <v>69</v>
      </c>
      <c r="R502" s="66"/>
      <c r="S502" s="62"/>
      <c r="T502" s="5"/>
    </row>
    <row r="503" spans="1:20">
      <c r="A503" s="2" t="s">
        <v>866</v>
      </c>
      <c r="B503" s="2" t="s">
        <v>877</v>
      </c>
      <c r="C503" s="2" t="s">
        <v>176</v>
      </c>
      <c r="D503" s="16">
        <v>60</v>
      </c>
      <c r="E503" s="2" t="s">
        <v>873</v>
      </c>
      <c r="F503" s="2" t="s">
        <v>177</v>
      </c>
      <c r="G503" s="2" t="s">
        <v>878</v>
      </c>
      <c r="H503" s="17">
        <v>96000</v>
      </c>
      <c r="I503" s="2"/>
      <c r="J503" s="2"/>
      <c r="K503" s="17">
        <v>96000</v>
      </c>
      <c r="L503" s="17">
        <v>10285.709999999999</v>
      </c>
      <c r="M503" s="17">
        <v>85714.29</v>
      </c>
      <c r="N503" s="17">
        <v>96000</v>
      </c>
      <c r="O503" s="2"/>
      <c r="P503" s="2"/>
      <c r="Q503" s="31" t="s">
        <v>69</v>
      </c>
      <c r="R503" s="65"/>
      <c r="S503" s="63"/>
      <c r="T503" s="5"/>
    </row>
    <row r="504" spans="1:20">
      <c r="A504" s="2" t="s">
        <v>769</v>
      </c>
      <c r="B504" s="2" t="s">
        <v>855</v>
      </c>
      <c r="C504" s="2" t="s">
        <v>68</v>
      </c>
      <c r="D504" s="16">
        <v>60</v>
      </c>
      <c r="E504" s="2" t="s">
        <v>770</v>
      </c>
      <c r="F504" s="2" t="s">
        <v>857</v>
      </c>
      <c r="G504" s="2" t="s">
        <v>858</v>
      </c>
      <c r="H504" s="17">
        <v>84296</v>
      </c>
      <c r="I504" s="2"/>
      <c r="J504" s="2"/>
      <c r="K504" s="17">
        <v>84296</v>
      </c>
      <c r="L504" s="17">
        <v>9031.7099999999991</v>
      </c>
      <c r="M504" s="17">
        <v>75264.289999999994</v>
      </c>
      <c r="N504" s="17">
        <v>84296</v>
      </c>
      <c r="O504" s="2"/>
      <c r="P504" s="2"/>
      <c r="Q504" s="31" t="s">
        <v>856</v>
      </c>
      <c r="R504" s="32">
        <f>+K504</f>
        <v>84296</v>
      </c>
      <c r="S504" s="32">
        <f>+R504</f>
        <v>84296</v>
      </c>
      <c r="T504" s="5"/>
    </row>
    <row r="505" spans="1:20">
      <c r="A505" s="2" t="s">
        <v>505</v>
      </c>
      <c r="B505" s="2" t="s">
        <v>576</v>
      </c>
      <c r="C505" s="2" t="s">
        <v>68</v>
      </c>
      <c r="D505" s="16">
        <v>60</v>
      </c>
      <c r="E505" s="2" t="s">
        <v>509</v>
      </c>
      <c r="F505" s="2" t="s">
        <v>578</v>
      </c>
      <c r="G505" s="2" t="s">
        <v>579</v>
      </c>
      <c r="H505" s="17">
        <v>1978634</v>
      </c>
      <c r="I505" s="2"/>
      <c r="J505" s="2"/>
      <c r="K505" s="17">
        <v>1978634</v>
      </c>
      <c r="L505" s="17">
        <v>211996.5</v>
      </c>
      <c r="M505" s="17">
        <v>1766637.5</v>
      </c>
      <c r="N505" s="17">
        <v>1978634</v>
      </c>
      <c r="O505" s="2"/>
      <c r="P505" s="2"/>
      <c r="Q505" s="31" t="s">
        <v>577</v>
      </c>
      <c r="R505" s="32">
        <f>+K505</f>
        <v>1978634</v>
      </c>
      <c r="S505" s="61">
        <f>+R505+R506</f>
        <v>3077256</v>
      </c>
      <c r="T505" s="5"/>
    </row>
    <row r="506" spans="1:20">
      <c r="A506" s="2" t="s">
        <v>1372</v>
      </c>
      <c r="B506" s="2" t="s">
        <v>1421</v>
      </c>
      <c r="C506" s="2" t="s">
        <v>68</v>
      </c>
      <c r="D506" s="16">
        <v>60</v>
      </c>
      <c r="E506" s="2" t="s">
        <v>1373</v>
      </c>
      <c r="F506" s="2" t="s">
        <v>1422</v>
      </c>
      <c r="G506" s="2" t="s">
        <v>1423</v>
      </c>
      <c r="H506" s="17">
        <v>652054</v>
      </c>
      <c r="I506" s="2"/>
      <c r="J506" s="2"/>
      <c r="K506" s="17">
        <v>652054</v>
      </c>
      <c r="L506" s="17">
        <v>69862.929999999993</v>
      </c>
      <c r="M506" s="17">
        <v>582191.06999999995</v>
      </c>
      <c r="N506" s="17">
        <v>652054</v>
      </c>
      <c r="O506" s="2"/>
      <c r="P506" s="2"/>
      <c r="Q506" s="31" t="s">
        <v>577</v>
      </c>
      <c r="R506" s="61">
        <f>+K506+K507</f>
        <v>1098622</v>
      </c>
      <c r="S506" s="62"/>
      <c r="T506" s="5"/>
    </row>
    <row r="507" spans="1:20">
      <c r="A507" s="2" t="s">
        <v>1372</v>
      </c>
      <c r="B507" s="2" t="s">
        <v>1424</v>
      </c>
      <c r="C507" s="2" t="s">
        <v>68</v>
      </c>
      <c r="D507" s="16">
        <v>60</v>
      </c>
      <c r="E507" s="2" t="s">
        <v>1373</v>
      </c>
      <c r="F507" s="2" t="s">
        <v>1422</v>
      </c>
      <c r="G507" s="2" t="s">
        <v>1425</v>
      </c>
      <c r="H507" s="17">
        <v>446568</v>
      </c>
      <c r="I507" s="2"/>
      <c r="J507" s="2"/>
      <c r="K507" s="17">
        <v>446568</v>
      </c>
      <c r="L507" s="17">
        <v>47846.57</v>
      </c>
      <c r="M507" s="17">
        <v>398721.43</v>
      </c>
      <c r="N507" s="17">
        <v>446568</v>
      </c>
      <c r="O507" s="2"/>
      <c r="P507" s="2"/>
      <c r="Q507" s="31" t="s">
        <v>577</v>
      </c>
      <c r="R507" s="63"/>
      <c r="S507" s="63"/>
      <c r="T507" s="5"/>
    </row>
    <row r="508" spans="1:20">
      <c r="A508" s="2" t="s">
        <v>93</v>
      </c>
      <c r="B508" s="2" t="s">
        <v>186</v>
      </c>
      <c r="C508" s="2" t="s">
        <v>68</v>
      </c>
      <c r="D508" s="16">
        <v>60</v>
      </c>
      <c r="E508" s="2" t="s">
        <v>136</v>
      </c>
      <c r="F508" s="2" t="s">
        <v>187</v>
      </c>
      <c r="G508" s="2" t="s">
        <v>188</v>
      </c>
      <c r="H508" s="17">
        <v>53180</v>
      </c>
      <c r="I508" s="2"/>
      <c r="J508" s="2"/>
      <c r="K508" s="17">
        <v>53180</v>
      </c>
      <c r="L508" s="17">
        <v>5697.86</v>
      </c>
      <c r="M508" s="17">
        <v>47482.14</v>
      </c>
      <c r="N508" s="17">
        <v>53180</v>
      </c>
      <c r="O508" s="2"/>
      <c r="P508" s="2"/>
      <c r="Q508" s="31" t="s">
        <v>36</v>
      </c>
      <c r="R508" s="61">
        <f>+K508+K509</f>
        <v>77724</v>
      </c>
      <c r="S508" s="61">
        <f>+R508+R510+R514+R530</f>
        <v>3831559.66</v>
      </c>
      <c r="T508" s="5"/>
    </row>
    <row r="509" spans="1:20">
      <c r="A509" s="2" t="s">
        <v>1553</v>
      </c>
      <c r="B509" s="2" t="s">
        <v>1566</v>
      </c>
      <c r="C509" s="2" t="s">
        <v>151</v>
      </c>
      <c r="D509" s="16">
        <v>60</v>
      </c>
      <c r="E509" s="2" t="s">
        <v>1557</v>
      </c>
      <c r="F509" s="2" t="s">
        <v>187</v>
      </c>
      <c r="G509" s="2" t="s">
        <v>1567</v>
      </c>
      <c r="H509" s="17">
        <v>24544</v>
      </c>
      <c r="I509" s="2"/>
      <c r="J509" s="2"/>
      <c r="K509" s="17">
        <v>24544</v>
      </c>
      <c r="L509" s="17">
        <v>2629.71</v>
      </c>
      <c r="M509" s="17">
        <v>21914.29</v>
      </c>
      <c r="N509" s="17">
        <v>24544</v>
      </c>
      <c r="O509" s="2"/>
      <c r="P509" s="2"/>
      <c r="Q509" s="31" t="s">
        <v>36</v>
      </c>
      <c r="R509" s="63"/>
      <c r="S509" s="62"/>
      <c r="T509" s="5"/>
    </row>
    <row r="510" spans="1:20">
      <c r="A510" s="2" t="s">
        <v>689</v>
      </c>
      <c r="B510" s="2" t="s">
        <v>753</v>
      </c>
      <c r="C510" s="2" t="s">
        <v>162</v>
      </c>
      <c r="D510" s="16">
        <v>90</v>
      </c>
      <c r="E510" s="2" t="s">
        <v>751</v>
      </c>
      <c r="F510" s="2" t="s">
        <v>754</v>
      </c>
      <c r="G510" s="2" t="s">
        <v>755</v>
      </c>
      <c r="H510" s="17">
        <v>18780</v>
      </c>
      <c r="I510" s="2"/>
      <c r="J510" s="2"/>
      <c r="K510" s="17">
        <v>18780</v>
      </c>
      <c r="L510" s="17">
        <v>2012.14</v>
      </c>
      <c r="M510" s="17">
        <v>16767.86</v>
      </c>
      <c r="N510" s="17">
        <v>18780</v>
      </c>
      <c r="O510" s="2"/>
      <c r="P510" s="2"/>
      <c r="Q510" s="31" t="s">
        <v>36</v>
      </c>
      <c r="R510" s="61">
        <f>+K510+K511+K512+K513</f>
        <v>1418430</v>
      </c>
      <c r="S510" s="62"/>
      <c r="T510" s="5"/>
    </row>
    <row r="511" spans="1:20">
      <c r="A511" s="2" t="s">
        <v>915</v>
      </c>
      <c r="B511" s="2" t="s">
        <v>962</v>
      </c>
      <c r="C511" s="2" t="s">
        <v>162</v>
      </c>
      <c r="D511" s="16">
        <v>90</v>
      </c>
      <c r="E511" s="2" t="s">
        <v>924</v>
      </c>
      <c r="F511" s="2" t="s">
        <v>754</v>
      </c>
      <c r="G511" s="2" t="s">
        <v>963</v>
      </c>
      <c r="H511" s="17">
        <v>150500</v>
      </c>
      <c r="I511" s="2"/>
      <c r="J511" s="2"/>
      <c r="K511" s="17">
        <v>150500</v>
      </c>
      <c r="L511" s="17">
        <v>16125</v>
      </c>
      <c r="M511" s="17">
        <v>134375</v>
      </c>
      <c r="N511" s="17">
        <v>150500</v>
      </c>
      <c r="O511" s="2"/>
      <c r="P511" s="2"/>
      <c r="Q511" s="31" t="s">
        <v>36</v>
      </c>
      <c r="R511" s="62"/>
      <c r="S511" s="62"/>
      <c r="T511" s="5"/>
    </row>
    <row r="512" spans="1:20">
      <c r="A512" s="2" t="s">
        <v>971</v>
      </c>
      <c r="B512" s="2" t="s">
        <v>998</v>
      </c>
      <c r="C512" s="2" t="s">
        <v>146</v>
      </c>
      <c r="D512" s="16">
        <v>90</v>
      </c>
      <c r="E512" s="2" t="s">
        <v>986</v>
      </c>
      <c r="F512" s="2" t="s">
        <v>754</v>
      </c>
      <c r="G512" s="2" t="s">
        <v>999</v>
      </c>
      <c r="H512" s="17">
        <v>752500</v>
      </c>
      <c r="I512" s="2"/>
      <c r="J512" s="2"/>
      <c r="K512" s="17">
        <v>752500</v>
      </c>
      <c r="L512" s="17">
        <v>80625</v>
      </c>
      <c r="M512" s="17">
        <v>671875</v>
      </c>
      <c r="N512" s="17">
        <v>752500</v>
      </c>
      <c r="O512" s="2"/>
      <c r="P512" s="2"/>
      <c r="Q512" s="31" t="s">
        <v>36</v>
      </c>
      <c r="R512" s="62"/>
      <c r="S512" s="62"/>
      <c r="T512" s="5"/>
    </row>
    <row r="513" spans="1:20">
      <c r="A513" s="2" t="s">
        <v>1217</v>
      </c>
      <c r="B513" s="2" t="s">
        <v>1270</v>
      </c>
      <c r="C513" s="2" t="s">
        <v>146</v>
      </c>
      <c r="D513" s="16">
        <v>90</v>
      </c>
      <c r="E513" s="2" t="s">
        <v>1235</v>
      </c>
      <c r="F513" s="2" t="s">
        <v>754</v>
      </c>
      <c r="G513" s="2" t="s">
        <v>1271</v>
      </c>
      <c r="H513" s="17">
        <v>496650</v>
      </c>
      <c r="I513" s="2"/>
      <c r="J513" s="2"/>
      <c r="K513" s="17">
        <v>496650</v>
      </c>
      <c r="L513" s="17">
        <v>53212.5</v>
      </c>
      <c r="M513" s="17">
        <v>443437.5</v>
      </c>
      <c r="N513" s="17">
        <v>496650</v>
      </c>
      <c r="O513" s="2"/>
      <c r="P513" s="2"/>
      <c r="Q513" s="31" t="s">
        <v>36</v>
      </c>
      <c r="R513" s="63"/>
      <c r="S513" s="62"/>
      <c r="T513" s="5"/>
    </row>
    <row r="514" spans="1:20">
      <c r="A514" s="2" t="s">
        <v>93</v>
      </c>
      <c r="B514" s="2" t="s">
        <v>192</v>
      </c>
      <c r="C514" s="2" t="s">
        <v>162</v>
      </c>
      <c r="D514" s="16">
        <v>90</v>
      </c>
      <c r="E514" s="2" t="s">
        <v>147</v>
      </c>
      <c r="F514" s="2" t="s">
        <v>193</v>
      </c>
      <c r="G514" s="2" t="s">
        <v>194</v>
      </c>
      <c r="H514" s="17">
        <v>2053</v>
      </c>
      <c r="I514" s="2"/>
      <c r="J514" s="2"/>
      <c r="K514" s="17">
        <v>2053</v>
      </c>
      <c r="L514" s="18">
        <v>219.96</v>
      </c>
      <c r="M514" s="17">
        <v>1833.04</v>
      </c>
      <c r="N514" s="17">
        <v>2053</v>
      </c>
      <c r="O514" s="2"/>
      <c r="P514" s="2"/>
      <c r="Q514" s="31" t="s">
        <v>36</v>
      </c>
      <c r="R514" s="61">
        <f>+K514+K515+K516+K517+K518+K519+K520+K521+K522+K523+K524+K525+K526+K527+K528+K529</f>
        <v>1643665</v>
      </c>
      <c r="S514" s="62"/>
      <c r="T514" s="5"/>
    </row>
    <row r="515" spans="1:20">
      <c r="A515" s="2" t="s">
        <v>282</v>
      </c>
      <c r="B515" s="2" t="s">
        <v>363</v>
      </c>
      <c r="C515" s="2" t="s">
        <v>162</v>
      </c>
      <c r="D515" s="16">
        <v>90</v>
      </c>
      <c r="E515" s="2" t="s">
        <v>290</v>
      </c>
      <c r="F515" s="2" t="s">
        <v>193</v>
      </c>
      <c r="G515" s="2" t="s">
        <v>364</v>
      </c>
      <c r="H515" s="17">
        <v>28636</v>
      </c>
      <c r="I515" s="2"/>
      <c r="J515" s="2"/>
      <c r="K515" s="17">
        <v>28636</v>
      </c>
      <c r="L515" s="17">
        <v>3068.14</v>
      </c>
      <c r="M515" s="17">
        <v>25567.86</v>
      </c>
      <c r="N515" s="17">
        <v>28636</v>
      </c>
      <c r="O515" s="2"/>
      <c r="P515" s="2"/>
      <c r="Q515" s="31" t="s">
        <v>36</v>
      </c>
      <c r="R515" s="62"/>
      <c r="S515" s="62"/>
      <c r="T515" s="5"/>
    </row>
    <row r="516" spans="1:20">
      <c r="A516" s="2" t="s">
        <v>448</v>
      </c>
      <c r="B516" s="2" t="s">
        <v>478</v>
      </c>
      <c r="C516" s="2" t="s">
        <v>162</v>
      </c>
      <c r="D516" s="16">
        <v>90</v>
      </c>
      <c r="E516" s="2" t="s">
        <v>479</v>
      </c>
      <c r="F516" s="2" t="s">
        <v>193</v>
      </c>
      <c r="G516" s="2" t="s">
        <v>480</v>
      </c>
      <c r="H516" s="17">
        <v>66010</v>
      </c>
      <c r="I516" s="2"/>
      <c r="J516" s="2"/>
      <c r="K516" s="17">
        <v>66010</v>
      </c>
      <c r="L516" s="17">
        <v>7072.5</v>
      </c>
      <c r="M516" s="17">
        <v>58937.5</v>
      </c>
      <c r="N516" s="17">
        <v>66010</v>
      </c>
      <c r="O516" s="2"/>
      <c r="P516" s="2"/>
      <c r="Q516" s="31" t="s">
        <v>36</v>
      </c>
      <c r="R516" s="62"/>
      <c r="S516" s="62"/>
      <c r="T516" s="5"/>
    </row>
    <row r="517" spans="1:20">
      <c r="A517" s="2" t="s">
        <v>596</v>
      </c>
      <c r="B517" s="2" t="s">
        <v>632</v>
      </c>
      <c r="C517" s="2" t="s">
        <v>162</v>
      </c>
      <c r="D517" s="16">
        <v>90</v>
      </c>
      <c r="E517" s="2" t="s">
        <v>597</v>
      </c>
      <c r="F517" s="2" t="s">
        <v>193</v>
      </c>
      <c r="G517" s="2" t="s">
        <v>633</v>
      </c>
      <c r="H517" s="17">
        <v>44000</v>
      </c>
      <c r="I517" s="2"/>
      <c r="J517" s="2"/>
      <c r="K517" s="17">
        <v>44000</v>
      </c>
      <c r="L517" s="17">
        <v>4714.29</v>
      </c>
      <c r="M517" s="17">
        <v>39285.71</v>
      </c>
      <c r="N517" s="17">
        <v>44000</v>
      </c>
      <c r="O517" s="2"/>
      <c r="P517" s="2"/>
      <c r="Q517" s="31" t="s">
        <v>36</v>
      </c>
      <c r="R517" s="62"/>
      <c r="S517" s="62"/>
      <c r="T517" s="5"/>
    </row>
    <row r="518" spans="1:20">
      <c r="A518" s="2" t="s">
        <v>689</v>
      </c>
      <c r="B518" s="2" t="s">
        <v>750</v>
      </c>
      <c r="C518" s="2" t="s">
        <v>162</v>
      </c>
      <c r="D518" s="16">
        <v>90</v>
      </c>
      <c r="E518" s="2" t="s">
        <v>751</v>
      </c>
      <c r="F518" s="2" t="s">
        <v>193</v>
      </c>
      <c r="G518" s="2" t="s">
        <v>752</v>
      </c>
      <c r="H518" s="17">
        <v>8216</v>
      </c>
      <c r="I518" s="2"/>
      <c r="J518" s="2"/>
      <c r="K518" s="17">
        <v>8216</v>
      </c>
      <c r="L518" s="18">
        <v>880.29</v>
      </c>
      <c r="M518" s="17">
        <v>7335.71</v>
      </c>
      <c r="N518" s="17">
        <v>8216</v>
      </c>
      <c r="O518" s="2"/>
      <c r="P518" s="2"/>
      <c r="Q518" s="31" t="s">
        <v>36</v>
      </c>
      <c r="R518" s="62"/>
      <c r="S518" s="62"/>
      <c r="T518" s="5"/>
    </row>
    <row r="519" spans="1:20">
      <c r="A519" s="2" t="s">
        <v>866</v>
      </c>
      <c r="B519" s="2" t="s">
        <v>899</v>
      </c>
      <c r="C519" s="2" t="s">
        <v>162</v>
      </c>
      <c r="D519" s="16">
        <v>90</v>
      </c>
      <c r="E519" s="2" t="s">
        <v>885</v>
      </c>
      <c r="F519" s="2" t="s">
        <v>193</v>
      </c>
      <c r="G519" s="2" t="s">
        <v>900</v>
      </c>
      <c r="H519" s="17">
        <v>37150</v>
      </c>
      <c r="I519" s="2"/>
      <c r="J519" s="2"/>
      <c r="K519" s="17">
        <v>37150</v>
      </c>
      <c r="L519" s="17">
        <v>3980.36</v>
      </c>
      <c r="M519" s="17">
        <v>33169.64</v>
      </c>
      <c r="N519" s="17">
        <v>37150</v>
      </c>
      <c r="O519" s="2"/>
      <c r="P519" s="2"/>
      <c r="Q519" s="31" t="s">
        <v>36</v>
      </c>
      <c r="R519" s="62"/>
      <c r="S519" s="62"/>
      <c r="T519" s="5"/>
    </row>
    <row r="520" spans="1:20">
      <c r="A520" s="2" t="s">
        <v>866</v>
      </c>
      <c r="B520" s="2" t="s">
        <v>901</v>
      </c>
      <c r="C520" s="2" t="s">
        <v>162</v>
      </c>
      <c r="D520" s="16">
        <v>90</v>
      </c>
      <c r="E520" s="2" t="s">
        <v>885</v>
      </c>
      <c r="F520" s="2" t="s">
        <v>193</v>
      </c>
      <c r="G520" s="2" t="s">
        <v>902</v>
      </c>
      <c r="H520" s="17">
        <v>51430</v>
      </c>
      <c r="I520" s="2"/>
      <c r="J520" s="2"/>
      <c r="K520" s="17">
        <v>51430</v>
      </c>
      <c r="L520" s="17">
        <v>5510.36</v>
      </c>
      <c r="M520" s="17">
        <v>45919.64</v>
      </c>
      <c r="N520" s="17">
        <v>51430</v>
      </c>
      <c r="O520" s="2"/>
      <c r="P520" s="2"/>
      <c r="Q520" s="31" t="s">
        <v>36</v>
      </c>
      <c r="R520" s="62"/>
      <c r="S520" s="62"/>
      <c r="T520" s="5"/>
    </row>
    <row r="521" spans="1:20">
      <c r="A521" s="2" t="s">
        <v>971</v>
      </c>
      <c r="B521" s="2" t="s">
        <v>1035</v>
      </c>
      <c r="C521" s="2" t="s">
        <v>162</v>
      </c>
      <c r="D521" s="16">
        <v>90</v>
      </c>
      <c r="E521" s="2" t="s">
        <v>986</v>
      </c>
      <c r="F521" s="2" t="s">
        <v>193</v>
      </c>
      <c r="G521" s="2" t="s">
        <v>1036</v>
      </c>
      <c r="H521" s="17">
        <v>69000</v>
      </c>
      <c r="I521" s="2"/>
      <c r="J521" s="2"/>
      <c r="K521" s="17">
        <v>69000</v>
      </c>
      <c r="L521" s="17">
        <v>7392.86</v>
      </c>
      <c r="M521" s="17">
        <v>61607.14</v>
      </c>
      <c r="N521" s="17">
        <v>69000</v>
      </c>
      <c r="O521" s="2"/>
      <c r="P521" s="2"/>
      <c r="Q521" s="31" t="s">
        <v>36</v>
      </c>
      <c r="R521" s="62"/>
      <c r="S521" s="62"/>
      <c r="T521" s="5"/>
    </row>
    <row r="522" spans="1:20">
      <c r="A522" s="2" t="s">
        <v>1117</v>
      </c>
      <c r="B522" s="2" t="s">
        <v>1188</v>
      </c>
      <c r="C522" s="2" t="s">
        <v>162</v>
      </c>
      <c r="D522" s="16">
        <v>90</v>
      </c>
      <c r="E522" s="2" t="s">
        <v>1156</v>
      </c>
      <c r="F522" s="2" t="s">
        <v>193</v>
      </c>
      <c r="G522" s="2" t="s">
        <v>1189</v>
      </c>
      <c r="H522" s="17">
        <v>26590</v>
      </c>
      <c r="I522" s="2"/>
      <c r="J522" s="2"/>
      <c r="K522" s="17">
        <v>26590</v>
      </c>
      <c r="L522" s="17">
        <v>2848.93</v>
      </c>
      <c r="M522" s="17">
        <v>23741.07</v>
      </c>
      <c r="N522" s="17">
        <v>26590</v>
      </c>
      <c r="O522" s="2"/>
      <c r="P522" s="2"/>
      <c r="Q522" s="31" t="s">
        <v>36</v>
      </c>
      <c r="R522" s="62"/>
      <c r="S522" s="62"/>
      <c r="T522" s="5"/>
    </row>
    <row r="523" spans="1:20">
      <c r="A523" s="2" t="s">
        <v>1117</v>
      </c>
      <c r="B523" s="2" t="s">
        <v>1210</v>
      </c>
      <c r="C523" s="2" t="s">
        <v>162</v>
      </c>
      <c r="D523" s="16">
        <v>90</v>
      </c>
      <c r="E523" s="2" t="s">
        <v>1156</v>
      </c>
      <c r="F523" s="2" t="s">
        <v>193</v>
      </c>
      <c r="G523" s="2" t="s">
        <v>1211</v>
      </c>
      <c r="H523" s="17">
        <v>5680</v>
      </c>
      <c r="I523" s="2"/>
      <c r="J523" s="2"/>
      <c r="K523" s="17">
        <v>5680</v>
      </c>
      <c r="L523" s="18">
        <v>608.57000000000005</v>
      </c>
      <c r="M523" s="17">
        <v>5071.43</v>
      </c>
      <c r="N523" s="17">
        <v>5680</v>
      </c>
      <c r="O523" s="2"/>
      <c r="P523" s="2"/>
      <c r="Q523" s="31" t="s">
        <v>36</v>
      </c>
      <c r="R523" s="62"/>
      <c r="S523" s="62"/>
      <c r="T523" s="5"/>
    </row>
    <row r="524" spans="1:20">
      <c r="A524" s="2" t="s">
        <v>1117</v>
      </c>
      <c r="B524" s="2" t="s">
        <v>1212</v>
      </c>
      <c r="C524" s="2" t="s">
        <v>162</v>
      </c>
      <c r="D524" s="16">
        <v>90</v>
      </c>
      <c r="E524" s="2" t="s">
        <v>1156</v>
      </c>
      <c r="F524" s="2" t="s">
        <v>193</v>
      </c>
      <c r="G524" s="2" t="s">
        <v>1213</v>
      </c>
      <c r="H524" s="17">
        <v>224410</v>
      </c>
      <c r="I524" s="2"/>
      <c r="J524" s="2"/>
      <c r="K524" s="17">
        <v>224410</v>
      </c>
      <c r="L524" s="17">
        <v>24043.93</v>
      </c>
      <c r="M524" s="17">
        <v>200366.07</v>
      </c>
      <c r="N524" s="17">
        <v>224410</v>
      </c>
      <c r="O524" s="2"/>
      <c r="P524" s="2"/>
      <c r="Q524" s="31" t="s">
        <v>36</v>
      </c>
      <c r="R524" s="62"/>
      <c r="S524" s="62"/>
      <c r="T524" s="5"/>
    </row>
    <row r="525" spans="1:20">
      <c r="A525" s="2" t="s">
        <v>1117</v>
      </c>
      <c r="B525" s="2" t="s">
        <v>1214</v>
      </c>
      <c r="C525" s="2" t="s">
        <v>146</v>
      </c>
      <c r="D525" s="16">
        <v>90</v>
      </c>
      <c r="E525" s="2" t="s">
        <v>1156</v>
      </c>
      <c r="F525" s="2" t="s">
        <v>193</v>
      </c>
      <c r="G525" s="2" t="s">
        <v>1215</v>
      </c>
      <c r="H525" s="17">
        <v>27750</v>
      </c>
      <c r="I525" s="2"/>
      <c r="J525" s="2"/>
      <c r="K525" s="17">
        <v>27750</v>
      </c>
      <c r="L525" s="17">
        <v>2973.21</v>
      </c>
      <c r="M525" s="17">
        <v>24776.79</v>
      </c>
      <c r="N525" s="17">
        <v>27750</v>
      </c>
      <c r="O525" s="2"/>
      <c r="P525" s="2"/>
      <c r="Q525" s="31" t="s">
        <v>36</v>
      </c>
      <c r="R525" s="62"/>
      <c r="S525" s="62"/>
      <c r="T525" s="5"/>
    </row>
    <row r="526" spans="1:20">
      <c r="A526" s="2" t="s">
        <v>1217</v>
      </c>
      <c r="B526" s="2" t="s">
        <v>1268</v>
      </c>
      <c r="C526" s="2" t="s">
        <v>146</v>
      </c>
      <c r="D526" s="16">
        <v>90</v>
      </c>
      <c r="E526" s="2" t="s">
        <v>1235</v>
      </c>
      <c r="F526" s="2" t="s">
        <v>193</v>
      </c>
      <c r="G526" s="2" t="s">
        <v>1269</v>
      </c>
      <c r="H526" s="17">
        <v>436450</v>
      </c>
      <c r="I526" s="2"/>
      <c r="J526" s="2"/>
      <c r="K526" s="17">
        <v>436450</v>
      </c>
      <c r="L526" s="17">
        <v>46762.5</v>
      </c>
      <c r="M526" s="17">
        <v>389687.5</v>
      </c>
      <c r="N526" s="17">
        <v>436450</v>
      </c>
      <c r="O526" s="2"/>
      <c r="P526" s="2"/>
      <c r="Q526" s="31" t="s">
        <v>36</v>
      </c>
      <c r="R526" s="62"/>
      <c r="S526" s="62"/>
      <c r="T526" s="5"/>
    </row>
    <row r="527" spans="1:20">
      <c r="A527" s="2" t="s">
        <v>1217</v>
      </c>
      <c r="B527" s="2" t="s">
        <v>1272</v>
      </c>
      <c r="C527" s="2" t="s">
        <v>146</v>
      </c>
      <c r="D527" s="16">
        <v>90</v>
      </c>
      <c r="E527" s="2" t="s">
        <v>1235</v>
      </c>
      <c r="F527" s="2" t="s">
        <v>193</v>
      </c>
      <c r="G527" s="2" t="s">
        <v>1273</v>
      </c>
      <c r="H527" s="17">
        <v>327240</v>
      </c>
      <c r="I527" s="2"/>
      <c r="J527" s="2"/>
      <c r="K527" s="17">
        <v>327240</v>
      </c>
      <c r="L527" s="17">
        <v>35061.43</v>
      </c>
      <c r="M527" s="17">
        <v>292178.57</v>
      </c>
      <c r="N527" s="17">
        <v>327240</v>
      </c>
      <c r="O527" s="2"/>
      <c r="P527" s="2"/>
      <c r="Q527" s="31" t="s">
        <v>36</v>
      </c>
      <c r="R527" s="62"/>
      <c r="S527" s="62"/>
      <c r="T527" s="5"/>
    </row>
    <row r="528" spans="1:20">
      <c r="A528" s="2" t="s">
        <v>1217</v>
      </c>
      <c r="B528" s="2" t="s">
        <v>1276</v>
      </c>
      <c r="C528" s="2" t="s">
        <v>146</v>
      </c>
      <c r="D528" s="16">
        <v>90</v>
      </c>
      <c r="E528" s="2" t="s">
        <v>1235</v>
      </c>
      <c r="F528" s="2" t="s">
        <v>193</v>
      </c>
      <c r="G528" s="2" t="s">
        <v>1277</v>
      </c>
      <c r="H528" s="17">
        <v>90300</v>
      </c>
      <c r="I528" s="2"/>
      <c r="J528" s="2"/>
      <c r="K528" s="17">
        <v>90300</v>
      </c>
      <c r="L528" s="17">
        <v>9675</v>
      </c>
      <c r="M528" s="17">
        <v>80625</v>
      </c>
      <c r="N528" s="17">
        <v>90300</v>
      </c>
      <c r="O528" s="2"/>
      <c r="P528" s="2"/>
      <c r="Q528" s="31" t="s">
        <v>36</v>
      </c>
      <c r="R528" s="62"/>
      <c r="S528" s="62"/>
      <c r="T528" s="5"/>
    </row>
    <row r="529" spans="1:20">
      <c r="A529" s="2" t="s">
        <v>1287</v>
      </c>
      <c r="B529" s="2" t="s">
        <v>1344</v>
      </c>
      <c r="C529" s="2" t="s">
        <v>162</v>
      </c>
      <c r="D529" s="16">
        <v>90</v>
      </c>
      <c r="E529" s="2" t="s">
        <v>1315</v>
      </c>
      <c r="F529" s="2" t="s">
        <v>193</v>
      </c>
      <c r="G529" s="2" t="s">
        <v>1345</v>
      </c>
      <c r="H529" s="17">
        <v>198750</v>
      </c>
      <c r="I529" s="2"/>
      <c r="J529" s="2"/>
      <c r="K529" s="17">
        <v>198750</v>
      </c>
      <c r="L529" s="17">
        <v>21294.639999999999</v>
      </c>
      <c r="M529" s="17">
        <v>177455.35999999999</v>
      </c>
      <c r="N529" s="17">
        <v>198750</v>
      </c>
      <c r="O529" s="2"/>
      <c r="P529" s="2"/>
      <c r="Q529" s="31" t="s">
        <v>36</v>
      </c>
      <c r="R529" s="63"/>
      <c r="S529" s="62"/>
      <c r="T529" s="5"/>
    </row>
    <row r="530" spans="1:20">
      <c r="A530" s="2" t="s">
        <v>17</v>
      </c>
      <c r="B530" s="2" t="s">
        <v>33</v>
      </c>
      <c r="C530" s="2" t="s">
        <v>34</v>
      </c>
      <c r="D530" s="16">
        <v>60</v>
      </c>
      <c r="E530" s="2" t="s">
        <v>35</v>
      </c>
      <c r="F530" s="2" t="s">
        <v>37</v>
      </c>
      <c r="G530" s="2" t="s">
        <v>38</v>
      </c>
      <c r="H530" s="17">
        <v>173450.58</v>
      </c>
      <c r="I530" s="2"/>
      <c r="J530" s="2"/>
      <c r="K530" s="17">
        <v>173450.58</v>
      </c>
      <c r="L530" s="17">
        <v>18583.990000000002</v>
      </c>
      <c r="M530" s="17">
        <v>154866.59</v>
      </c>
      <c r="N530" s="17">
        <v>173450.58</v>
      </c>
      <c r="O530" s="2"/>
      <c r="P530" s="2"/>
      <c r="Q530" s="31" t="s">
        <v>36</v>
      </c>
      <c r="R530" s="61">
        <f>+K530+K531+K532+K533</f>
        <v>691740.65999999992</v>
      </c>
      <c r="S530" s="62"/>
      <c r="T530" s="5"/>
    </row>
    <row r="531" spans="1:20">
      <c r="A531" s="2" t="s">
        <v>93</v>
      </c>
      <c r="B531" s="2" t="s">
        <v>135</v>
      </c>
      <c r="C531" s="2" t="s">
        <v>34</v>
      </c>
      <c r="D531" s="16">
        <v>60</v>
      </c>
      <c r="E531" s="2" t="s">
        <v>136</v>
      </c>
      <c r="F531" s="2" t="s">
        <v>37</v>
      </c>
      <c r="G531" s="2" t="s">
        <v>137</v>
      </c>
      <c r="H531" s="17">
        <v>32101.08</v>
      </c>
      <c r="I531" s="2"/>
      <c r="J531" s="2"/>
      <c r="K531" s="17">
        <v>32101.08</v>
      </c>
      <c r="L531" s="17">
        <v>3439.4</v>
      </c>
      <c r="M531" s="17">
        <v>28661.68</v>
      </c>
      <c r="N531" s="17">
        <v>32101.08</v>
      </c>
      <c r="O531" s="2"/>
      <c r="P531" s="2"/>
      <c r="Q531" s="31" t="s">
        <v>36</v>
      </c>
      <c r="R531" s="62"/>
      <c r="S531" s="62"/>
      <c r="T531" s="5"/>
    </row>
    <row r="532" spans="1:20">
      <c r="A532" s="2" t="s">
        <v>1287</v>
      </c>
      <c r="B532" s="2" t="s">
        <v>1340</v>
      </c>
      <c r="C532" s="2" t="s">
        <v>34</v>
      </c>
      <c r="D532" s="16">
        <v>60</v>
      </c>
      <c r="E532" s="2" t="s">
        <v>1331</v>
      </c>
      <c r="F532" s="2" t="s">
        <v>37</v>
      </c>
      <c r="G532" s="2" t="s">
        <v>1341</v>
      </c>
      <c r="H532" s="17">
        <v>467200</v>
      </c>
      <c r="I532" s="2"/>
      <c r="J532" s="2"/>
      <c r="K532" s="17">
        <v>467200</v>
      </c>
      <c r="L532" s="17">
        <v>50057.14</v>
      </c>
      <c r="M532" s="17">
        <v>417142.86</v>
      </c>
      <c r="N532" s="17">
        <v>467200</v>
      </c>
      <c r="O532" s="2"/>
      <c r="P532" s="2"/>
      <c r="Q532" s="31" t="s">
        <v>36</v>
      </c>
      <c r="R532" s="62"/>
      <c r="S532" s="62"/>
      <c r="T532" s="5"/>
    </row>
    <row r="533" spans="1:20">
      <c r="A533" s="2" t="s">
        <v>1372</v>
      </c>
      <c r="B533" s="2" t="s">
        <v>1381</v>
      </c>
      <c r="C533" s="2" t="s">
        <v>34</v>
      </c>
      <c r="D533" s="16">
        <v>60</v>
      </c>
      <c r="E533" s="2" t="s">
        <v>1373</v>
      </c>
      <c r="F533" s="2" t="s">
        <v>37</v>
      </c>
      <c r="G533" s="2" t="s">
        <v>1382</v>
      </c>
      <c r="H533" s="17">
        <v>18989</v>
      </c>
      <c r="I533" s="2"/>
      <c r="J533" s="2"/>
      <c r="K533" s="17">
        <v>18989</v>
      </c>
      <c r="L533" s="17">
        <v>2034.54</v>
      </c>
      <c r="M533" s="17">
        <v>16954.46</v>
      </c>
      <c r="N533" s="17">
        <v>18989</v>
      </c>
      <c r="O533" s="2"/>
      <c r="P533" s="2"/>
      <c r="Q533" s="31" t="s">
        <v>36</v>
      </c>
      <c r="R533" s="63"/>
      <c r="S533" s="63"/>
      <c r="T533" s="5"/>
    </row>
    <row r="534" spans="1:20">
      <c r="A534" s="2" t="s">
        <v>1117</v>
      </c>
      <c r="B534" s="2" t="s">
        <v>1140</v>
      </c>
      <c r="C534" s="2" t="s">
        <v>60</v>
      </c>
      <c r="D534" s="16">
        <v>0</v>
      </c>
      <c r="E534" s="2" t="s">
        <v>1117</v>
      </c>
      <c r="F534" s="2" t="s">
        <v>1142</v>
      </c>
      <c r="G534" s="2" t="s">
        <v>1143</v>
      </c>
      <c r="H534" s="17">
        <v>403050.68</v>
      </c>
      <c r="I534" s="2"/>
      <c r="J534" s="2"/>
      <c r="K534" s="17">
        <v>403050.68</v>
      </c>
      <c r="L534" s="17">
        <v>43184</v>
      </c>
      <c r="M534" s="17">
        <v>359866.68</v>
      </c>
      <c r="N534" s="17">
        <v>403050.68</v>
      </c>
      <c r="O534" s="2"/>
      <c r="P534" s="2"/>
      <c r="Q534" s="31" t="s">
        <v>1141</v>
      </c>
      <c r="R534" s="61">
        <f>+K534+K535</f>
        <v>510650.68</v>
      </c>
      <c r="S534" s="61">
        <f>+R534</f>
        <v>510650.68</v>
      </c>
      <c r="T534" s="5"/>
    </row>
    <row r="535" spans="1:20">
      <c r="A535" s="2" t="s">
        <v>1117</v>
      </c>
      <c r="B535" s="2" t="s">
        <v>1144</v>
      </c>
      <c r="C535" s="2" t="s">
        <v>60</v>
      </c>
      <c r="D535" s="16">
        <v>0</v>
      </c>
      <c r="E535" s="2" t="s">
        <v>1117</v>
      </c>
      <c r="F535" s="2" t="s">
        <v>1142</v>
      </c>
      <c r="G535" s="2" t="s">
        <v>1145</v>
      </c>
      <c r="H535" s="17">
        <v>107600</v>
      </c>
      <c r="I535" s="2"/>
      <c r="J535" s="2"/>
      <c r="K535" s="17">
        <v>107600</v>
      </c>
      <c r="L535" s="17">
        <v>11528.57</v>
      </c>
      <c r="M535" s="17">
        <v>96071.43</v>
      </c>
      <c r="N535" s="17">
        <v>107600</v>
      </c>
      <c r="O535" s="2"/>
      <c r="P535" s="2"/>
      <c r="Q535" s="31" t="s">
        <v>1141</v>
      </c>
      <c r="R535" s="63"/>
      <c r="S535" s="63"/>
      <c r="T535" s="5"/>
    </row>
    <row r="536" spans="1:20">
      <c r="A536" s="2" t="s">
        <v>1117</v>
      </c>
      <c r="B536" s="2" t="s">
        <v>1175</v>
      </c>
      <c r="C536" s="2" t="s">
        <v>23</v>
      </c>
      <c r="D536" s="16">
        <v>30</v>
      </c>
      <c r="E536" s="2" t="s">
        <v>1118</v>
      </c>
      <c r="F536" s="2" t="s">
        <v>1176</v>
      </c>
      <c r="G536" s="2" t="s">
        <v>1177</v>
      </c>
      <c r="H536" s="17">
        <v>63822</v>
      </c>
      <c r="I536" s="2"/>
      <c r="J536" s="2"/>
      <c r="K536" s="17">
        <v>63822</v>
      </c>
      <c r="L536" s="17">
        <v>6838.07</v>
      </c>
      <c r="M536" s="17">
        <v>56983.93</v>
      </c>
      <c r="N536" s="17">
        <v>63822</v>
      </c>
      <c r="O536" s="2"/>
      <c r="P536" s="2"/>
      <c r="Q536" s="31" t="s">
        <v>50</v>
      </c>
      <c r="R536" s="64">
        <f>+K536+K537</f>
        <v>250572</v>
      </c>
      <c r="S536" s="61">
        <f>+R536+R538+R544+R545+R546+R548+R549+R552+R554+R569+R570+R571+R574+R576+R580+R581+R583+R585+R586+R587+R589</f>
        <v>8297696.3799999999</v>
      </c>
      <c r="T536" s="5"/>
    </row>
    <row r="537" spans="1:20">
      <c r="A537" s="2" t="s">
        <v>1117</v>
      </c>
      <c r="B537" s="2" t="s">
        <v>1206</v>
      </c>
      <c r="C537" s="2" t="s">
        <v>23</v>
      </c>
      <c r="D537" s="16">
        <v>30</v>
      </c>
      <c r="E537" s="2" t="s">
        <v>1118</v>
      </c>
      <c r="F537" s="2" t="s">
        <v>1176</v>
      </c>
      <c r="G537" s="2" t="s">
        <v>1207</v>
      </c>
      <c r="H537" s="17">
        <v>186750</v>
      </c>
      <c r="I537" s="2"/>
      <c r="J537" s="2"/>
      <c r="K537" s="17">
        <v>186750</v>
      </c>
      <c r="L537" s="17">
        <v>20008.93</v>
      </c>
      <c r="M537" s="17">
        <v>166741.07</v>
      </c>
      <c r="N537" s="17">
        <v>186750</v>
      </c>
      <c r="O537" s="2"/>
      <c r="P537" s="2"/>
      <c r="Q537" s="31" t="s">
        <v>50</v>
      </c>
      <c r="R537" s="65"/>
      <c r="S537" s="62"/>
      <c r="T537" s="5"/>
    </row>
    <row r="538" spans="1:20">
      <c r="A538" s="2" t="s">
        <v>769</v>
      </c>
      <c r="B538" s="2" t="s">
        <v>823</v>
      </c>
      <c r="C538" s="2" t="s">
        <v>60</v>
      </c>
      <c r="D538" s="16">
        <v>0</v>
      </c>
      <c r="E538" s="2" t="s">
        <v>769</v>
      </c>
      <c r="F538" s="2" t="s">
        <v>824</v>
      </c>
      <c r="G538" s="2" t="s">
        <v>825</v>
      </c>
      <c r="H538" s="17">
        <v>300075</v>
      </c>
      <c r="I538" s="2"/>
      <c r="J538" s="2"/>
      <c r="K538" s="17">
        <v>300075</v>
      </c>
      <c r="L538" s="17">
        <v>32150.89</v>
      </c>
      <c r="M538" s="17">
        <v>267924.11</v>
      </c>
      <c r="N538" s="17">
        <v>300075</v>
      </c>
      <c r="O538" s="2"/>
      <c r="P538" s="2"/>
      <c r="Q538" s="31" t="s">
        <v>50</v>
      </c>
      <c r="R538" s="64">
        <f>+K538+K539</f>
        <v>356824</v>
      </c>
      <c r="S538" s="62"/>
      <c r="T538" s="5"/>
    </row>
    <row r="539" spans="1:20">
      <c r="A539" s="2" t="s">
        <v>769</v>
      </c>
      <c r="B539" s="2" t="s">
        <v>828</v>
      </c>
      <c r="C539" s="2" t="s">
        <v>60</v>
      </c>
      <c r="D539" s="16">
        <v>0</v>
      </c>
      <c r="E539" s="2" t="s">
        <v>769</v>
      </c>
      <c r="F539" s="2" t="s">
        <v>824</v>
      </c>
      <c r="G539" s="2" t="s">
        <v>829</v>
      </c>
      <c r="H539" s="17">
        <v>56749</v>
      </c>
      <c r="I539" s="2"/>
      <c r="J539" s="2"/>
      <c r="K539" s="17">
        <v>56749</v>
      </c>
      <c r="L539" s="17">
        <v>6080.25</v>
      </c>
      <c r="M539" s="17">
        <v>50668.75</v>
      </c>
      <c r="N539" s="17">
        <v>56749</v>
      </c>
      <c r="O539" s="2"/>
      <c r="P539" s="2"/>
      <c r="Q539" s="31" t="s">
        <v>50</v>
      </c>
      <c r="R539" s="65"/>
      <c r="S539" s="62"/>
      <c r="T539" s="5"/>
    </row>
    <row r="540" spans="1:20" ht="14.45" hidden="1" customHeight="1">
      <c r="A540" s="2" t="s">
        <v>17</v>
      </c>
      <c r="B540" s="2" t="s">
        <v>49</v>
      </c>
      <c r="C540" s="2" t="s">
        <v>29</v>
      </c>
      <c r="D540" s="16">
        <v>0</v>
      </c>
      <c r="E540" s="2" t="s">
        <v>17</v>
      </c>
      <c r="F540" s="2" t="s">
        <v>51</v>
      </c>
      <c r="G540" s="2" t="s">
        <v>52</v>
      </c>
      <c r="H540" s="17">
        <v>11602.84</v>
      </c>
      <c r="I540" s="2"/>
      <c r="J540" s="17">
        <v>11602.84</v>
      </c>
      <c r="K540" s="2">
        <v>0</v>
      </c>
      <c r="L540" s="17">
        <v>1243.1600000000001</v>
      </c>
      <c r="M540" s="17">
        <v>10359.68</v>
      </c>
      <c r="N540" s="17">
        <v>11602.84</v>
      </c>
      <c r="O540" s="2" t="s">
        <v>1767</v>
      </c>
      <c r="P540" s="2"/>
      <c r="Q540" s="31" t="s">
        <v>50</v>
      </c>
      <c r="R540" s="5"/>
      <c r="S540" s="62"/>
      <c r="T540" s="5"/>
    </row>
    <row r="541" spans="1:20" ht="14.45" hidden="1" customHeight="1">
      <c r="A541" s="2" t="s">
        <v>448</v>
      </c>
      <c r="B541" s="2" t="s">
        <v>476</v>
      </c>
      <c r="C541" s="2" t="s">
        <v>29</v>
      </c>
      <c r="D541" s="16">
        <v>0</v>
      </c>
      <c r="E541" s="2" t="s">
        <v>448</v>
      </c>
      <c r="F541" s="2" t="s">
        <v>51</v>
      </c>
      <c r="G541" s="2" t="s">
        <v>477</v>
      </c>
      <c r="H541" s="17">
        <v>11687.4</v>
      </c>
      <c r="I541" s="2"/>
      <c r="J541" s="17">
        <v>11687.4</v>
      </c>
      <c r="K541" s="2">
        <v>0</v>
      </c>
      <c r="L541" s="17">
        <v>1252.22</v>
      </c>
      <c r="M541" s="17">
        <v>10435.18</v>
      </c>
      <c r="N541" s="17">
        <v>11687.4</v>
      </c>
      <c r="O541" s="2" t="s">
        <v>1767</v>
      </c>
      <c r="P541" s="2"/>
      <c r="Q541" s="31" t="s">
        <v>50</v>
      </c>
      <c r="R541" s="5"/>
      <c r="S541" s="62"/>
      <c r="T541" s="5"/>
    </row>
    <row r="542" spans="1:20" ht="14.45" hidden="1" customHeight="1">
      <c r="A542" s="2" t="s">
        <v>596</v>
      </c>
      <c r="B542" s="2" t="s">
        <v>622</v>
      </c>
      <c r="C542" s="2" t="s">
        <v>29</v>
      </c>
      <c r="D542" s="16">
        <v>0</v>
      </c>
      <c r="E542" s="2" t="s">
        <v>596</v>
      </c>
      <c r="F542" s="2" t="s">
        <v>51</v>
      </c>
      <c r="G542" s="2" t="s">
        <v>623</v>
      </c>
      <c r="H542" s="17">
        <v>11657.2</v>
      </c>
      <c r="I542" s="2"/>
      <c r="J542" s="17">
        <v>11657.2</v>
      </c>
      <c r="K542" s="2">
        <v>0</v>
      </c>
      <c r="L542" s="17">
        <v>1248.99</v>
      </c>
      <c r="M542" s="17">
        <v>10408.209999999999</v>
      </c>
      <c r="N542" s="17">
        <v>11657.2</v>
      </c>
      <c r="O542" s="2"/>
      <c r="P542" s="2" t="s">
        <v>1767</v>
      </c>
      <c r="Q542" s="31" t="s">
        <v>50</v>
      </c>
      <c r="R542" s="5"/>
      <c r="S542" s="62"/>
      <c r="T542" s="5"/>
    </row>
    <row r="543" spans="1:20" ht="14.45" hidden="1" customHeight="1">
      <c r="A543" s="2" t="s">
        <v>1467</v>
      </c>
      <c r="B543" s="2" t="s">
        <v>1472</v>
      </c>
      <c r="C543" s="2" t="s">
        <v>29</v>
      </c>
      <c r="D543" s="16">
        <v>0</v>
      </c>
      <c r="E543" s="2" t="s">
        <v>1467</v>
      </c>
      <c r="F543" s="2" t="s">
        <v>51</v>
      </c>
      <c r="G543" s="2" t="s">
        <v>1473</v>
      </c>
      <c r="H543" s="17">
        <v>30168.18</v>
      </c>
      <c r="I543" s="2"/>
      <c r="J543" s="17">
        <v>30168.18</v>
      </c>
      <c r="K543" s="2">
        <v>0</v>
      </c>
      <c r="L543" s="17">
        <v>3232.31</v>
      </c>
      <c r="M543" s="17">
        <v>26935.87</v>
      </c>
      <c r="N543" s="17">
        <v>30168.18</v>
      </c>
      <c r="O543" s="2" t="s">
        <v>1767</v>
      </c>
      <c r="P543" s="2"/>
      <c r="Q543" s="31" t="s">
        <v>50</v>
      </c>
      <c r="R543" s="5"/>
      <c r="S543" s="62"/>
      <c r="T543" s="5"/>
    </row>
    <row r="544" spans="1:20">
      <c r="A544" s="2" t="s">
        <v>596</v>
      </c>
      <c r="B544" s="2" t="s">
        <v>624</v>
      </c>
      <c r="C544" s="2" t="s">
        <v>243</v>
      </c>
      <c r="D544" s="16">
        <v>30</v>
      </c>
      <c r="E544" s="2" t="s">
        <v>619</v>
      </c>
      <c r="F544" s="2" t="s">
        <v>626</v>
      </c>
      <c r="G544" s="2" t="s">
        <v>627</v>
      </c>
      <c r="H544" s="17">
        <v>4900</v>
      </c>
      <c r="I544" s="2"/>
      <c r="J544" s="2"/>
      <c r="K544" s="17">
        <v>4900</v>
      </c>
      <c r="L544" s="18">
        <v>525</v>
      </c>
      <c r="M544" s="17">
        <v>4375</v>
      </c>
      <c r="N544" s="17">
        <v>4900</v>
      </c>
      <c r="O544" s="2"/>
      <c r="P544" s="2"/>
      <c r="Q544" s="31" t="s">
        <v>625</v>
      </c>
      <c r="R544" s="41">
        <f>+K544</f>
        <v>4900</v>
      </c>
      <c r="S544" s="62"/>
      <c r="T544" s="5"/>
    </row>
    <row r="545" spans="1:20">
      <c r="A545" s="2" t="s">
        <v>1048</v>
      </c>
      <c r="B545" s="2" t="s">
        <v>1082</v>
      </c>
      <c r="C545" s="2" t="s">
        <v>60</v>
      </c>
      <c r="D545" s="16">
        <v>0</v>
      </c>
      <c r="E545" s="2" t="s">
        <v>1048</v>
      </c>
      <c r="F545" s="2" t="s">
        <v>1083</v>
      </c>
      <c r="G545" s="2" t="s">
        <v>1084</v>
      </c>
      <c r="H545" s="17">
        <v>94908</v>
      </c>
      <c r="I545" s="19">
        <v>-1898.16</v>
      </c>
      <c r="J545" s="2"/>
      <c r="K545" s="17">
        <v>93009.84</v>
      </c>
      <c r="L545" s="17">
        <v>9965.34</v>
      </c>
      <c r="M545" s="17">
        <v>83044.5</v>
      </c>
      <c r="N545" s="17">
        <v>93009.84</v>
      </c>
      <c r="O545" s="2"/>
      <c r="P545" s="2"/>
      <c r="Q545" s="31" t="s">
        <v>625</v>
      </c>
      <c r="R545" s="41">
        <f>+K545</f>
        <v>93009.84</v>
      </c>
      <c r="S545" s="62"/>
      <c r="T545" s="5"/>
    </row>
    <row r="546" spans="1:20">
      <c r="A546" s="2" t="s">
        <v>769</v>
      </c>
      <c r="B546" s="2" t="s">
        <v>792</v>
      </c>
      <c r="C546" s="2" t="s">
        <v>34</v>
      </c>
      <c r="D546" s="16">
        <v>60</v>
      </c>
      <c r="E546" s="2" t="s">
        <v>770</v>
      </c>
      <c r="F546" s="2" t="s">
        <v>793</v>
      </c>
      <c r="G546" s="2" t="s">
        <v>794</v>
      </c>
      <c r="H546" s="17">
        <v>48003</v>
      </c>
      <c r="I546" s="2"/>
      <c r="J546" s="2"/>
      <c r="K546" s="17">
        <v>48003</v>
      </c>
      <c r="L546" s="17">
        <v>5143.18</v>
      </c>
      <c r="M546" s="17">
        <v>42859.82</v>
      </c>
      <c r="N546" s="17">
        <v>48003</v>
      </c>
      <c r="O546" s="2"/>
      <c r="P546" s="2"/>
      <c r="Q546" s="31" t="s">
        <v>625</v>
      </c>
      <c r="R546" s="64">
        <f>+K546+K547</f>
        <v>49431</v>
      </c>
      <c r="S546" s="62"/>
      <c r="T546" s="5"/>
    </row>
    <row r="547" spans="1:20">
      <c r="A547" s="2" t="s">
        <v>1372</v>
      </c>
      <c r="B547" s="2" t="s">
        <v>1379</v>
      </c>
      <c r="C547" s="2" t="s">
        <v>681</v>
      </c>
      <c r="D547" s="16">
        <v>0</v>
      </c>
      <c r="E547" s="2" t="s">
        <v>1372</v>
      </c>
      <c r="F547" s="2" t="s">
        <v>793</v>
      </c>
      <c r="G547" s="2" t="s">
        <v>1380</v>
      </c>
      <c r="H547" s="17">
        <v>1428</v>
      </c>
      <c r="I547" s="2"/>
      <c r="J547" s="2"/>
      <c r="K547" s="17">
        <v>1428</v>
      </c>
      <c r="L547" s="18">
        <v>153</v>
      </c>
      <c r="M547" s="17">
        <v>1275</v>
      </c>
      <c r="N547" s="17">
        <v>1428</v>
      </c>
      <c r="O547" s="2"/>
      <c r="P547" s="2"/>
      <c r="Q547" s="31" t="s">
        <v>625</v>
      </c>
      <c r="R547" s="65"/>
      <c r="S547" s="62"/>
      <c r="T547" s="5"/>
    </row>
    <row r="548" spans="1:20">
      <c r="A548" s="2" t="s">
        <v>17</v>
      </c>
      <c r="B548" s="2" t="s">
        <v>16</v>
      </c>
      <c r="C548" s="2" t="s">
        <v>18</v>
      </c>
      <c r="D548" s="16">
        <v>0</v>
      </c>
      <c r="E548" s="2" t="s">
        <v>17</v>
      </c>
      <c r="F548" s="2" t="s">
        <v>20</v>
      </c>
      <c r="G548" s="2" t="s">
        <v>21</v>
      </c>
      <c r="H548" s="17">
        <v>105000</v>
      </c>
      <c r="I548" s="2"/>
      <c r="J548" s="2"/>
      <c r="K548" s="17">
        <v>105000</v>
      </c>
      <c r="L548" s="17">
        <v>11250</v>
      </c>
      <c r="M548" s="17">
        <v>93750</v>
      </c>
      <c r="N548" s="17">
        <v>105000</v>
      </c>
      <c r="O548" s="2"/>
      <c r="P548" s="2"/>
      <c r="Q548" s="31" t="s">
        <v>19</v>
      </c>
      <c r="R548" s="41">
        <f>+K548</f>
        <v>105000</v>
      </c>
      <c r="S548" s="62"/>
      <c r="T548" s="5"/>
    </row>
    <row r="549" spans="1:20">
      <c r="A549" s="2" t="s">
        <v>368</v>
      </c>
      <c r="B549" s="2" t="s">
        <v>388</v>
      </c>
      <c r="C549" s="2" t="s">
        <v>237</v>
      </c>
      <c r="D549" s="16">
        <v>60</v>
      </c>
      <c r="E549" s="2" t="s">
        <v>376</v>
      </c>
      <c r="F549" s="2" t="s">
        <v>389</v>
      </c>
      <c r="G549" s="2" t="s">
        <v>390</v>
      </c>
      <c r="H549" s="17">
        <v>63000</v>
      </c>
      <c r="I549" s="2"/>
      <c r="J549" s="2"/>
      <c r="K549" s="17">
        <v>63000</v>
      </c>
      <c r="L549" s="17">
        <v>6750</v>
      </c>
      <c r="M549" s="17">
        <v>56250</v>
      </c>
      <c r="N549" s="17">
        <v>63000</v>
      </c>
      <c r="O549" s="2"/>
      <c r="P549" s="2"/>
      <c r="Q549" s="31" t="s">
        <v>19</v>
      </c>
      <c r="R549" s="64">
        <f>+K549+K550+K551</f>
        <v>260400</v>
      </c>
      <c r="S549" s="62"/>
      <c r="T549" s="5"/>
    </row>
    <row r="550" spans="1:20">
      <c r="A550" s="2" t="s">
        <v>368</v>
      </c>
      <c r="B550" s="2" t="s">
        <v>428</v>
      </c>
      <c r="C550" s="2" t="s">
        <v>237</v>
      </c>
      <c r="D550" s="16">
        <v>60</v>
      </c>
      <c r="E550" s="2" t="s">
        <v>376</v>
      </c>
      <c r="F550" s="2" t="s">
        <v>389</v>
      </c>
      <c r="G550" s="2" t="s">
        <v>429</v>
      </c>
      <c r="H550" s="17">
        <v>97496</v>
      </c>
      <c r="I550" s="2"/>
      <c r="J550" s="2"/>
      <c r="K550" s="17">
        <v>97496</v>
      </c>
      <c r="L550" s="17">
        <v>10446</v>
      </c>
      <c r="M550" s="17">
        <v>87050</v>
      </c>
      <c r="N550" s="17">
        <v>97496</v>
      </c>
      <c r="O550" s="2"/>
      <c r="P550" s="2"/>
      <c r="Q550" s="31" t="s">
        <v>19</v>
      </c>
      <c r="R550" s="66"/>
      <c r="S550" s="62"/>
      <c r="T550" s="5"/>
    </row>
    <row r="551" spans="1:20">
      <c r="A551" s="2" t="s">
        <v>368</v>
      </c>
      <c r="B551" s="2" t="s">
        <v>430</v>
      </c>
      <c r="C551" s="2" t="s">
        <v>237</v>
      </c>
      <c r="D551" s="16">
        <v>60</v>
      </c>
      <c r="E551" s="2" t="s">
        <v>376</v>
      </c>
      <c r="F551" s="2" t="s">
        <v>389</v>
      </c>
      <c r="G551" s="2" t="s">
        <v>431</v>
      </c>
      <c r="H551" s="17">
        <v>99904</v>
      </c>
      <c r="I551" s="2"/>
      <c r="J551" s="2"/>
      <c r="K551" s="17">
        <v>99904</v>
      </c>
      <c r="L551" s="17">
        <v>10704</v>
      </c>
      <c r="M551" s="17">
        <v>89200</v>
      </c>
      <c r="N551" s="17">
        <v>99904</v>
      </c>
      <c r="O551" s="2"/>
      <c r="P551" s="2"/>
      <c r="Q551" s="31" t="s">
        <v>19</v>
      </c>
      <c r="R551" s="65"/>
      <c r="S551" s="62"/>
      <c r="T551" s="5"/>
    </row>
    <row r="552" spans="1:20">
      <c r="A552" s="2" t="s">
        <v>368</v>
      </c>
      <c r="B552" s="2" t="s">
        <v>414</v>
      </c>
      <c r="C552" s="2" t="s">
        <v>146</v>
      </c>
      <c r="D552" s="16">
        <v>90</v>
      </c>
      <c r="E552" s="2" t="s">
        <v>383</v>
      </c>
      <c r="F552" s="2" t="s">
        <v>415</v>
      </c>
      <c r="G552" s="2" t="s">
        <v>416</v>
      </c>
      <c r="H552" s="17">
        <v>161080</v>
      </c>
      <c r="I552" s="2"/>
      <c r="J552" s="2"/>
      <c r="K552" s="17">
        <v>161080</v>
      </c>
      <c r="L552" s="17">
        <v>17258.57</v>
      </c>
      <c r="M552" s="17">
        <v>143821.43</v>
      </c>
      <c r="N552" s="17">
        <v>161080</v>
      </c>
      <c r="O552" s="2"/>
      <c r="P552" s="2"/>
      <c r="Q552" s="31" t="s">
        <v>19</v>
      </c>
      <c r="R552" s="64">
        <f>+K552+K553</f>
        <v>1073992</v>
      </c>
      <c r="S552" s="62"/>
      <c r="T552" s="5"/>
    </row>
    <row r="553" spans="1:20">
      <c r="A553" s="2" t="s">
        <v>368</v>
      </c>
      <c r="B553" s="2" t="s">
        <v>417</v>
      </c>
      <c r="C553" s="2" t="s">
        <v>146</v>
      </c>
      <c r="D553" s="16">
        <v>90</v>
      </c>
      <c r="E553" s="2" t="s">
        <v>383</v>
      </c>
      <c r="F553" s="2" t="s">
        <v>415</v>
      </c>
      <c r="G553" s="2" t="s">
        <v>418</v>
      </c>
      <c r="H553" s="17">
        <v>912912</v>
      </c>
      <c r="I553" s="2"/>
      <c r="J553" s="2"/>
      <c r="K553" s="17">
        <v>912912</v>
      </c>
      <c r="L553" s="17">
        <v>97812</v>
      </c>
      <c r="M553" s="17">
        <v>815100</v>
      </c>
      <c r="N553" s="17">
        <v>912912</v>
      </c>
      <c r="O553" s="2"/>
      <c r="P553" s="2"/>
      <c r="Q553" s="31" t="s">
        <v>19</v>
      </c>
      <c r="R553" s="65"/>
      <c r="S553" s="62"/>
      <c r="T553" s="5"/>
    </row>
    <row r="554" spans="1:20">
      <c r="A554" s="2" t="s">
        <v>199</v>
      </c>
      <c r="B554" s="2" t="s">
        <v>266</v>
      </c>
      <c r="C554" s="2" t="s">
        <v>73</v>
      </c>
      <c r="D554" s="16">
        <v>30</v>
      </c>
      <c r="E554" s="2" t="s">
        <v>223</v>
      </c>
      <c r="F554" s="2" t="s">
        <v>267</v>
      </c>
      <c r="G554" s="2" t="s">
        <v>268</v>
      </c>
      <c r="H554" s="17">
        <v>219100</v>
      </c>
      <c r="I554" s="2"/>
      <c r="J554" s="17">
        <v>7500</v>
      </c>
      <c r="K554" s="17">
        <f>226600-J554</f>
        <v>219100</v>
      </c>
      <c r="L554" s="17">
        <v>24278.57</v>
      </c>
      <c r="M554" s="17">
        <v>202321.43</v>
      </c>
      <c r="N554" s="17">
        <v>226600</v>
      </c>
      <c r="O554" s="2"/>
      <c r="P554" s="2" t="s">
        <v>1771</v>
      </c>
      <c r="Q554" s="31" t="s">
        <v>19</v>
      </c>
      <c r="R554" s="64">
        <f>+K554+K555+K556+K557+K558+K559+K560+K561+K562+K563+K564+K565+K566+K567+K568</f>
        <v>1555156</v>
      </c>
      <c r="S554" s="62"/>
      <c r="T554" s="5"/>
    </row>
    <row r="555" spans="1:20">
      <c r="A555" s="2" t="s">
        <v>282</v>
      </c>
      <c r="B555" s="2" t="s">
        <v>347</v>
      </c>
      <c r="C555" s="2" t="s">
        <v>73</v>
      </c>
      <c r="D555" s="16">
        <v>30</v>
      </c>
      <c r="E555" s="2" t="s">
        <v>296</v>
      </c>
      <c r="F555" s="2" t="s">
        <v>267</v>
      </c>
      <c r="G555" s="2" t="s">
        <v>348</v>
      </c>
      <c r="H555" s="17">
        <v>23800</v>
      </c>
      <c r="I555" s="2"/>
      <c r="J555" s="17">
        <v>8200</v>
      </c>
      <c r="K555" s="17">
        <f>32000-J555</f>
        <v>23800</v>
      </c>
      <c r="L555" s="17">
        <v>3428.57</v>
      </c>
      <c r="M555" s="17">
        <v>28571.43</v>
      </c>
      <c r="N555" s="17">
        <v>32000</v>
      </c>
      <c r="O555" s="2"/>
      <c r="P555" s="2" t="s">
        <v>1771</v>
      </c>
      <c r="Q555" s="31" t="s">
        <v>19</v>
      </c>
      <c r="R555" s="66"/>
      <c r="S555" s="62"/>
      <c r="T555" s="5"/>
    </row>
    <row r="556" spans="1:20">
      <c r="A556" s="2" t="s">
        <v>282</v>
      </c>
      <c r="B556" s="2" t="s">
        <v>349</v>
      </c>
      <c r="C556" s="2" t="s">
        <v>73</v>
      </c>
      <c r="D556" s="16">
        <v>30</v>
      </c>
      <c r="E556" s="2" t="s">
        <v>296</v>
      </c>
      <c r="F556" s="2" t="s">
        <v>267</v>
      </c>
      <c r="G556" s="2" t="s">
        <v>350</v>
      </c>
      <c r="H556" s="17">
        <v>104000</v>
      </c>
      <c r="I556" s="2"/>
      <c r="J556" s="2"/>
      <c r="K556" s="17">
        <v>104000</v>
      </c>
      <c r="L556" s="17">
        <v>11142.86</v>
      </c>
      <c r="M556" s="17">
        <v>92857.14</v>
      </c>
      <c r="N556" s="17">
        <v>104000</v>
      </c>
      <c r="O556" s="2"/>
      <c r="P556" s="2"/>
      <c r="Q556" s="31" t="s">
        <v>19</v>
      </c>
      <c r="R556" s="66"/>
      <c r="S556" s="62"/>
      <c r="T556" s="5"/>
    </row>
    <row r="557" spans="1:20">
      <c r="A557" s="2" t="s">
        <v>448</v>
      </c>
      <c r="B557" s="2" t="s">
        <v>481</v>
      </c>
      <c r="C557" s="2" t="s">
        <v>73</v>
      </c>
      <c r="D557" s="16">
        <v>30</v>
      </c>
      <c r="E557" s="2" t="s">
        <v>482</v>
      </c>
      <c r="F557" s="2" t="s">
        <v>267</v>
      </c>
      <c r="G557" s="2" t="s">
        <v>483</v>
      </c>
      <c r="H557" s="17">
        <v>41200</v>
      </c>
      <c r="I557" s="2"/>
      <c r="J557" s="17">
        <v>10200</v>
      </c>
      <c r="K557" s="17">
        <f>51400-J557</f>
        <v>41200</v>
      </c>
      <c r="L557" s="17">
        <v>5507.14</v>
      </c>
      <c r="M557" s="17">
        <v>45892.86</v>
      </c>
      <c r="N557" s="17">
        <v>51400</v>
      </c>
      <c r="O557" s="2"/>
      <c r="P557" s="2"/>
      <c r="Q557" s="31" t="s">
        <v>19</v>
      </c>
      <c r="R557" s="66"/>
      <c r="S557" s="62"/>
      <c r="T557" s="5"/>
    </row>
    <row r="558" spans="1:20">
      <c r="A558" s="2" t="s">
        <v>448</v>
      </c>
      <c r="B558" s="2" t="s">
        <v>484</v>
      </c>
      <c r="C558" s="2" t="s">
        <v>73</v>
      </c>
      <c r="D558" s="16">
        <v>30</v>
      </c>
      <c r="E558" s="2" t="s">
        <v>482</v>
      </c>
      <c r="F558" s="2" t="s">
        <v>267</v>
      </c>
      <c r="G558" s="2" t="s">
        <v>485</v>
      </c>
      <c r="H558" s="17">
        <v>120600</v>
      </c>
      <c r="I558" s="2"/>
      <c r="J558" s="17">
        <v>13600</v>
      </c>
      <c r="K558" s="17">
        <f>134200-J558</f>
        <v>120600</v>
      </c>
      <c r="L558" s="17">
        <v>14378.57</v>
      </c>
      <c r="M558" s="17">
        <v>119821.43</v>
      </c>
      <c r="N558" s="17">
        <v>134200</v>
      </c>
      <c r="O558" s="2"/>
      <c r="P558" s="2"/>
      <c r="Q558" s="31" t="s">
        <v>19</v>
      </c>
      <c r="R558" s="66"/>
      <c r="S558" s="62"/>
      <c r="T558" s="5"/>
    </row>
    <row r="559" spans="1:20">
      <c r="A559" s="2" t="s">
        <v>448</v>
      </c>
      <c r="B559" s="2" t="s">
        <v>502</v>
      </c>
      <c r="C559" s="2" t="s">
        <v>73</v>
      </c>
      <c r="D559" s="16">
        <v>30</v>
      </c>
      <c r="E559" s="2" t="s">
        <v>482</v>
      </c>
      <c r="F559" s="2" t="s">
        <v>267</v>
      </c>
      <c r="G559" s="2" t="s">
        <v>503</v>
      </c>
      <c r="H559" s="17">
        <v>231400</v>
      </c>
      <c r="I559" s="2"/>
      <c r="J559" s="17">
        <v>13950</v>
      </c>
      <c r="K559" s="17">
        <f>245350-J559</f>
        <v>231400</v>
      </c>
      <c r="L559" s="17">
        <v>26287.5</v>
      </c>
      <c r="M559" s="17">
        <v>219062.5</v>
      </c>
      <c r="N559" s="17">
        <v>245350</v>
      </c>
      <c r="O559" s="2"/>
      <c r="P559" s="2"/>
      <c r="Q559" s="31" t="s">
        <v>19</v>
      </c>
      <c r="R559" s="66"/>
      <c r="S559" s="62"/>
      <c r="T559" s="5"/>
    </row>
    <row r="560" spans="1:20">
      <c r="A560" s="2" t="s">
        <v>505</v>
      </c>
      <c r="B560" s="2" t="s">
        <v>564</v>
      </c>
      <c r="C560" s="2" t="s">
        <v>73</v>
      </c>
      <c r="D560" s="16">
        <v>30</v>
      </c>
      <c r="E560" s="2" t="s">
        <v>518</v>
      </c>
      <c r="F560" s="2" t="s">
        <v>267</v>
      </c>
      <c r="G560" s="2" t="s">
        <v>485</v>
      </c>
      <c r="H560" s="17">
        <v>120600</v>
      </c>
      <c r="I560" s="2"/>
      <c r="J560" s="2"/>
      <c r="K560" s="17">
        <v>120600</v>
      </c>
      <c r="L560" s="17">
        <v>12921.43</v>
      </c>
      <c r="M560" s="17">
        <v>107678.57</v>
      </c>
      <c r="N560" s="17">
        <v>120600</v>
      </c>
      <c r="O560" s="2"/>
      <c r="P560" s="2"/>
      <c r="Q560" s="31" t="s">
        <v>19</v>
      </c>
      <c r="R560" s="66"/>
      <c r="S560" s="62"/>
      <c r="T560" s="5"/>
    </row>
    <row r="561" spans="1:20">
      <c r="A561" s="2" t="s">
        <v>637</v>
      </c>
      <c r="B561" s="2" t="s">
        <v>686</v>
      </c>
      <c r="C561" s="2" t="s">
        <v>73</v>
      </c>
      <c r="D561" s="16">
        <v>30</v>
      </c>
      <c r="E561" s="2" t="s">
        <v>638</v>
      </c>
      <c r="F561" s="2" t="s">
        <v>267</v>
      </c>
      <c r="G561" s="2" t="s">
        <v>687</v>
      </c>
      <c r="H561" s="17">
        <v>223360</v>
      </c>
      <c r="I561" s="2"/>
      <c r="J561" s="17">
        <v>14000</v>
      </c>
      <c r="K561" s="17">
        <f>237360-J561</f>
        <v>223360</v>
      </c>
      <c r="L561" s="17">
        <v>25431.43</v>
      </c>
      <c r="M561" s="17">
        <v>211928.57</v>
      </c>
      <c r="N561" s="17">
        <v>237360</v>
      </c>
      <c r="O561" s="2"/>
      <c r="P561" s="2" t="s">
        <v>1771</v>
      </c>
      <c r="Q561" s="31" t="s">
        <v>19</v>
      </c>
      <c r="R561" s="66"/>
      <c r="S561" s="62"/>
      <c r="T561" s="5"/>
    </row>
    <row r="562" spans="1:20">
      <c r="A562" s="2" t="s">
        <v>915</v>
      </c>
      <c r="B562" s="2" t="s">
        <v>926</v>
      </c>
      <c r="C562" s="2" t="s">
        <v>73</v>
      </c>
      <c r="D562" s="16">
        <v>30</v>
      </c>
      <c r="E562" s="2" t="s">
        <v>916</v>
      </c>
      <c r="F562" s="2" t="s">
        <v>267</v>
      </c>
      <c r="G562" s="2" t="s">
        <v>927</v>
      </c>
      <c r="H562" s="17">
        <v>7952</v>
      </c>
      <c r="I562" s="2"/>
      <c r="J562" s="2"/>
      <c r="K562" s="17">
        <v>7952</v>
      </c>
      <c r="L562" s="18">
        <v>852</v>
      </c>
      <c r="M562" s="17">
        <v>7100</v>
      </c>
      <c r="N562" s="17">
        <v>7952</v>
      </c>
      <c r="O562" s="2"/>
      <c r="P562" s="2"/>
      <c r="Q562" s="31" t="s">
        <v>19</v>
      </c>
      <c r="R562" s="66"/>
      <c r="S562" s="62"/>
      <c r="T562" s="5"/>
    </row>
    <row r="563" spans="1:20">
      <c r="A563" s="2" t="s">
        <v>915</v>
      </c>
      <c r="B563" s="2" t="s">
        <v>928</v>
      </c>
      <c r="C563" s="2" t="s">
        <v>73</v>
      </c>
      <c r="D563" s="16">
        <v>30</v>
      </c>
      <c r="E563" s="2" t="s">
        <v>916</v>
      </c>
      <c r="F563" s="2" t="s">
        <v>267</v>
      </c>
      <c r="G563" s="2" t="s">
        <v>929</v>
      </c>
      <c r="H563" s="17">
        <v>19890</v>
      </c>
      <c r="I563" s="2"/>
      <c r="J563" s="2"/>
      <c r="K563" s="17">
        <v>19890</v>
      </c>
      <c r="L563" s="17">
        <v>2131.0700000000002</v>
      </c>
      <c r="M563" s="17">
        <v>17758.93</v>
      </c>
      <c r="N563" s="17">
        <v>19890</v>
      </c>
      <c r="O563" s="2"/>
      <c r="P563" s="2"/>
      <c r="Q563" s="31" t="s">
        <v>19</v>
      </c>
      <c r="R563" s="66"/>
      <c r="S563" s="62"/>
      <c r="T563" s="5"/>
    </row>
    <row r="564" spans="1:20">
      <c r="A564" s="2" t="s">
        <v>915</v>
      </c>
      <c r="B564" s="2" t="s">
        <v>930</v>
      </c>
      <c r="C564" s="2" t="s">
        <v>73</v>
      </c>
      <c r="D564" s="16">
        <v>30</v>
      </c>
      <c r="E564" s="2" t="s">
        <v>916</v>
      </c>
      <c r="F564" s="2" t="s">
        <v>267</v>
      </c>
      <c r="G564" s="2" t="s">
        <v>931</v>
      </c>
      <c r="H564" s="17">
        <v>9180</v>
      </c>
      <c r="I564" s="2"/>
      <c r="J564" s="2"/>
      <c r="K564" s="17">
        <v>9180</v>
      </c>
      <c r="L564" s="18">
        <v>983.57</v>
      </c>
      <c r="M564" s="17">
        <v>8196.43</v>
      </c>
      <c r="N564" s="17">
        <v>9180</v>
      </c>
      <c r="O564" s="2"/>
      <c r="P564" s="2"/>
      <c r="Q564" s="31" t="s">
        <v>19</v>
      </c>
      <c r="R564" s="66"/>
      <c r="S564" s="62"/>
      <c r="T564" s="5"/>
    </row>
    <row r="565" spans="1:20">
      <c r="A565" s="2" t="s">
        <v>915</v>
      </c>
      <c r="B565" s="2" t="s">
        <v>932</v>
      </c>
      <c r="C565" s="2" t="s">
        <v>73</v>
      </c>
      <c r="D565" s="16">
        <v>30</v>
      </c>
      <c r="E565" s="2" t="s">
        <v>916</v>
      </c>
      <c r="F565" s="2" t="s">
        <v>267</v>
      </c>
      <c r="G565" s="2" t="s">
        <v>933</v>
      </c>
      <c r="H565" s="17">
        <v>8274</v>
      </c>
      <c r="I565" s="2"/>
      <c r="J565" s="2"/>
      <c r="K565" s="17">
        <v>8274</v>
      </c>
      <c r="L565" s="18">
        <v>886.5</v>
      </c>
      <c r="M565" s="17">
        <v>7387.5</v>
      </c>
      <c r="N565" s="17">
        <v>8274</v>
      </c>
      <c r="O565" s="2"/>
      <c r="P565" s="2"/>
      <c r="Q565" s="31" t="s">
        <v>19</v>
      </c>
      <c r="R565" s="66"/>
      <c r="S565" s="62"/>
      <c r="T565" s="5"/>
    </row>
    <row r="566" spans="1:20">
      <c r="A566" s="2" t="s">
        <v>1048</v>
      </c>
      <c r="B566" s="2" t="s">
        <v>1104</v>
      </c>
      <c r="C566" s="2" t="s">
        <v>73</v>
      </c>
      <c r="D566" s="16">
        <v>30</v>
      </c>
      <c r="E566" s="2" t="s">
        <v>1056</v>
      </c>
      <c r="F566" s="2" t="s">
        <v>267</v>
      </c>
      <c r="G566" s="2" t="s">
        <v>1105</v>
      </c>
      <c r="H566" s="17">
        <v>204680</v>
      </c>
      <c r="I566" s="2"/>
      <c r="J566" s="17">
        <v>17000</v>
      </c>
      <c r="K566" s="17">
        <f>221680-J566</f>
        <v>204680</v>
      </c>
      <c r="L566" s="17">
        <v>23751.43</v>
      </c>
      <c r="M566" s="17">
        <v>197928.57</v>
      </c>
      <c r="N566" s="17">
        <v>221680</v>
      </c>
      <c r="O566" s="2"/>
      <c r="P566" s="2"/>
      <c r="Q566" s="31" t="s">
        <v>19</v>
      </c>
      <c r="R566" s="66"/>
      <c r="S566" s="62"/>
      <c r="T566" s="5"/>
    </row>
    <row r="567" spans="1:20">
      <c r="A567" s="2" t="s">
        <v>1048</v>
      </c>
      <c r="B567" s="2" t="s">
        <v>1106</v>
      </c>
      <c r="C567" s="2" t="s">
        <v>73</v>
      </c>
      <c r="D567" s="16">
        <v>30</v>
      </c>
      <c r="E567" s="2" t="s">
        <v>1056</v>
      </c>
      <c r="F567" s="2" t="s">
        <v>267</v>
      </c>
      <c r="G567" s="2" t="s">
        <v>1107</v>
      </c>
      <c r="H567" s="17">
        <v>12040</v>
      </c>
      <c r="I567" s="2"/>
      <c r="J567" s="2"/>
      <c r="K567" s="17">
        <v>12040</v>
      </c>
      <c r="L567" s="17">
        <v>1290</v>
      </c>
      <c r="M567" s="17">
        <v>10750</v>
      </c>
      <c r="N567" s="17">
        <v>12040</v>
      </c>
      <c r="O567" s="2"/>
      <c r="P567" s="2"/>
      <c r="Q567" s="31" t="s">
        <v>19</v>
      </c>
      <c r="R567" s="66"/>
      <c r="S567" s="62"/>
      <c r="T567" s="5"/>
    </row>
    <row r="568" spans="1:20">
      <c r="A568" s="2" t="s">
        <v>1287</v>
      </c>
      <c r="B568" s="2" t="s">
        <v>1342</v>
      </c>
      <c r="C568" s="2" t="s">
        <v>73</v>
      </c>
      <c r="D568" s="16">
        <v>30</v>
      </c>
      <c r="E568" s="2" t="s">
        <v>1297</v>
      </c>
      <c r="F568" s="2" t="s">
        <v>267</v>
      </c>
      <c r="G568" s="2" t="s">
        <v>1343</v>
      </c>
      <c r="H568" s="17">
        <v>209080</v>
      </c>
      <c r="I568" s="2"/>
      <c r="J568" s="2"/>
      <c r="K568" s="17">
        <v>209080</v>
      </c>
      <c r="L568" s="17">
        <v>22401.43</v>
      </c>
      <c r="M568" s="17">
        <v>186678.57</v>
      </c>
      <c r="N568" s="17">
        <v>209080</v>
      </c>
      <c r="O568" s="2"/>
      <c r="P568" s="2"/>
      <c r="Q568" s="31" t="s">
        <v>19</v>
      </c>
      <c r="R568" s="65"/>
      <c r="S568" s="62"/>
      <c r="T568" s="5"/>
    </row>
    <row r="569" spans="1:20">
      <c r="A569" s="2" t="s">
        <v>93</v>
      </c>
      <c r="B569" s="2" t="s">
        <v>172</v>
      </c>
      <c r="C569" s="2" t="s">
        <v>162</v>
      </c>
      <c r="D569" s="16">
        <v>90</v>
      </c>
      <c r="E569" s="2" t="s">
        <v>147</v>
      </c>
      <c r="F569" s="2" t="s">
        <v>173</v>
      </c>
      <c r="G569" s="2" t="s">
        <v>174</v>
      </c>
      <c r="H569" s="17">
        <v>36747</v>
      </c>
      <c r="I569" s="2"/>
      <c r="J569" s="2"/>
      <c r="K569" s="17">
        <v>36747</v>
      </c>
      <c r="L569" s="17">
        <v>3937.18</v>
      </c>
      <c r="M569" s="17">
        <v>32809.82</v>
      </c>
      <c r="N569" s="17">
        <v>36747</v>
      </c>
      <c r="O569" s="2"/>
      <c r="P569" s="2"/>
      <c r="Q569" s="31" t="s">
        <v>19</v>
      </c>
      <c r="R569" s="41">
        <f>+K569</f>
        <v>36747</v>
      </c>
      <c r="S569" s="62"/>
      <c r="T569" s="5"/>
    </row>
    <row r="570" spans="1:20">
      <c r="A570" s="2" t="s">
        <v>448</v>
      </c>
      <c r="B570" s="2" t="s">
        <v>461</v>
      </c>
      <c r="C570" s="2" t="s">
        <v>60</v>
      </c>
      <c r="D570" s="16">
        <v>0</v>
      </c>
      <c r="E570" s="2" t="s">
        <v>448</v>
      </c>
      <c r="F570" s="2" t="s">
        <v>462</v>
      </c>
      <c r="G570" s="2" t="s">
        <v>463</v>
      </c>
      <c r="H570" s="17">
        <v>9605</v>
      </c>
      <c r="I570" s="2"/>
      <c r="J570" s="2"/>
      <c r="K570" s="17">
        <v>9605</v>
      </c>
      <c r="L570" s="17">
        <v>1029.1099999999999</v>
      </c>
      <c r="M570" s="17">
        <v>8575.89</v>
      </c>
      <c r="N570" s="17">
        <v>9605</v>
      </c>
      <c r="O570" s="2"/>
      <c r="P570" s="2"/>
      <c r="Q570" s="31" t="s">
        <v>19</v>
      </c>
      <c r="R570" s="41">
        <f>+K570</f>
        <v>9605</v>
      </c>
      <c r="S570" s="62"/>
      <c r="T570" s="5"/>
    </row>
    <row r="571" spans="1:20">
      <c r="A571" s="2" t="s">
        <v>282</v>
      </c>
      <c r="B571" s="2" t="s">
        <v>285</v>
      </c>
      <c r="C571" s="2" t="s">
        <v>34</v>
      </c>
      <c r="D571" s="16">
        <v>60</v>
      </c>
      <c r="E571" s="2" t="s">
        <v>286</v>
      </c>
      <c r="F571" s="2" t="s">
        <v>287</v>
      </c>
      <c r="G571" s="2" t="s">
        <v>288</v>
      </c>
      <c r="H571" s="17">
        <v>19080</v>
      </c>
      <c r="I571" s="2"/>
      <c r="J571" s="2"/>
      <c r="K571" s="17">
        <v>19080</v>
      </c>
      <c r="L571" s="17">
        <v>2044.29</v>
      </c>
      <c r="M571" s="17">
        <v>17035.71</v>
      </c>
      <c r="N571" s="17">
        <v>19080</v>
      </c>
      <c r="O571" s="2"/>
      <c r="P571" s="2"/>
      <c r="Q571" s="31" t="s">
        <v>19</v>
      </c>
      <c r="R571" s="64">
        <f>+K571+K572+K573</f>
        <v>154780</v>
      </c>
      <c r="S571" s="62"/>
      <c r="T571" s="5"/>
    </row>
    <row r="572" spans="1:20">
      <c r="A572" s="2" t="s">
        <v>971</v>
      </c>
      <c r="B572" s="2" t="s">
        <v>1000</v>
      </c>
      <c r="C572" s="2" t="s">
        <v>34</v>
      </c>
      <c r="D572" s="16">
        <v>60</v>
      </c>
      <c r="E572" s="2" t="s">
        <v>991</v>
      </c>
      <c r="F572" s="2" t="s">
        <v>287</v>
      </c>
      <c r="G572" s="2" t="s">
        <v>1001</v>
      </c>
      <c r="H572" s="17">
        <v>25200</v>
      </c>
      <c r="I572" s="2"/>
      <c r="J572" s="2"/>
      <c r="K572" s="17">
        <v>25200</v>
      </c>
      <c r="L572" s="17">
        <v>2700</v>
      </c>
      <c r="M572" s="17">
        <v>22500</v>
      </c>
      <c r="N572" s="17">
        <v>25200</v>
      </c>
      <c r="O572" s="2"/>
      <c r="P572" s="2"/>
      <c r="Q572" s="31" t="s">
        <v>19</v>
      </c>
      <c r="R572" s="66"/>
      <c r="S572" s="62"/>
      <c r="T572" s="5"/>
    </row>
    <row r="573" spans="1:20">
      <c r="A573" s="2" t="s">
        <v>1553</v>
      </c>
      <c r="B573" s="2" t="s">
        <v>1589</v>
      </c>
      <c r="C573" s="2" t="s">
        <v>34</v>
      </c>
      <c r="D573" s="16">
        <v>60</v>
      </c>
      <c r="E573" s="2" t="s">
        <v>1557</v>
      </c>
      <c r="F573" s="2" t="s">
        <v>287</v>
      </c>
      <c r="G573" s="2" t="s">
        <v>1590</v>
      </c>
      <c r="H573" s="17">
        <v>110500</v>
      </c>
      <c r="I573" s="2"/>
      <c r="J573" s="2"/>
      <c r="K573" s="17">
        <v>110500</v>
      </c>
      <c r="L573" s="17">
        <v>11839.29</v>
      </c>
      <c r="M573" s="17">
        <v>98660.71</v>
      </c>
      <c r="N573" s="17">
        <v>110500</v>
      </c>
      <c r="O573" s="2"/>
      <c r="P573" s="2"/>
      <c r="Q573" s="31" t="s">
        <v>19</v>
      </c>
      <c r="R573" s="65"/>
      <c r="S573" s="62"/>
      <c r="T573" s="5"/>
    </row>
    <row r="574" spans="1:20">
      <c r="A574" s="2" t="s">
        <v>637</v>
      </c>
      <c r="B574" s="2" t="s">
        <v>671</v>
      </c>
      <c r="C574" s="2" t="s">
        <v>162</v>
      </c>
      <c r="D574" s="16">
        <v>90</v>
      </c>
      <c r="E574" s="2" t="s">
        <v>655</v>
      </c>
      <c r="F574" s="2" t="s">
        <v>672</v>
      </c>
      <c r="G574" s="2" t="s">
        <v>673</v>
      </c>
      <c r="H574" s="17">
        <v>11760</v>
      </c>
      <c r="I574" s="2"/>
      <c r="J574" s="2"/>
      <c r="K574" s="17">
        <v>11760</v>
      </c>
      <c r="L574" s="17">
        <v>1260</v>
      </c>
      <c r="M574" s="17">
        <v>10500</v>
      </c>
      <c r="N574" s="17">
        <v>11760</v>
      </c>
      <c r="O574" s="2"/>
      <c r="P574" s="2"/>
      <c r="Q574" s="31" t="s">
        <v>19</v>
      </c>
      <c r="R574" s="64">
        <f>+K574+K575</f>
        <v>23520</v>
      </c>
      <c r="S574" s="62"/>
      <c r="T574" s="5"/>
    </row>
    <row r="575" spans="1:20">
      <c r="A575" s="2" t="s">
        <v>637</v>
      </c>
      <c r="B575" s="2" t="s">
        <v>674</v>
      </c>
      <c r="C575" s="2" t="s">
        <v>162</v>
      </c>
      <c r="D575" s="16">
        <v>90</v>
      </c>
      <c r="E575" s="2" t="s">
        <v>655</v>
      </c>
      <c r="F575" s="2" t="s">
        <v>672</v>
      </c>
      <c r="G575" s="2" t="s">
        <v>673</v>
      </c>
      <c r="H575" s="17">
        <v>11760</v>
      </c>
      <c r="I575" s="2"/>
      <c r="J575" s="2"/>
      <c r="K575" s="17">
        <v>11760</v>
      </c>
      <c r="L575" s="17">
        <v>1260</v>
      </c>
      <c r="M575" s="17">
        <v>10500</v>
      </c>
      <c r="N575" s="17">
        <v>11760</v>
      </c>
      <c r="O575" s="2"/>
      <c r="P575" s="2"/>
      <c r="Q575" s="31" t="s">
        <v>19</v>
      </c>
      <c r="R575" s="65"/>
      <c r="S575" s="62"/>
      <c r="T575" s="5"/>
    </row>
    <row r="576" spans="1:20">
      <c r="A576" s="2" t="s">
        <v>915</v>
      </c>
      <c r="B576" s="2" t="s">
        <v>936</v>
      </c>
      <c r="C576" s="2" t="s">
        <v>54</v>
      </c>
      <c r="D576" s="16">
        <v>90</v>
      </c>
      <c r="E576" s="2" t="s">
        <v>924</v>
      </c>
      <c r="F576" s="2" t="s">
        <v>937</v>
      </c>
      <c r="G576" s="2" t="s">
        <v>938</v>
      </c>
      <c r="H576" s="17">
        <v>430000</v>
      </c>
      <c r="I576" s="2"/>
      <c r="J576" s="2"/>
      <c r="K576" s="17">
        <v>430000</v>
      </c>
      <c r="L576" s="17">
        <v>46071.43</v>
      </c>
      <c r="M576" s="17">
        <v>383928.57</v>
      </c>
      <c r="N576" s="17">
        <v>430000</v>
      </c>
      <c r="O576" s="2"/>
      <c r="P576" s="2"/>
      <c r="Q576" s="31" t="s">
        <v>19</v>
      </c>
      <c r="R576" s="64">
        <f>+K576+K577+K578+K579</f>
        <v>1612500</v>
      </c>
      <c r="S576" s="62"/>
      <c r="T576" s="5"/>
    </row>
    <row r="577" spans="1:20">
      <c r="A577" s="2" t="s">
        <v>1117</v>
      </c>
      <c r="B577" s="2" t="s">
        <v>1165</v>
      </c>
      <c r="C577" s="2" t="s">
        <v>54</v>
      </c>
      <c r="D577" s="16">
        <v>90</v>
      </c>
      <c r="E577" s="2" t="s">
        <v>1156</v>
      </c>
      <c r="F577" s="2" t="s">
        <v>937</v>
      </c>
      <c r="G577" s="2" t="s">
        <v>1166</v>
      </c>
      <c r="H577" s="17">
        <v>537500</v>
      </c>
      <c r="I577" s="2"/>
      <c r="J577" s="2"/>
      <c r="K577" s="17">
        <v>537500</v>
      </c>
      <c r="L577" s="17">
        <v>57589.29</v>
      </c>
      <c r="M577" s="17">
        <v>479910.71</v>
      </c>
      <c r="N577" s="17">
        <v>537500</v>
      </c>
      <c r="O577" s="2"/>
      <c r="P577" s="2"/>
      <c r="Q577" s="31" t="s">
        <v>19</v>
      </c>
      <c r="R577" s="66"/>
      <c r="S577" s="62"/>
      <c r="T577" s="5"/>
    </row>
    <row r="578" spans="1:20">
      <c r="A578" s="2" t="s">
        <v>1117</v>
      </c>
      <c r="B578" s="2" t="s">
        <v>1167</v>
      </c>
      <c r="C578" s="2" t="s">
        <v>54</v>
      </c>
      <c r="D578" s="16">
        <v>90</v>
      </c>
      <c r="E578" s="2" t="s">
        <v>1156</v>
      </c>
      <c r="F578" s="2" t="s">
        <v>937</v>
      </c>
      <c r="G578" s="2" t="s">
        <v>1168</v>
      </c>
      <c r="H578" s="17">
        <v>107500</v>
      </c>
      <c r="I578" s="2"/>
      <c r="J578" s="2"/>
      <c r="K578" s="17">
        <v>107500</v>
      </c>
      <c r="L578" s="17">
        <v>11517.86</v>
      </c>
      <c r="M578" s="17">
        <v>95982.14</v>
      </c>
      <c r="N578" s="17">
        <v>107500</v>
      </c>
      <c r="O578" s="2"/>
      <c r="P578" s="2"/>
      <c r="Q578" s="31" t="s">
        <v>19</v>
      </c>
      <c r="R578" s="66"/>
      <c r="S578" s="62"/>
      <c r="T578" s="5"/>
    </row>
    <row r="579" spans="1:20">
      <c r="A579" s="2" t="s">
        <v>1553</v>
      </c>
      <c r="B579" s="2" t="s">
        <v>1603</v>
      </c>
      <c r="C579" s="2" t="s">
        <v>54</v>
      </c>
      <c r="D579" s="16">
        <v>90</v>
      </c>
      <c r="E579" s="2" t="s">
        <v>1554</v>
      </c>
      <c r="F579" s="2" t="s">
        <v>937</v>
      </c>
      <c r="G579" s="2" t="s">
        <v>1604</v>
      </c>
      <c r="H579" s="17">
        <v>537500</v>
      </c>
      <c r="I579" s="2"/>
      <c r="J579" s="2"/>
      <c r="K579" s="17">
        <v>537500</v>
      </c>
      <c r="L579" s="17">
        <v>57589.29</v>
      </c>
      <c r="M579" s="17">
        <v>479910.71</v>
      </c>
      <c r="N579" s="17">
        <v>537500</v>
      </c>
      <c r="O579" s="2"/>
      <c r="P579" s="2"/>
      <c r="Q579" s="31" t="s">
        <v>19</v>
      </c>
      <c r="R579" s="65"/>
      <c r="S579" s="62"/>
      <c r="T579" s="5"/>
    </row>
    <row r="580" spans="1:20">
      <c r="A580" s="2" t="s">
        <v>17</v>
      </c>
      <c r="B580" s="2" t="s">
        <v>72</v>
      </c>
      <c r="C580" s="2" t="s">
        <v>73</v>
      </c>
      <c r="D580" s="16">
        <v>30</v>
      </c>
      <c r="E580" s="2" t="s">
        <v>24</v>
      </c>
      <c r="F580" s="2" t="s">
        <v>74</v>
      </c>
      <c r="G580" s="2" t="s">
        <v>75</v>
      </c>
      <c r="H580" s="17">
        <v>369000</v>
      </c>
      <c r="I580" s="2"/>
      <c r="J580" s="2"/>
      <c r="K580" s="17">
        <v>369000</v>
      </c>
      <c r="L580" s="17">
        <v>39535.71</v>
      </c>
      <c r="M580" s="17">
        <v>329464.28999999998</v>
      </c>
      <c r="N580" s="17">
        <v>369000</v>
      </c>
      <c r="O580" s="2"/>
      <c r="P580" s="2"/>
      <c r="Q580" s="31" t="s">
        <v>19</v>
      </c>
      <c r="R580" s="41">
        <f>+K580</f>
        <v>369000</v>
      </c>
      <c r="S580" s="62"/>
      <c r="T580" s="5"/>
    </row>
    <row r="581" spans="1:20">
      <c r="A581" s="2" t="s">
        <v>199</v>
      </c>
      <c r="B581" s="2" t="s">
        <v>246</v>
      </c>
      <c r="C581" s="2" t="s">
        <v>73</v>
      </c>
      <c r="D581" s="16">
        <v>30</v>
      </c>
      <c r="E581" s="2" t="s">
        <v>223</v>
      </c>
      <c r="F581" s="2" t="s">
        <v>247</v>
      </c>
      <c r="G581" s="2" t="s">
        <v>248</v>
      </c>
      <c r="H581" s="17">
        <v>468480</v>
      </c>
      <c r="I581" s="2"/>
      <c r="J581" s="2"/>
      <c r="K581" s="17">
        <v>468480</v>
      </c>
      <c r="L581" s="17">
        <v>50194.29</v>
      </c>
      <c r="M581" s="17">
        <v>418285.71</v>
      </c>
      <c r="N581" s="17">
        <v>468480</v>
      </c>
      <c r="O581" s="2"/>
      <c r="P581" s="2"/>
      <c r="Q581" s="31" t="s">
        <v>19</v>
      </c>
      <c r="R581" s="64">
        <f>+K581+K582</f>
        <v>939600</v>
      </c>
      <c r="S581" s="62"/>
      <c r="T581" s="5"/>
    </row>
    <row r="582" spans="1:20">
      <c r="A582" s="2" t="s">
        <v>1117</v>
      </c>
      <c r="B582" s="2" t="s">
        <v>1180</v>
      </c>
      <c r="C582" s="2" t="s">
        <v>73</v>
      </c>
      <c r="D582" s="16">
        <v>30</v>
      </c>
      <c r="E582" s="2" t="s">
        <v>1118</v>
      </c>
      <c r="F582" s="2" t="s">
        <v>247</v>
      </c>
      <c r="G582" s="2" t="s">
        <v>1181</v>
      </c>
      <c r="H582" s="17">
        <v>471120</v>
      </c>
      <c r="I582" s="2"/>
      <c r="J582" s="2"/>
      <c r="K582" s="17">
        <v>471120</v>
      </c>
      <c r="L582" s="17">
        <v>50477.14</v>
      </c>
      <c r="M582" s="17">
        <v>420642.86</v>
      </c>
      <c r="N582" s="17">
        <v>471120</v>
      </c>
      <c r="O582" s="2"/>
      <c r="P582" s="2"/>
      <c r="Q582" s="31" t="s">
        <v>19</v>
      </c>
      <c r="R582" s="65"/>
      <c r="S582" s="62"/>
      <c r="T582" s="5"/>
    </row>
    <row r="583" spans="1:20">
      <c r="A583" s="2" t="s">
        <v>637</v>
      </c>
      <c r="B583" s="2" t="s">
        <v>677</v>
      </c>
      <c r="C583" s="2" t="s">
        <v>151</v>
      </c>
      <c r="D583" s="16">
        <v>60</v>
      </c>
      <c r="E583" s="2" t="s">
        <v>659</v>
      </c>
      <c r="F583" s="2" t="s">
        <v>678</v>
      </c>
      <c r="G583" s="2" t="s">
        <v>679</v>
      </c>
      <c r="H583" s="17">
        <v>162500</v>
      </c>
      <c r="I583" s="2"/>
      <c r="J583" s="2"/>
      <c r="K583" s="17">
        <v>162500</v>
      </c>
      <c r="L583" s="17">
        <v>17410.71</v>
      </c>
      <c r="M583" s="17">
        <v>145089.29</v>
      </c>
      <c r="N583" s="17">
        <v>162500</v>
      </c>
      <c r="O583" s="2"/>
      <c r="P583" s="2"/>
      <c r="Q583" s="31" t="s">
        <v>19</v>
      </c>
      <c r="R583" s="64">
        <f>+K583+K584</f>
        <v>188500</v>
      </c>
      <c r="S583" s="62"/>
      <c r="T583" s="5"/>
    </row>
    <row r="584" spans="1:20">
      <c r="A584" s="2" t="s">
        <v>1467</v>
      </c>
      <c r="B584" s="2" t="s">
        <v>1532</v>
      </c>
      <c r="C584" s="2" t="s">
        <v>151</v>
      </c>
      <c r="D584" s="16">
        <v>60</v>
      </c>
      <c r="E584" s="2" t="s">
        <v>1495</v>
      </c>
      <c r="F584" s="2" t="s">
        <v>678</v>
      </c>
      <c r="G584" s="2" t="s">
        <v>1533</v>
      </c>
      <c r="H584" s="17">
        <v>26000</v>
      </c>
      <c r="I584" s="2"/>
      <c r="J584" s="2"/>
      <c r="K584" s="17">
        <v>26000</v>
      </c>
      <c r="L584" s="17">
        <v>2785.71</v>
      </c>
      <c r="M584" s="17">
        <v>23214.29</v>
      </c>
      <c r="N584" s="17">
        <v>26000</v>
      </c>
      <c r="O584" s="2"/>
      <c r="P584" s="2"/>
      <c r="Q584" s="31" t="s">
        <v>19</v>
      </c>
      <c r="R584" s="65"/>
      <c r="S584" s="62"/>
      <c r="T584" s="5"/>
    </row>
    <row r="585" spans="1:20">
      <c r="A585" s="2" t="s">
        <v>282</v>
      </c>
      <c r="B585" s="2" t="s">
        <v>281</v>
      </c>
      <c r="C585" s="2" t="s">
        <v>60</v>
      </c>
      <c r="D585" s="16">
        <v>0</v>
      </c>
      <c r="E585" s="2" t="s">
        <v>282</v>
      </c>
      <c r="F585" s="2" t="s">
        <v>283</v>
      </c>
      <c r="G585" s="2" t="s">
        <v>284</v>
      </c>
      <c r="H585" s="17">
        <v>51923</v>
      </c>
      <c r="I585" s="19">
        <v>-1038.46</v>
      </c>
      <c r="J585" s="2"/>
      <c r="K585" s="17">
        <v>50884.54</v>
      </c>
      <c r="L585" s="17">
        <v>5451.91</v>
      </c>
      <c r="M585" s="17">
        <v>45432.63</v>
      </c>
      <c r="N585" s="17">
        <v>50884.54</v>
      </c>
      <c r="O585" s="2"/>
      <c r="P585" s="2"/>
      <c r="Q585" s="31" t="s">
        <v>19</v>
      </c>
      <c r="R585" s="41">
        <f>+K585</f>
        <v>50884.54</v>
      </c>
      <c r="S585" s="62"/>
      <c r="T585" s="5"/>
    </row>
    <row r="586" spans="1:20">
      <c r="A586" s="2" t="s">
        <v>915</v>
      </c>
      <c r="B586" s="2" t="s">
        <v>939</v>
      </c>
      <c r="C586" s="2" t="s">
        <v>34</v>
      </c>
      <c r="D586" s="16">
        <v>60</v>
      </c>
      <c r="E586" s="2" t="s">
        <v>918</v>
      </c>
      <c r="F586" s="2" t="s">
        <v>940</v>
      </c>
      <c r="G586" s="2" t="s">
        <v>941</v>
      </c>
      <c r="H586" s="17">
        <v>19604</v>
      </c>
      <c r="I586" s="2"/>
      <c r="J586" s="2"/>
      <c r="K586" s="17">
        <v>19604</v>
      </c>
      <c r="L586" s="17">
        <v>2100.4299999999998</v>
      </c>
      <c r="M586" s="17">
        <v>17503.57</v>
      </c>
      <c r="N586" s="17">
        <v>19604</v>
      </c>
      <c r="O586" s="2"/>
      <c r="P586" s="2"/>
      <c r="Q586" s="31" t="s">
        <v>19</v>
      </c>
      <c r="R586" s="41">
        <f>+K586</f>
        <v>19604</v>
      </c>
      <c r="S586" s="62"/>
      <c r="T586" s="5"/>
    </row>
    <row r="587" spans="1:20">
      <c r="A587" s="2" t="s">
        <v>505</v>
      </c>
      <c r="B587" s="2" t="s">
        <v>552</v>
      </c>
      <c r="C587" s="2" t="s">
        <v>73</v>
      </c>
      <c r="D587" s="16">
        <v>30</v>
      </c>
      <c r="E587" s="2" t="s">
        <v>518</v>
      </c>
      <c r="F587" s="2" t="s">
        <v>553</v>
      </c>
      <c r="G587" s="2" t="s">
        <v>554</v>
      </c>
      <c r="H587" s="17">
        <v>89266</v>
      </c>
      <c r="I587" s="2"/>
      <c r="J587" s="2"/>
      <c r="K587" s="17">
        <v>89266</v>
      </c>
      <c r="L587" s="17">
        <v>9564.2099999999991</v>
      </c>
      <c r="M587" s="17">
        <v>79701.789999999994</v>
      </c>
      <c r="N587" s="17">
        <v>89266</v>
      </c>
      <c r="O587" s="2"/>
      <c r="P587" s="2"/>
      <c r="Q587" s="31" t="s">
        <v>19</v>
      </c>
      <c r="R587" s="64">
        <f>+K587+K588</f>
        <v>210040</v>
      </c>
      <c r="S587" s="62"/>
      <c r="T587" s="5"/>
    </row>
    <row r="588" spans="1:20">
      <c r="A588" s="2" t="s">
        <v>505</v>
      </c>
      <c r="B588" s="2" t="s">
        <v>555</v>
      </c>
      <c r="C588" s="2" t="s">
        <v>73</v>
      </c>
      <c r="D588" s="16">
        <v>30</v>
      </c>
      <c r="E588" s="2" t="s">
        <v>518</v>
      </c>
      <c r="F588" s="2" t="s">
        <v>553</v>
      </c>
      <c r="G588" s="2" t="s">
        <v>556</v>
      </c>
      <c r="H588" s="17">
        <v>120774</v>
      </c>
      <c r="I588" s="2"/>
      <c r="J588" s="2"/>
      <c r="K588" s="17">
        <v>120774</v>
      </c>
      <c r="L588" s="17">
        <v>12940.07</v>
      </c>
      <c r="M588" s="17">
        <v>107833.93</v>
      </c>
      <c r="N588" s="17">
        <v>120774</v>
      </c>
      <c r="O588" s="2"/>
      <c r="P588" s="2"/>
      <c r="Q588" s="31" t="s">
        <v>19</v>
      </c>
      <c r="R588" s="65"/>
      <c r="S588" s="62"/>
      <c r="T588" s="5"/>
    </row>
    <row r="589" spans="1:20">
      <c r="A589" s="2" t="s">
        <v>505</v>
      </c>
      <c r="B589" s="2" t="s">
        <v>542</v>
      </c>
      <c r="C589" s="2" t="s">
        <v>162</v>
      </c>
      <c r="D589" s="16">
        <v>90</v>
      </c>
      <c r="E589" s="2" t="s">
        <v>532</v>
      </c>
      <c r="F589" s="2" t="s">
        <v>543</v>
      </c>
      <c r="G589" s="2" t="s">
        <v>544</v>
      </c>
      <c r="H589" s="17">
        <v>347124</v>
      </c>
      <c r="I589" s="2"/>
      <c r="J589" s="2"/>
      <c r="K589" s="17">
        <v>347124</v>
      </c>
      <c r="L589" s="17">
        <v>37191.86</v>
      </c>
      <c r="M589" s="17">
        <v>309932.14</v>
      </c>
      <c r="N589" s="17">
        <v>347124</v>
      </c>
      <c r="O589" s="2"/>
      <c r="P589" s="2"/>
      <c r="Q589" s="31" t="s">
        <v>19</v>
      </c>
      <c r="R589" s="64">
        <f>+K589+K590+K591</f>
        <v>933631</v>
      </c>
      <c r="S589" s="62"/>
      <c r="T589" s="5"/>
    </row>
    <row r="590" spans="1:20">
      <c r="A590" s="2" t="s">
        <v>596</v>
      </c>
      <c r="B590" s="2" t="s">
        <v>634</v>
      </c>
      <c r="C590" s="2" t="s">
        <v>146</v>
      </c>
      <c r="D590" s="16">
        <v>90</v>
      </c>
      <c r="E590" s="2" t="s">
        <v>597</v>
      </c>
      <c r="F590" s="2" t="s">
        <v>543</v>
      </c>
      <c r="G590" s="2" t="s">
        <v>635</v>
      </c>
      <c r="H590" s="17">
        <v>199515</v>
      </c>
      <c r="I590" s="2"/>
      <c r="J590" s="2"/>
      <c r="K590" s="17">
        <v>199515</v>
      </c>
      <c r="L590" s="17">
        <v>21376.61</v>
      </c>
      <c r="M590" s="17">
        <v>178138.39</v>
      </c>
      <c r="N590" s="17">
        <v>199515</v>
      </c>
      <c r="O590" s="2"/>
      <c r="P590" s="2"/>
      <c r="Q590" s="31" t="s">
        <v>19</v>
      </c>
      <c r="R590" s="66"/>
      <c r="S590" s="62"/>
      <c r="T590" s="5"/>
    </row>
    <row r="591" spans="1:20">
      <c r="A591" s="2" t="s">
        <v>971</v>
      </c>
      <c r="B591" s="2" t="s">
        <v>1022</v>
      </c>
      <c r="C591" s="2" t="s">
        <v>162</v>
      </c>
      <c r="D591" s="16">
        <v>90</v>
      </c>
      <c r="E591" s="2" t="s">
        <v>986</v>
      </c>
      <c r="F591" s="2" t="s">
        <v>543</v>
      </c>
      <c r="G591" s="2" t="s">
        <v>1023</v>
      </c>
      <c r="H591" s="17">
        <v>386992</v>
      </c>
      <c r="I591" s="2"/>
      <c r="J591" s="2"/>
      <c r="K591" s="17">
        <v>386992</v>
      </c>
      <c r="L591" s="17">
        <v>41463.43</v>
      </c>
      <c r="M591" s="17">
        <v>345528.57</v>
      </c>
      <c r="N591" s="17">
        <v>386992</v>
      </c>
      <c r="O591" s="2"/>
      <c r="P591" s="2"/>
      <c r="Q591" s="31" t="s">
        <v>19</v>
      </c>
      <c r="R591" s="65"/>
      <c r="S591" s="63"/>
      <c r="T591" s="5"/>
    </row>
    <row r="592" spans="1:20">
      <c r="A592" s="2" t="s">
        <v>1117</v>
      </c>
      <c r="B592" s="2" t="s">
        <v>1121</v>
      </c>
      <c r="C592" s="2" t="s">
        <v>18</v>
      </c>
      <c r="D592" s="16">
        <v>0</v>
      </c>
      <c r="E592" s="2" t="s">
        <v>1117</v>
      </c>
      <c r="F592" s="2" t="s">
        <v>1122</v>
      </c>
      <c r="G592" s="2" t="s">
        <v>1123</v>
      </c>
      <c r="H592" s="17">
        <v>70950</v>
      </c>
      <c r="I592" s="2"/>
      <c r="J592" s="2"/>
      <c r="K592" s="17">
        <v>70950</v>
      </c>
      <c r="L592" s="17">
        <v>7601.79</v>
      </c>
      <c r="M592" s="17">
        <v>63348.21</v>
      </c>
      <c r="N592" s="17">
        <v>70950</v>
      </c>
      <c r="O592" s="2"/>
      <c r="P592" s="2"/>
      <c r="Q592" s="31" t="s">
        <v>46</v>
      </c>
      <c r="R592" s="32">
        <f>+K592</f>
        <v>70950</v>
      </c>
      <c r="S592" s="61">
        <f>+R592+R593+R597+R601+R604+R609+R611+R612+R613+R614+R616+R618+R623+R624+R625+R628+R629+R630+R633+R635+R636</f>
        <v>6283099.7000000002</v>
      </c>
      <c r="T592" s="5"/>
    </row>
    <row r="593" spans="1:20">
      <c r="A593" s="2" t="s">
        <v>368</v>
      </c>
      <c r="B593" s="2" t="s">
        <v>391</v>
      </c>
      <c r="C593" s="2" t="s">
        <v>98</v>
      </c>
      <c r="D593" s="16">
        <v>0</v>
      </c>
      <c r="E593" s="2" t="s">
        <v>368</v>
      </c>
      <c r="F593" s="2" t="s">
        <v>392</v>
      </c>
      <c r="G593" s="2" t="s">
        <v>393</v>
      </c>
      <c r="H593" s="17">
        <v>135450</v>
      </c>
      <c r="I593" s="2"/>
      <c r="J593" s="2"/>
      <c r="K593" s="17">
        <v>135450</v>
      </c>
      <c r="L593" s="17">
        <v>14512.5</v>
      </c>
      <c r="M593" s="17">
        <v>120937.5</v>
      </c>
      <c r="N593" s="17">
        <v>135450</v>
      </c>
      <c r="O593" s="2"/>
      <c r="P593" s="2"/>
      <c r="Q593" s="31" t="s">
        <v>46</v>
      </c>
      <c r="R593" s="61">
        <f>+K593+K594+K595+K596</f>
        <v>1158375</v>
      </c>
      <c r="S593" s="62"/>
      <c r="T593" s="5"/>
    </row>
    <row r="594" spans="1:20">
      <c r="A594" s="2" t="s">
        <v>596</v>
      </c>
      <c r="B594" s="2" t="s">
        <v>600</v>
      </c>
      <c r="C594" s="2" t="s">
        <v>98</v>
      </c>
      <c r="D594" s="16">
        <v>0</v>
      </c>
      <c r="E594" s="2" t="s">
        <v>596</v>
      </c>
      <c r="F594" s="2" t="s">
        <v>392</v>
      </c>
      <c r="G594" s="2" t="s">
        <v>601</v>
      </c>
      <c r="H594" s="17">
        <v>340975</v>
      </c>
      <c r="I594" s="2"/>
      <c r="J594" s="2"/>
      <c r="K594" s="17">
        <v>340975</v>
      </c>
      <c r="L594" s="17">
        <v>36533.040000000001</v>
      </c>
      <c r="M594" s="17">
        <v>304441.96000000002</v>
      </c>
      <c r="N594" s="17">
        <v>340975</v>
      </c>
      <c r="O594" s="2"/>
      <c r="P594" s="2"/>
      <c r="Q594" s="31" t="s">
        <v>46</v>
      </c>
      <c r="R594" s="62"/>
      <c r="S594" s="62"/>
      <c r="T594" s="5"/>
    </row>
    <row r="595" spans="1:20">
      <c r="A595" s="2" t="s">
        <v>866</v>
      </c>
      <c r="B595" s="2" t="s">
        <v>870</v>
      </c>
      <c r="C595" s="2" t="s">
        <v>104</v>
      </c>
      <c r="D595" s="16">
        <v>0</v>
      </c>
      <c r="E595" s="2" t="s">
        <v>866</v>
      </c>
      <c r="F595" s="2" t="s">
        <v>392</v>
      </c>
      <c r="G595" s="2" t="s">
        <v>871</v>
      </c>
      <c r="H595" s="17">
        <v>340975</v>
      </c>
      <c r="I595" s="2"/>
      <c r="J595" s="2"/>
      <c r="K595" s="17">
        <v>340975</v>
      </c>
      <c r="L595" s="17">
        <v>36533.040000000001</v>
      </c>
      <c r="M595" s="17">
        <v>304441.96000000002</v>
      </c>
      <c r="N595" s="17">
        <v>340975</v>
      </c>
      <c r="O595" s="2"/>
      <c r="P595" s="2"/>
      <c r="Q595" s="31" t="s">
        <v>46</v>
      </c>
      <c r="R595" s="62"/>
      <c r="S595" s="62"/>
      <c r="T595" s="5"/>
    </row>
    <row r="596" spans="1:20" s="24" customFormat="1">
      <c r="A596" s="2" t="s">
        <v>1217</v>
      </c>
      <c r="B596" s="2" t="s">
        <v>1220</v>
      </c>
      <c r="C596" s="2" t="s">
        <v>104</v>
      </c>
      <c r="D596" s="16">
        <v>0</v>
      </c>
      <c r="E596" s="2" t="s">
        <v>1217</v>
      </c>
      <c r="F596" s="2" t="s">
        <v>392</v>
      </c>
      <c r="G596" s="2" t="s">
        <v>1221</v>
      </c>
      <c r="H596" s="17">
        <v>340975</v>
      </c>
      <c r="I596" s="2"/>
      <c r="J596" s="2"/>
      <c r="K596" s="17">
        <v>340975</v>
      </c>
      <c r="L596" s="17">
        <v>36533.040000000001</v>
      </c>
      <c r="M596" s="17">
        <v>304441.96000000002</v>
      </c>
      <c r="N596" s="17">
        <v>340975</v>
      </c>
      <c r="O596" s="2"/>
      <c r="P596" s="2"/>
      <c r="Q596" s="31" t="s">
        <v>46</v>
      </c>
      <c r="R596" s="63"/>
      <c r="S596" s="62"/>
      <c r="T596" s="5"/>
    </row>
    <row r="597" spans="1:20">
      <c r="A597" s="2" t="s">
        <v>1287</v>
      </c>
      <c r="B597" s="2" t="s">
        <v>1286</v>
      </c>
      <c r="C597" s="2" t="s">
        <v>18</v>
      </c>
      <c r="D597" s="16">
        <v>0</v>
      </c>
      <c r="E597" s="2" t="s">
        <v>1287</v>
      </c>
      <c r="F597" s="2" t="s">
        <v>1288</v>
      </c>
      <c r="G597" s="2" t="s">
        <v>1289</v>
      </c>
      <c r="H597" s="17">
        <v>83772</v>
      </c>
      <c r="I597" s="19">
        <v>-1675.44</v>
      </c>
      <c r="J597" s="2"/>
      <c r="K597" s="17">
        <v>82096.56</v>
      </c>
      <c r="L597" s="17">
        <v>8796.06</v>
      </c>
      <c r="M597" s="17">
        <v>73300.5</v>
      </c>
      <c r="N597" s="17">
        <v>82096.56</v>
      </c>
      <c r="O597" s="2"/>
      <c r="P597" s="2"/>
      <c r="Q597" s="31" t="s">
        <v>46</v>
      </c>
      <c r="R597" s="61">
        <f>+K597+K598+K599+K600</f>
        <v>137721.36000000002</v>
      </c>
      <c r="S597" s="62"/>
      <c r="T597" s="5"/>
    </row>
    <row r="598" spans="1:20">
      <c r="A598" s="2" t="s">
        <v>1287</v>
      </c>
      <c r="B598" s="2" t="s">
        <v>1290</v>
      </c>
      <c r="C598" s="2" t="s">
        <v>18</v>
      </c>
      <c r="D598" s="16">
        <v>0</v>
      </c>
      <c r="E598" s="2" t="s">
        <v>1287</v>
      </c>
      <c r="F598" s="2" t="s">
        <v>1288</v>
      </c>
      <c r="G598" s="2" t="s">
        <v>1291</v>
      </c>
      <c r="H598" s="17">
        <v>18000</v>
      </c>
      <c r="I598" s="19">
        <v>-360</v>
      </c>
      <c r="J598" s="2"/>
      <c r="K598" s="17">
        <v>17640</v>
      </c>
      <c r="L598" s="17">
        <v>1890</v>
      </c>
      <c r="M598" s="17">
        <v>15750</v>
      </c>
      <c r="N598" s="17">
        <v>17640</v>
      </c>
      <c r="O598" s="2"/>
      <c r="P598" s="2"/>
      <c r="Q598" s="31" t="s">
        <v>46</v>
      </c>
      <c r="R598" s="62"/>
      <c r="S598" s="62"/>
      <c r="T598" s="5"/>
    </row>
    <row r="599" spans="1:20">
      <c r="A599" s="2" t="s">
        <v>1287</v>
      </c>
      <c r="B599" s="2" t="s">
        <v>1292</v>
      </c>
      <c r="C599" s="2" t="s">
        <v>18</v>
      </c>
      <c r="D599" s="16">
        <v>0</v>
      </c>
      <c r="E599" s="2" t="s">
        <v>1287</v>
      </c>
      <c r="F599" s="2" t="s">
        <v>1288</v>
      </c>
      <c r="G599" s="2" t="s">
        <v>1293</v>
      </c>
      <c r="H599" s="17">
        <v>25670</v>
      </c>
      <c r="I599" s="19">
        <v>-513.4</v>
      </c>
      <c r="J599" s="2"/>
      <c r="K599" s="17">
        <v>25156.6</v>
      </c>
      <c r="L599" s="17">
        <v>2695.35</v>
      </c>
      <c r="M599" s="17">
        <v>22461.25</v>
      </c>
      <c r="N599" s="17">
        <v>25156.6</v>
      </c>
      <c r="O599" s="2"/>
      <c r="P599" s="2"/>
      <c r="Q599" s="31" t="s">
        <v>46</v>
      </c>
      <c r="R599" s="62"/>
      <c r="S599" s="62"/>
      <c r="T599" s="5"/>
    </row>
    <row r="600" spans="1:20">
      <c r="A600" s="2" t="s">
        <v>1287</v>
      </c>
      <c r="B600" s="2" t="s">
        <v>1294</v>
      </c>
      <c r="C600" s="2" t="s">
        <v>18</v>
      </c>
      <c r="D600" s="16">
        <v>0</v>
      </c>
      <c r="E600" s="2" t="s">
        <v>1287</v>
      </c>
      <c r="F600" s="2" t="s">
        <v>1288</v>
      </c>
      <c r="G600" s="2" t="s">
        <v>1295</v>
      </c>
      <c r="H600" s="17">
        <v>13090</v>
      </c>
      <c r="I600" s="19">
        <v>-261.8</v>
      </c>
      <c r="J600" s="2"/>
      <c r="K600" s="17">
        <v>12828.2</v>
      </c>
      <c r="L600" s="17">
        <v>1374.45</v>
      </c>
      <c r="M600" s="17">
        <v>11453.75</v>
      </c>
      <c r="N600" s="17">
        <v>12828.2</v>
      </c>
      <c r="O600" s="2"/>
      <c r="P600" s="2"/>
      <c r="Q600" s="31" t="s">
        <v>46</v>
      </c>
      <c r="R600" s="63"/>
      <c r="S600" s="62"/>
      <c r="T600" s="5"/>
    </row>
    <row r="601" spans="1:20">
      <c r="A601" s="2" t="s">
        <v>505</v>
      </c>
      <c r="B601" s="2" t="s">
        <v>557</v>
      </c>
      <c r="C601" s="2" t="s">
        <v>94</v>
      </c>
      <c r="D601" s="16">
        <v>0</v>
      </c>
      <c r="E601" s="2" t="s">
        <v>505</v>
      </c>
      <c r="F601" s="2" t="s">
        <v>558</v>
      </c>
      <c r="G601" s="2" t="s">
        <v>559</v>
      </c>
      <c r="H601" s="17">
        <v>250000</v>
      </c>
      <c r="I601" s="2"/>
      <c r="J601" s="2"/>
      <c r="K601" s="17">
        <v>250000</v>
      </c>
      <c r="L601" s="17">
        <v>26785.71</v>
      </c>
      <c r="M601" s="17">
        <v>223214.29</v>
      </c>
      <c r="N601" s="17">
        <v>250000</v>
      </c>
      <c r="O601" s="2"/>
      <c r="P601" s="2"/>
      <c r="Q601" s="31" t="s">
        <v>46</v>
      </c>
      <c r="R601" s="61">
        <f>+K601+K602+K603</f>
        <v>736250</v>
      </c>
      <c r="S601" s="62"/>
      <c r="T601" s="5"/>
    </row>
    <row r="602" spans="1:20">
      <c r="A602" s="2" t="s">
        <v>505</v>
      </c>
      <c r="B602" s="2" t="s">
        <v>560</v>
      </c>
      <c r="C602" s="2" t="s">
        <v>94</v>
      </c>
      <c r="D602" s="16">
        <v>0</v>
      </c>
      <c r="E602" s="2" t="s">
        <v>505</v>
      </c>
      <c r="F602" s="2" t="s">
        <v>558</v>
      </c>
      <c r="G602" s="2" t="s">
        <v>561</v>
      </c>
      <c r="H602" s="17">
        <v>250000</v>
      </c>
      <c r="I602" s="2"/>
      <c r="J602" s="2"/>
      <c r="K602" s="17">
        <v>250000</v>
      </c>
      <c r="L602" s="17">
        <v>26785.71</v>
      </c>
      <c r="M602" s="17">
        <v>223214.29</v>
      </c>
      <c r="N602" s="17">
        <v>250000</v>
      </c>
      <c r="O602" s="2"/>
      <c r="P602" s="2"/>
      <c r="Q602" s="31" t="s">
        <v>46</v>
      </c>
      <c r="R602" s="62"/>
      <c r="S602" s="62"/>
      <c r="T602" s="5"/>
    </row>
    <row r="603" spans="1:20">
      <c r="A603" s="2" t="s">
        <v>1117</v>
      </c>
      <c r="B603" s="2" t="s">
        <v>1195</v>
      </c>
      <c r="C603" s="2" t="s">
        <v>94</v>
      </c>
      <c r="D603" s="16">
        <v>0</v>
      </c>
      <c r="E603" s="2" t="s">
        <v>1117</v>
      </c>
      <c r="F603" s="2" t="s">
        <v>558</v>
      </c>
      <c r="G603" s="2" t="s">
        <v>1196</v>
      </c>
      <c r="H603" s="17">
        <v>236250</v>
      </c>
      <c r="I603" s="2"/>
      <c r="J603" s="2"/>
      <c r="K603" s="17">
        <v>236250</v>
      </c>
      <c r="L603" s="17">
        <v>25312.5</v>
      </c>
      <c r="M603" s="17">
        <v>210937.5</v>
      </c>
      <c r="N603" s="17">
        <v>236250</v>
      </c>
      <c r="O603" s="2"/>
      <c r="P603" s="2"/>
      <c r="Q603" s="31" t="s">
        <v>46</v>
      </c>
      <c r="R603" s="63"/>
      <c r="S603" s="62"/>
      <c r="T603" s="5"/>
    </row>
    <row r="604" spans="1:20">
      <c r="A604" s="2" t="s">
        <v>637</v>
      </c>
      <c r="B604" s="2" t="s">
        <v>680</v>
      </c>
      <c r="C604" s="2" t="s">
        <v>681</v>
      </c>
      <c r="D604" s="16">
        <v>0</v>
      </c>
      <c r="E604" s="2" t="s">
        <v>637</v>
      </c>
      <c r="F604" s="2" t="s">
        <v>682</v>
      </c>
      <c r="G604" s="2" t="s">
        <v>683</v>
      </c>
      <c r="H604" s="17">
        <v>7455</v>
      </c>
      <c r="I604" s="2"/>
      <c r="J604" s="2"/>
      <c r="K604" s="17">
        <v>7455</v>
      </c>
      <c r="L604" s="18">
        <v>798.75</v>
      </c>
      <c r="M604" s="17">
        <v>6656.25</v>
      </c>
      <c r="N604" s="17">
        <v>7455</v>
      </c>
      <c r="O604" s="2"/>
      <c r="P604" s="2"/>
      <c r="Q604" s="31" t="s">
        <v>46</v>
      </c>
      <c r="R604" s="61">
        <f>+K604+K605+K606+K607+K608</f>
        <v>76813</v>
      </c>
      <c r="S604" s="62"/>
      <c r="T604" s="5"/>
    </row>
    <row r="605" spans="1:20">
      <c r="A605" s="2" t="s">
        <v>637</v>
      </c>
      <c r="B605" s="2" t="s">
        <v>684</v>
      </c>
      <c r="C605" s="2" t="s">
        <v>681</v>
      </c>
      <c r="D605" s="16">
        <v>0</v>
      </c>
      <c r="E605" s="2" t="s">
        <v>637</v>
      </c>
      <c r="F605" s="2" t="s">
        <v>682</v>
      </c>
      <c r="G605" s="2" t="s">
        <v>685</v>
      </c>
      <c r="H605" s="17">
        <v>8452</v>
      </c>
      <c r="I605" s="2"/>
      <c r="J605" s="2"/>
      <c r="K605" s="17">
        <v>8452</v>
      </c>
      <c r="L605" s="18">
        <v>905.57</v>
      </c>
      <c r="M605" s="17">
        <v>7546.43</v>
      </c>
      <c r="N605" s="17">
        <v>8452</v>
      </c>
      <c r="O605" s="2"/>
      <c r="P605" s="2"/>
      <c r="Q605" s="31" t="s">
        <v>46</v>
      </c>
      <c r="R605" s="62"/>
      <c r="S605" s="62"/>
      <c r="T605" s="5"/>
    </row>
    <row r="606" spans="1:20">
      <c r="A606" s="2" t="s">
        <v>1372</v>
      </c>
      <c r="B606" s="2" t="s">
        <v>1386</v>
      </c>
      <c r="C606" s="2" t="s">
        <v>681</v>
      </c>
      <c r="D606" s="16">
        <v>0</v>
      </c>
      <c r="E606" s="2" t="s">
        <v>1372</v>
      </c>
      <c r="F606" s="2" t="s">
        <v>682</v>
      </c>
      <c r="G606" s="2" t="s">
        <v>1387</v>
      </c>
      <c r="H606" s="17">
        <v>27968</v>
      </c>
      <c r="I606" s="2"/>
      <c r="J606" s="2"/>
      <c r="K606" s="17">
        <v>27968</v>
      </c>
      <c r="L606" s="17">
        <v>2996.57</v>
      </c>
      <c r="M606" s="17">
        <v>24971.43</v>
      </c>
      <c r="N606" s="17">
        <v>27968</v>
      </c>
      <c r="O606" s="2"/>
      <c r="P606" s="2"/>
      <c r="Q606" s="31" t="s">
        <v>46</v>
      </c>
      <c r="R606" s="62"/>
      <c r="S606" s="62"/>
      <c r="T606" s="5"/>
    </row>
    <row r="607" spans="1:20">
      <c r="A607" s="2" t="s">
        <v>1372</v>
      </c>
      <c r="B607" s="2" t="s">
        <v>1456</v>
      </c>
      <c r="C607" s="2" t="s">
        <v>681</v>
      </c>
      <c r="D607" s="16">
        <v>0</v>
      </c>
      <c r="E607" s="2" t="s">
        <v>1372</v>
      </c>
      <c r="F607" s="2" t="s">
        <v>682</v>
      </c>
      <c r="G607" s="2" t="s">
        <v>1457</v>
      </c>
      <c r="H607" s="17">
        <v>4970</v>
      </c>
      <c r="I607" s="2"/>
      <c r="J607" s="2"/>
      <c r="K607" s="17">
        <v>4970</v>
      </c>
      <c r="L607" s="18">
        <v>532.5</v>
      </c>
      <c r="M607" s="17">
        <v>4437.5</v>
      </c>
      <c r="N607" s="17">
        <v>4970</v>
      </c>
      <c r="O607" s="2"/>
      <c r="P607" s="2"/>
      <c r="Q607" s="31" t="s">
        <v>46</v>
      </c>
      <c r="R607" s="62"/>
      <c r="S607" s="62"/>
      <c r="T607" s="5"/>
    </row>
    <row r="608" spans="1:20">
      <c r="A608" s="2" t="s">
        <v>1372</v>
      </c>
      <c r="B608" s="2" t="s">
        <v>1458</v>
      </c>
      <c r="C608" s="2" t="s">
        <v>681</v>
      </c>
      <c r="D608" s="16">
        <v>0</v>
      </c>
      <c r="E608" s="2" t="s">
        <v>1372</v>
      </c>
      <c r="F608" s="2" t="s">
        <v>682</v>
      </c>
      <c r="G608" s="2" t="s">
        <v>1459</v>
      </c>
      <c r="H608" s="17">
        <v>27968</v>
      </c>
      <c r="I608" s="2"/>
      <c r="J608" s="2"/>
      <c r="K608" s="17">
        <v>27968</v>
      </c>
      <c r="L608" s="17">
        <v>2996.57</v>
      </c>
      <c r="M608" s="17">
        <v>24971.43</v>
      </c>
      <c r="N608" s="17">
        <v>27968</v>
      </c>
      <c r="O608" s="2"/>
      <c r="P608" s="2"/>
      <c r="Q608" s="31" t="s">
        <v>46</v>
      </c>
      <c r="R608" s="63"/>
      <c r="S608" s="62"/>
      <c r="T608" s="5"/>
    </row>
    <row r="609" spans="1:20">
      <c r="A609" s="2" t="s">
        <v>93</v>
      </c>
      <c r="B609" s="2" t="s">
        <v>128</v>
      </c>
      <c r="C609" s="2" t="s">
        <v>60</v>
      </c>
      <c r="D609" s="16">
        <v>0</v>
      </c>
      <c r="E609" s="2" t="s">
        <v>93</v>
      </c>
      <c r="F609" s="2" t="s">
        <v>129</v>
      </c>
      <c r="G609" s="2" t="s">
        <v>130</v>
      </c>
      <c r="H609" s="17">
        <v>170715</v>
      </c>
      <c r="I609" s="19">
        <v>-3414.3</v>
      </c>
      <c r="J609" s="2"/>
      <c r="K609" s="17">
        <v>167300.70000000001</v>
      </c>
      <c r="L609" s="17">
        <v>17925.07</v>
      </c>
      <c r="M609" s="17">
        <v>149375.63</v>
      </c>
      <c r="N609" s="17">
        <v>167300.70000000001</v>
      </c>
      <c r="O609" s="2"/>
      <c r="P609" s="2"/>
      <c r="Q609" s="31" t="s">
        <v>46</v>
      </c>
      <c r="R609" s="61">
        <f>+K609+K610</f>
        <v>233419.34000000003</v>
      </c>
      <c r="S609" s="62"/>
      <c r="T609" s="5"/>
    </row>
    <row r="610" spans="1:20">
      <c r="A610" s="2" t="s">
        <v>1048</v>
      </c>
      <c r="B610" s="2" t="s">
        <v>1071</v>
      </c>
      <c r="C610" s="2" t="s">
        <v>60</v>
      </c>
      <c r="D610" s="16">
        <v>0</v>
      </c>
      <c r="E610" s="2" t="s">
        <v>1048</v>
      </c>
      <c r="F610" s="2" t="s">
        <v>129</v>
      </c>
      <c r="G610" s="2" t="s">
        <v>1072</v>
      </c>
      <c r="H610" s="17">
        <v>67468</v>
      </c>
      <c r="I610" s="19">
        <v>-1349.36</v>
      </c>
      <c r="J610" s="2"/>
      <c r="K610" s="17">
        <v>66118.64</v>
      </c>
      <c r="L610" s="17">
        <v>7084.14</v>
      </c>
      <c r="M610" s="17">
        <v>59034.5</v>
      </c>
      <c r="N610" s="17">
        <v>66118.64</v>
      </c>
      <c r="O610" s="2"/>
      <c r="P610" s="2"/>
      <c r="Q610" s="31" t="s">
        <v>46</v>
      </c>
      <c r="R610" s="63"/>
      <c r="S610" s="62"/>
      <c r="T610" s="5"/>
    </row>
    <row r="611" spans="1:20">
      <c r="A611" s="2" t="s">
        <v>769</v>
      </c>
      <c r="B611" s="2" t="s">
        <v>795</v>
      </c>
      <c r="C611" s="2" t="s">
        <v>60</v>
      </c>
      <c r="D611" s="16">
        <v>0</v>
      </c>
      <c r="E611" s="2" t="s">
        <v>769</v>
      </c>
      <c r="F611" s="2" t="s">
        <v>796</v>
      </c>
      <c r="G611" s="2" t="s">
        <v>797</v>
      </c>
      <c r="H611" s="17">
        <v>4580</v>
      </c>
      <c r="I611" s="2"/>
      <c r="J611" s="2"/>
      <c r="K611" s="17">
        <v>4580</v>
      </c>
      <c r="L611" s="18">
        <v>490.71</v>
      </c>
      <c r="M611" s="17">
        <v>4089.29</v>
      </c>
      <c r="N611" s="17">
        <v>4580</v>
      </c>
      <c r="O611" s="2"/>
      <c r="P611" s="2"/>
      <c r="Q611" s="31" t="s">
        <v>46</v>
      </c>
      <c r="R611" s="32">
        <f>+K611</f>
        <v>4580</v>
      </c>
      <c r="S611" s="62"/>
      <c r="T611" s="5"/>
    </row>
    <row r="612" spans="1:20">
      <c r="A612" s="2" t="s">
        <v>17</v>
      </c>
      <c r="B612" s="2" t="s">
        <v>44</v>
      </c>
      <c r="C612" s="2" t="s">
        <v>45</v>
      </c>
      <c r="D612" s="16">
        <v>0</v>
      </c>
      <c r="E612" s="2" t="s">
        <v>17</v>
      </c>
      <c r="F612" s="2" t="s">
        <v>47</v>
      </c>
      <c r="G612" s="2" t="s">
        <v>48</v>
      </c>
      <c r="H612" s="17">
        <v>5880</v>
      </c>
      <c r="I612" s="2"/>
      <c r="J612" s="2"/>
      <c r="K612" s="17">
        <v>5880</v>
      </c>
      <c r="L612" s="18">
        <v>630</v>
      </c>
      <c r="M612" s="17">
        <v>5250</v>
      </c>
      <c r="N612" s="17">
        <v>5880</v>
      </c>
      <c r="O612" s="2"/>
      <c r="P612" s="2"/>
      <c r="Q612" s="31" t="s">
        <v>46</v>
      </c>
      <c r="R612" s="32">
        <f>+K612</f>
        <v>5880</v>
      </c>
      <c r="S612" s="62"/>
      <c r="T612" s="5"/>
    </row>
    <row r="613" spans="1:20">
      <c r="A613" s="2" t="s">
        <v>1117</v>
      </c>
      <c r="B613" s="2" t="s">
        <v>1190</v>
      </c>
      <c r="C613" s="2" t="s">
        <v>60</v>
      </c>
      <c r="D613" s="16">
        <v>0</v>
      </c>
      <c r="E613" s="2" t="s">
        <v>1117</v>
      </c>
      <c r="F613" s="2" t="s">
        <v>1191</v>
      </c>
      <c r="G613" s="2" t="s">
        <v>1192</v>
      </c>
      <c r="H613" s="17">
        <v>20257</v>
      </c>
      <c r="I613" s="2"/>
      <c r="J613" s="2"/>
      <c r="K613" s="17">
        <v>20257</v>
      </c>
      <c r="L613" s="17">
        <v>2170.39</v>
      </c>
      <c r="M613" s="17">
        <v>18086.61</v>
      </c>
      <c r="N613" s="17">
        <v>20257</v>
      </c>
      <c r="O613" s="2"/>
      <c r="P613" s="2"/>
      <c r="Q613" s="31" t="s">
        <v>46</v>
      </c>
      <c r="R613" s="32">
        <f>+K613</f>
        <v>20257</v>
      </c>
      <c r="S613" s="62"/>
      <c r="T613" s="5"/>
    </row>
    <row r="614" spans="1:20">
      <c r="A614" s="2" t="s">
        <v>505</v>
      </c>
      <c r="B614" s="2" t="s">
        <v>521</v>
      </c>
      <c r="C614" s="2" t="s">
        <v>73</v>
      </c>
      <c r="D614" s="16">
        <v>30</v>
      </c>
      <c r="E614" s="2" t="s">
        <v>518</v>
      </c>
      <c r="F614" s="2" t="s">
        <v>522</v>
      </c>
      <c r="G614" s="2" t="s">
        <v>523</v>
      </c>
      <c r="H614" s="17">
        <v>86400</v>
      </c>
      <c r="I614" s="2"/>
      <c r="J614" s="2"/>
      <c r="K614" s="17">
        <v>86400</v>
      </c>
      <c r="L614" s="2"/>
      <c r="M614" s="17">
        <v>86400</v>
      </c>
      <c r="N614" s="17">
        <v>86400</v>
      </c>
      <c r="O614" s="2"/>
      <c r="P614" s="2"/>
      <c r="Q614" s="31" t="s">
        <v>46</v>
      </c>
      <c r="R614" s="61">
        <f>+K614+K615</f>
        <v>375680</v>
      </c>
      <c r="S614" s="62"/>
      <c r="T614" s="5"/>
    </row>
    <row r="615" spans="1:20">
      <c r="A615" s="2" t="s">
        <v>1287</v>
      </c>
      <c r="B615" s="2" t="s">
        <v>1296</v>
      </c>
      <c r="C615" s="2" t="s">
        <v>73</v>
      </c>
      <c r="D615" s="16">
        <v>30</v>
      </c>
      <c r="E615" s="2" t="s">
        <v>1297</v>
      </c>
      <c r="F615" s="2" t="s">
        <v>522</v>
      </c>
      <c r="G615" s="2" t="s">
        <v>1298</v>
      </c>
      <c r="H615" s="17">
        <v>289280</v>
      </c>
      <c r="I615" s="2"/>
      <c r="J615" s="2"/>
      <c r="K615" s="17">
        <v>289280</v>
      </c>
      <c r="L615" s="2"/>
      <c r="M615" s="17">
        <v>289280</v>
      </c>
      <c r="N615" s="17">
        <v>289280</v>
      </c>
      <c r="O615" s="2"/>
      <c r="P615" s="2"/>
      <c r="Q615" s="31" t="s">
        <v>46</v>
      </c>
      <c r="R615" s="63"/>
      <c r="S615" s="62"/>
      <c r="T615" s="5"/>
    </row>
    <row r="616" spans="1:20">
      <c r="A616" s="2" t="s">
        <v>1287</v>
      </c>
      <c r="B616" s="2" t="s">
        <v>1320</v>
      </c>
      <c r="C616" s="2" t="s">
        <v>73</v>
      </c>
      <c r="D616" s="16">
        <v>30</v>
      </c>
      <c r="E616" s="2" t="s">
        <v>1297</v>
      </c>
      <c r="F616" s="2" t="s">
        <v>1321</v>
      </c>
      <c r="G616" s="2" t="s">
        <v>1322</v>
      </c>
      <c r="H616" s="17">
        <v>9335</v>
      </c>
      <c r="I616" s="2"/>
      <c r="J616" s="2"/>
      <c r="K616" s="17">
        <v>9335</v>
      </c>
      <c r="L616" s="17">
        <v>1000.18</v>
      </c>
      <c r="M616" s="17">
        <v>8334.82</v>
      </c>
      <c r="N616" s="17">
        <v>9335</v>
      </c>
      <c r="O616" s="2"/>
      <c r="P616" s="2"/>
      <c r="Q616" s="31" t="s">
        <v>46</v>
      </c>
      <c r="R616" s="61">
        <f>+K616+K617</f>
        <v>378477</v>
      </c>
      <c r="S616" s="62"/>
      <c r="T616" s="5"/>
    </row>
    <row r="617" spans="1:20">
      <c r="A617" s="2" t="s">
        <v>1287</v>
      </c>
      <c r="B617" s="2" t="s">
        <v>1323</v>
      </c>
      <c r="C617" s="2" t="s">
        <v>73</v>
      </c>
      <c r="D617" s="16">
        <v>30</v>
      </c>
      <c r="E617" s="2" t="s">
        <v>1297</v>
      </c>
      <c r="F617" s="2" t="s">
        <v>1321</v>
      </c>
      <c r="G617" s="2" t="s">
        <v>1324</v>
      </c>
      <c r="H617" s="17">
        <v>369142</v>
      </c>
      <c r="I617" s="2"/>
      <c r="J617" s="2"/>
      <c r="K617" s="17">
        <v>369142</v>
      </c>
      <c r="L617" s="17">
        <v>39550.93</v>
      </c>
      <c r="M617" s="17">
        <v>329591.07</v>
      </c>
      <c r="N617" s="17">
        <v>369142</v>
      </c>
      <c r="O617" s="2"/>
      <c r="P617" s="2"/>
      <c r="Q617" s="31" t="s">
        <v>46</v>
      </c>
      <c r="R617" s="63"/>
      <c r="S617" s="62"/>
      <c r="T617" s="5"/>
    </row>
    <row r="618" spans="1:20">
      <c r="A618" s="2" t="s">
        <v>769</v>
      </c>
      <c r="B618" s="2" t="s">
        <v>786</v>
      </c>
      <c r="C618" s="2" t="s">
        <v>658</v>
      </c>
      <c r="D618" s="16">
        <v>60</v>
      </c>
      <c r="E618" s="2" t="s">
        <v>770</v>
      </c>
      <c r="F618" s="2" t="s">
        <v>787</v>
      </c>
      <c r="G618" s="2" t="s">
        <v>788</v>
      </c>
      <c r="H618" s="17">
        <v>94080</v>
      </c>
      <c r="I618" s="2"/>
      <c r="J618" s="2"/>
      <c r="K618" s="17">
        <v>94080</v>
      </c>
      <c r="L618" s="17">
        <v>10080</v>
      </c>
      <c r="M618" s="17">
        <v>84000</v>
      </c>
      <c r="N618" s="17">
        <v>94080</v>
      </c>
      <c r="O618" s="2"/>
      <c r="P618" s="2"/>
      <c r="Q618" s="31" t="s">
        <v>46</v>
      </c>
      <c r="R618" s="61">
        <f>+K618+K619+K620+K621+K622</f>
        <v>1377828</v>
      </c>
      <c r="S618" s="62"/>
      <c r="T618" s="5"/>
    </row>
    <row r="619" spans="1:20">
      <c r="A619" s="2" t="s">
        <v>1048</v>
      </c>
      <c r="B619" s="2" t="s">
        <v>1101</v>
      </c>
      <c r="C619" s="2" t="s">
        <v>1102</v>
      </c>
      <c r="D619" s="16">
        <v>60</v>
      </c>
      <c r="E619" s="2" t="s">
        <v>1067</v>
      </c>
      <c r="F619" s="2" t="s">
        <v>787</v>
      </c>
      <c r="G619" s="2" t="s">
        <v>1103</v>
      </c>
      <c r="H619" s="17">
        <v>970898</v>
      </c>
      <c r="I619" s="2"/>
      <c r="J619" s="2"/>
      <c r="K619" s="17">
        <v>970898</v>
      </c>
      <c r="L619" s="17">
        <v>104024.79</v>
      </c>
      <c r="M619" s="17">
        <v>866873.21</v>
      </c>
      <c r="N619" s="17">
        <v>970898</v>
      </c>
      <c r="O619" s="2"/>
      <c r="P619" s="2"/>
      <c r="Q619" s="31" t="s">
        <v>46</v>
      </c>
      <c r="R619" s="62"/>
      <c r="S619" s="62"/>
      <c r="T619" s="5"/>
    </row>
    <row r="620" spans="1:20">
      <c r="A620" s="2" t="s">
        <v>1117</v>
      </c>
      <c r="B620" s="2" t="s">
        <v>1182</v>
      </c>
      <c r="C620" s="2" t="s">
        <v>1102</v>
      </c>
      <c r="D620" s="16">
        <v>60</v>
      </c>
      <c r="E620" s="2" t="s">
        <v>1139</v>
      </c>
      <c r="F620" s="2" t="s">
        <v>787</v>
      </c>
      <c r="G620" s="2" t="s">
        <v>1183</v>
      </c>
      <c r="H620" s="17">
        <v>214500</v>
      </c>
      <c r="I620" s="2"/>
      <c r="J620" s="2"/>
      <c r="K620" s="17">
        <v>214500</v>
      </c>
      <c r="L620" s="17">
        <v>22982.14</v>
      </c>
      <c r="M620" s="17">
        <v>191517.86</v>
      </c>
      <c r="N620" s="17">
        <v>214500</v>
      </c>
      <c r="O620" s="2"/>
      <c r="P620" s="2"/>
      <c r="Q620" s="31" t="s">
        <v>46</v>
      </c>
      <c r="R620" s="62"/>
      <c r="S620" s="62"/>
      <c r="T620" s="5"/>
    </row>
    <row r="621" spans="1:20">
      <c r="A621" s="2" t="s">
        <v>1117</v>
      </c>
      <c r="B621" s="2" t="s">
        <v>1184</v>
      </c>
      <c r="C621" s="2" t="s">
        <v>1102</v>
      </c>
      <c r="D621" s="16">
        <v>60</v>
      </c>
      <c r="E621" s="2" t="s">
        <v>1139</v>
      </c>
      <c r="F621" s="2" t="s">
        <v>787</v>
      </c>
      <c r="G621" s="2" t="s">
        <v>1185</v>
      </c>
      <c r="H621" s="17">
        <v>52684</v>
      </c>
      <c r="I621" s="2"/>
      <c r="J621" s="2"/>
      <c r="K621" s="17">
        <v>52684</v>
      </c>
      <c r="L621" s="17">
        <v>5644.71</v>
      </c>
      <c r="M621" s="17">
        <v>47039.29</v>
      </c>
      <c r="N621" s="17">
        <v>52684</v>
      </c>
      <c r="O621" s="2"/>
      <c r="P621" s="2"/>
      <c r="Q621" s="31" t="s">
        <v>46</v>
      </c>
      <c r="R621" s="62"/>
      <c r="S621" s="62"/>
      <c r="T621" s="5"/>
    </row>
    <row r="622" spans="1:20">
      <c r="A622" s="2" t="s">
        <v>1553</v>
      </c>
      <c r="B622" s="2" t="s">
        <v>1575</v>
      </c>
      <c r="C622" s="2" t="s">
        <v>658</v>
      </c>
      <c r="D622" s="16">
        <v>60</v>
      </c>
      <c r="E622" s="2" t="s">
        <v>1557</v>
      </c>
      <c r="F622" s="2" t="s">
        <v>787</v>
      </c>
      <c r="G622" s="2" t="s">
        <v>1576</v>
      </c>
      <c r="H622" s="17">
        <v>45666</v>
      </c>
      <c r="I622" s="2"/>
      <c r="J622" s="2"/>
      <c r="K622" s="17">
        <v>45666</v>
      </c>
      <c r="L622" s="17">
        <v>4892.79</v>
      </c>
      <c r="M622" s="17">
        <v>40773.21</v>
      </c>
      <c r="N622" s="17">
        <v>45666</v>
      </c>
      <c r="O622" s="2"/>
      <c r="P622" s="2"/>
      <c r="Q622" s="31" t="s">
        <v>46</v>
      </c>
      <c r="R622" s="63"/>
      <c r="S622" s="62"/>
      <c r="T622" s="5"/>
    </row>
    <row r="623" spans="1:20">
      <c r="A623" s="2" t="s">
        <v>1287</v>
      </c>
      <c r="B623" s="2" t="s">
        <v>1325</v>
      </c>
      <c r="C623" s="2" t="s">
        <v>146</v>
      </c>
      <c r="D623" s="16">
        <v>90</v>
      </c>
      <c r="E623" s="2" t="s">
        <v>1315</v>
      </c>
      <c r="F623" s="2" t="s">
        <v>1326</v>
      </c>
      <c r="G623" s="2" t="s">
        <v>1327</v>
      </c>
      <c r="H623" s="17">
        <v>148436</v>
      </c>
      <c r="I623" s="2"/>
      <c r="J623" s="2"/>
      <c r="K623" s="17">
        <v>148436</v>
      </c>
      <c r="L623" s="17">
        <v>15903.86</v>
      </c>
      <c r="M623" s="17">
        <v>132532.14000000001</v>
      </c>
      <c r="N623" s="17">
        <v>148436</v>
      </c>
      <c r="O623" s="2"/>
      <c r="P623" s="2"/>
      <c r="Q623" s="31" t="s">
        <v>46</v>
      </c>
      <c r="R623" s="32">
        <f>+K623</f>
        <v>148436</v>
      </c>
      <c r="S623" s="62"/>
      <c r="T623" s="5"/>
    </row>
    <row r="624" spans="1:20">
      <c r="A624" s="2" t="s">
        <v>93</v>
      </c>
      <c r="B624" s="2" t="s">
        <v>110</v>
      </c>
      <c r="C624" s="2" t="s">
        <v>18</v>
      </c>
      <c r="D624" s="16">
        <v>0</v>
      </c>
      <c r="E624" s="2" t="s">
        <v>93</v>
      </c>
      <c r="F624" s="2" t="s">
        <v>111</v>
      </c>
      <c r="G624" s="2" t="s">
        <v>112</v>
      </c>
      <c r="H624" s="17">
        <v>18378</v>
      </c>
      <c r="I624" s="2"/>
      <c r="J624" s="17">
        <v>6000</v>
      </c>
      <c r="K624" s="17">
        <f>24378-J624</f>
        <v>18378</v>
      </c>
      <c r="L624" s="17">
        <v>2611.9299999999998</v>
      </c>
      <c r="M624" s="17">
        <v>21766.07</v>
      </c>
      <c r="N624" s="17">
        <v>24378</v>
      </c>
      <c r="O624" s="2"/>
      <c r="P624" s="2"/>
      <c r="Q624" s="31" t="s">
        <v>46</v>
      </c>
      <c r="R624" s="32">
        <f>+K624</f>
        <v>18378</v>
      </c>
      <c r="S624" s="62"/>
      <c r="T624" s="5"/>
    </row>
    <row r="625" spans="1:20">
      <c r="A625" s="2" t="s">
        <v>93</v>
      </c>
      <c r="B625" s="2" t="s">
        <v>92</v>
      </c>
      <c r="C625" s="2" t="s">
        <v>94</v>
      </c>
      <c r="D625" s="16">
        <v>0</v>
      </c>
      <c r="E625" s="2" t="s">
        <v>93</v>
      </c>
      <c r="F625" s="2" t="s">
        <v>95</v>
      </c>
      <c r="G625" s="2" t="s">
        <v>96</v>
      </c>
      <c r="H625" s="17">
        <v>422500</v>
      </c>
      <c r="I625" s="2"/>
      <c r="J625" s="2"/>
      <c r="K625" s="17">
        <v>422500</v>
      </c>
      <c r="L625" s="17">
        <v>45267.86</v>
      </c>
      <c r="M625" s="17">
        <v>377232.14</v>
      </c>
      <c r="N625" s="17">
        <v>422500</v>
      </c>
      <c r="O625" s="2"/>
      <c r="P625" s="2"/>
      <c r="Q625" s="31" t="s">
        <v>46</v>
      </c>
      <c r="R625" s="61">
        <f>+K625+K626+K627</f>
        <v>975220</v>
      </c>
      <c r="S625" s="62"/>
      <c r="T625" s="5"/>
    </row>
    <row r="626" spans="1:20">
      <c r="A626" s="2" t="s">
        <v>368</v>
      </c>
      <c r="B626" s="2" t="s">
        <v>373</v>
      </c>
      <c r="C626" s="2" t="s">
        <v>94</v>
      </c>
      <c r="D626" s="16">
        <v>0</v>
      </c>
      <c r="E626" s="2" t="s">
        <v>368</v>
      </c>
      <c r="F626" s="2" t="s">
        <v>95</v>
      </c>
      <c r="G626" s="2" t="s">
        <v>374</v>
      </c>
      <c r="H626" s="17">
        <v>263200</v>
      </c>
      <c r="I626" s="2"/>
      <c r="J626" s="2"/>
      <c r="K626" s="17">
        <v>263200</v>
      </c>
      <c r="L626" s="17">
        <v>28200</v>
      </c>
      <c r="M626" s="17">
        <v>235000</v>
      </c>
      <c r="N626" s="17">
        <v>263200</v>
      </c>
      <c r="O626" s="2"/>
      <c r="P626" s="2"/>
      <c r="Q626" s="31" t="s">
        <v>46</v>
      </c>
      <c r="R626" s="62"/>
      <c r="S626" s="62"/>
      <c r="T626" s="5"/>
    </row>
    <row r="627" spans="1:20">
      <c r="A627" s="2" t="s">
        <v>866</v>
      </c>
      <c r="B627" s="2" t="s">
        <v>865</v>
      </c>
      <c r="C627" s="2" t="s">
        <v>94</v>
      </c>
      <c r="D627" s="16">
        <v>0</v>
      </c>
      <c r="E627" s="2" t="s">
        <v>866</v>
      </c>
      <c r="F627" s="2" t="s">
        <v>95</v>
      </c>
      <c r="G627" s="2" t="s">
        <v>867</v>
      </c>
      <c r="H627" s="17">
        <v>289520</v>
      </c>
      <c r="I627" s="2"/>
      <c r="J627" s="2"/>
      <c r="K627" s="17">
        <v>289520</v>
      </c>
      <c r="L627" s="17">
        <v>31020</v>
      </c>
      <c r="M627" s="17">
        <v>258500</v>
      </c>
      <c r="N627" s="17">
        <v>289520</v>
      </c>
      <c r="O627" s="2"/>
      <c r="P627" s="2"/>
      <c r="Q627" s="31" t="s">
        <v>46</v>
      </c>
      <c r="R627" s="63"/>
      <c r="S627" s="62"/>
      <c r="T627" s="5"/>
    </row>
    <row r="628" spans="1:20">
      <c r="A628" s="2" t="s">
        <v>769</v>
      </c>
      <c r="B628" s="2" t="s">
        <v>814</v>
      </c>
      <c r="C628" s="2" t="s">
        <v>162</v>
      </c>
      <c r="D628" s="16">
        <v>90</v>
      </c>
      <c r="E628" s="2" t="s">
        <v>815</v>
      </c>
      <c r="F628" s="2" t="s">
        <v>816</v>
      </c>
      <c r="G628" s="2" t="s">
        <v>817</v>
      </c>
      <c r="H628" s="17">
        <v>38020</v>
      </c>
      <c r="I628" s="2"/>
      <c r="J628" s="2"/>
      <c r="K628" s="17">
        <v>38020</v>
      </c>
      <c r="L628" s="17">
        <v>4073.57</v>
      </c>
      <c r="M628" s="17">
        <v>33946.43</v>
      </c>
      <c r="N628" s="17">
        <v>38020</v>
      </c>
      <c r="O628" s="2"/>
      <c r="P628" s="2"/>
      <c r="Q628" s="31" t="s">
        <v>46</v>
      </c>
      <c r="R628" s="32">
        <f>+K628</f>
        <v>38020</v>
      </c>
      <c r="S628" s="62"/>
      <c r="T628" s="5"/>
    </row>
    <row r="629" spans="1:20">
      <c r="A629" s="2" t="s">
        <v>448</v>
      </c>
      <c r="B629" s="2" t="s">
        <v>453</v>
      </c>
      <c r="C629" s="2" t="s">
        <v>60</v>
      </c>
      <c r="D629" s="16">
        <v>0</v>
      </c>
      <c r="E629" s="2" t="s">
        <v>448</v>
      </c>
      <c r="F629" s="2" t="s">
        <v>454</v>
      </c>
      <c r="G629" s="2" t="s">
        <v>455</v>
      </c>
      <c r="H629" s="17">
        <v>24000</v>
      </c>
      <c r="I629" s="2"/>
      <c r="J629" s="2"/>
      <c r="K629" s="17">
        <v>24000</v>
      </c>
      <c r="L629" s="17">
        <v>2571.4299999999998</v>
      </c>
      <c r="M629" s="17">
        <v>21428.57</v>
      </c>
      <c r="N629" s="17">
        <v>24000</v>
      </c>
      <c r="O629" s="2"/>
      <c r="P629" s="2"/>
      <c r="Q629" s="31" t="s">
        <v>46</v>
      </c>
      <c r="R629" s="32">
        <f>+K629</f>
        <v>24000</v>
      </c>
      <c r="S629" s="62"/>
      <c r="T629" s="5"/>
    </row>
    <row r="630" spans="1:20">
      <c r="A630" s="2" t="s">
        <v>1048</v>
      </c>
      <c r="B630" s="2" t="s">
        <v>1077</v>
      </c>
      <c r="C630" s="2" t="s">
        <v>73</v>
      </c>
      <c r="D630" s="16">
        <v>30</v>
      </c>
      <c r="E630" s="2" t="s">
        <v>1056</v>
      </c>
      <c r="F630" s="2" t="s">
        <v>1078</v>
      </c>
      <c r="G630" s="2" t="s">
        <v>1079</v>
      </c>
      <c r="H630" s="17">
        <v>138000</v>
      </c>
      <c r="I630" s="2"/>
      <c r="J630" s="2"/>
      <c r="K630" s="17">
        <v>138000</v>
      </c>
      <c r="L630" s="17">
        <v>14785.71</v>
      </c>
      <c r="M630" s="17">
        <v>123214.29</v>
      </c>
      <c r="N630" s="17">
        <v>138000</v>
      </c>
      <c r="O630" s="2"/>
      <c r="P630" s="2"/>
      <c r="Q630" s="31" t="s">
        <v>46</v>
      </c>
      <c r="R630" s="61">
        <f>+K630+K631+K632</f>
        <v>407500</v>
      </c>
      <c r="S630" s="62"/>
      <c r="T630" s="5"/>
    </row>
    <row r="631" spans="1:20">
      <c r="A631" s="2" t="s">
        <v>1048</v>
      </c>
      <c r="B631" s="2" t="s">
        <v>1080</v>
      </c>
      <c r="C631" s="2" t="s">
        <v>73</v>
      </c>
      <c r="D631" s="16">
        <v>30</v>
      </c>
      <c r="E631" s="2" t="s">
        <v>1056</v>
      </c>
      <c r="F631" s="2" t="s">
        <v>1078</v>
      </c>
      <c r="G631" s="2" t="s">
        <v>1081</v>
      </c>
      <c r="H631" s="17">
        <v>136000</v>
      </c>
      <c r="I631" s="2"/>
      <c r="J631" s="2"/>
      <c r="K631" s="17">
        <v>136000</v>
      </c>
      <c r="L631" s="17">
        <v>14571.43</v>
      </c>
      <c r="M631" s="17">
        <v>121428.57</v>
      </c>
      <c r="N631" s="17">
        <v>136000</v>
      </c>
      <c r="O631" s="2"/>
      <c r="P631" s="2"/>
      <c r="Q631" s="31" t="s">
        <v>46</v>
      </c>
      <c r="R631" s="62"/>
      <c r="S631" s="62"/>
      <c r="T631" s="5"/>
    </row>
    <row r="632" spans="1:20">
      <c r="A632" s="2" t="s">
        <v>1117</v>
      </c>
      <c r="B632" s="2" t="s">
        <v>1178</v>
      </c>
      <c r="C632" s="2" t="s">
        <v>73</v>
      </c>
      <c r="D632" s="16">
        <v>30</v>
      </c>
      <c r="E632" s="2" t="s">
        <v>1118</v>
      </c>
      <c r="F632" s="2" t="s">
        <v>1078</v>
      </c>
      <c r="G632" s="2" t="s">
        <v>1179</v>
      </c>
      <c r="H632" s="17">
        <v>133500</v>
      </c>
      <c r="I632" s="2"/>
      <c r="J632" s="2"/>
      <c r="K632" s="17">
        <v>133500</v>
      </c>
      <c r="L632" s="17">
        <v>14303.57</v>
      </c>
      <c r="M632" s="17">
        <v>119196.43</v>
      </c>
      <c r="N632" s="17">
        <v>133500</v>
      </c>
      <c r="O632" s="2"/>
      <c r="P632" s="2"/>
      <c r="Q632" s="31" t="s">
        <v>46</v>
      </c>
      <c r="R632" s="63"/>
      <c r="S632" s="62"/>
      <c r="T632" s="5"/>
    </row>
    <row r="633" spans="1:20">
      <c r="A633" s="2" t="s">
        <v>1217</v>
      </c>
      <c r="B633" s="2" t="s">
        <v>1225</v>
      </c>
      <c r="C633" s="2" t="s">
        <v>34</v>
      </c>
      <c r="D633" s="16">
        <v>60</v>
      </c>
      <c r="E633" s="2" t="s">
        <v>1223</v>
      </c>
      <c r="F633" s="2" t="s">
        <v>1226</v>
      </c>
      <c r="G633" s="2" t="s">
        <v>1227</v>
      </c>
      <c r="H633" s="17">
        <v>37782</v>
      </c>
      <c r="I633" s="2"/>
      <c r="J633" s="2"/>
      <c r="K633" s="17">
        <v>37782</v>
      </c>
      <c r="L633" s="17">
        <v>4048.07</v>
      </c>
      <c r="M633" s="17">
        <v>33733.93</v>
      </c>
      <c r="N633" s="17">
        <v>37782</v>
      </c>
      <c r="O633" s="2"/>
      <c r="P633" s="2"/>
      <c r="Q633" s="31" t="s">
        <v>46</v>
      </c>
      <c r="R633" s="61">
        <f>+K633+K634</f>
        <v>47043</v>
      </c>
      <c r="S633" s="62"/>
      <c r="T633" s="5"/>
    </row>
    <row r="634" spans="1:20">
      <c r="A634" s="2" t="s">
        <v>1372</v>
      </c>
      <c r="B634" s="2" t="s">
        <v>1371</v>
      </c>
      <c r="C634" s="2" t="s">
        <v>34</v>
      </c>
      <c r="D634" s="16">
        <v>60</v>
      </c>
      <c r="E634" s="2" t="s">
        <v>1373</v>
      </c>
      <c r="F634" s="2" t="s">
        <v>1226</v>
      </c>
      <c r="G634" s="2" t="s">
        <v>1374</v>
      </c>
      <c r="H634" s="17">
        <v>9261</v>
      </c>
      <c r="I634" s="2"/>
      <c r="J634" s="2"/>
      <c r="K634" s="17">
        <v>9261</v>
      </c>
      <c r="L634" s="18">
        <v>992.25</v>
      </c>
      <c r="M634" s="17">
        <v>8268.75</v>
      </c>
      <c r="N634" s="17">
        <v>9261</v>
      </c>
      <c r="O634" s="2"/>
      <c r="P634" s="2"/>
      <c r="Q634" s="31" t="s">
        <v>46</v>
      </c>
      <c r="R634" s="63"/>
      <c r="S634" s="62"/>
      <c r="T634" s="5"/>
    </row>
    <row r="635" spans="1:20">
      <c r="A635" s="2" t="s">
        <v>199</v>
      </c>
      <c r="B635" s="2" t="s">
        <v>207</v>
      </c>
      <c r="C635" s="2" t="s">
        <v>60</v>
      </c>
      <c r="D635" s="16">
        <v>0</v>
      </c>
      <c r="E635" s="2" t="s">
        <v>199</v>
      </c>
      <c r="F635" s="2" t="s">
        <v>208</v>
      </c>
      <c r="G635" s="2" t="s">
        <v>209</v>
      </c>
      <c r="H635" s="17">
        <v>6272</v>
      </c>
      <c r="I635" s="2"/>
      <c r="J635" s="2"/>
      <c r="K635" s="17">
        <v>6272</v>
      </c>
      <c r="L635" s="18">
        <v>672</v>
      </c>
      <c r="M635" s="17">
        <v>5600</v>
      </c>
      <c r="N635" s="17">
        <v>6272</v>
      </c>
      <c r="O635" s="2"/>
      <c r="P635" s="2"/>
      <c r="Q635" s="31" t="s">
        <v>46</v>
      </c>
      <c r="R635" s="32">
        <f>+K635</f>
        <v>6272</v>
      </c>
      <c r="S635" s="62"/>
      <c r="T635" s="5"/>
    </row>
    <row r="636" spans="1:20">
      <c r="A636" s="2" t="s">
        <v>637</v>
      </c>
      <c r="B636" s="2" t="s">
        <v>657</v>
      </c>
      <c r="C636" s="2" t="s">
        <v>658</v>
      </c>
      <c r="D636" s="16">
        <v>60</v>
      </c>
      <c r="E636" s="2" t="s">
        <v>659</v>
      </c>
      <c r="F636" s="2" t="s">
        <v>660</v>
      </c>
      <c r="G636" s="2" t="s">
        <v>661</v>
      </c>
      <c r="H636" s="17">
        <v>42000</v>
      </c>
      <c r="I636" s="2"/>
      <c r="J636" s="2"/>
      <c r="K636" s="17">
        <v>42000</v>
      </c>
      <c r="L636" s="17">
        <v>4500</v>
      </c>
      <c r="M636" s="17">
        <v>37500</v>
      </c>
      <c r="N636" s="17">
        <v>42000</v>
      </c>
      <c r="O636" s="2"/>
      <c r="P636" s="2"/>
      <c r="Q636" s="31" t="s">
        <v>46</v>
      </c>
      <c r="R636" s="32">
        <f>+K636</f>
        <v>42000</v>
      </c>
      <c r="S636" s="63"/>
      <c r="T636" s="5"/>
    </row>
    <row r="637" spans="1:20">
      <c r="A637" s="2" t="s">
        <v>93</v>
      </c>
      <c r="B637" s="2" t="s">
        <v>161</v>
      </c>
      <c r="C637" s="2" t="s">
        <v>162</v>
      </c>
      <c r="D637" s="16">
        <v>90</v>
      </c>
      <c r="E637" s="2" t="s">
        <v>147</v>
      </c>
      <c r="F637" s="2" t="s">
        <v>164</v>
      </c>
      <c r="G637" s="2" t="s">
        <v>165</v>
      </c>
      <c r="H637" s="17">
        <v>13175</v>
      </c>
      <c r="I637" s="2"/>
      <c r="J637" s="2"/>
      <c r="K637" s="17">
        <v>13175</v>
      </c>
      <c r="L637" s="17">
        <v>1411.61</v>
      </c>
      <c r="M637" s="17">
        <v>11763.39</v>
      </c>
      <c r="N637" s="17">
        <v>13175</v>
      </c>
      <c r="O637" s="2"/>
      <c r="P637" s="2"/>
      <c r="Q637" s="31" t="s">
        <v>163</v>
      </c>
      <c r="R637" s="61">
        <f>+K637+K638</f>
        <v>42575</v>
      </c>
      <c r="S637" s="61">
        <f>+R637</f>
        <v>42575</v>
      </c>
      <c r="T637" s="5"/>
    </row>
    <row r="638" spans="1:20">
      <c r="A638" s="2" t="s">
        <v>1217</v>
      </c>
      <c r="B638" s="2" t="s">
        <v>1234</v>
      </c>
      <c r="C638" s="2" t="s">
        <v>162</v>
      </c>
      <c r="D638" s="16">
        <v>90</v>
      </c>
      <c r="E638" s="2" t="s">
        <v>1235</v>
      </c>
      <c r="F638" s="2" t="s">
        <v>164</v>
      </c>
      <c r="G638" s="2" t="s">
        <v>1236</v>
      </c>
      <c r="H638" s="17">
        <v>29400</v>
      </c>
      <c r="I638" s="2"/>
      <c r="J638" s="2"/>
      <c r="K638" s="17">
        <v>29400</v>
      </c>
      <c r="L638" s="17">
        <v>3150</v>
      </c>
      <c r="M638" s="17">
        <v>26250</v>
      </c>
      <c r="N638" s="17">
        <v>29400</v>
      </c>
      <c r="O638" s="2"/>
      <c r="P638" s="2"/>
      <c r="Q638" s="31" t="s">
        <v>163</v>
      </c>
      <c r="R638" s="63"/>
      <c r="S638" s="63"/>
      <c r="T638" s="5"/>
    </row>
    <row r="639" spans="1:20">
      <c r="D639" s="6"/>
      <c r="F639" s="25" t="s">
        <v>1776</v>
      </c>
      <c r="G639" s="26"/>
      <c r="H639" s="27"/>
      <c r="I639" s="26"/>
      <c r="J639" s="28">
        <f>SUM(J5:J638)</f>
        <v>376155.62</v>
      </c>
      <c r="K639" s="28">
        <f>SUM(K5:K638)</f>
        <v>154526133.59</v>
      </c>
      <c r="L639" s="5"/>
      <c r="M639" s="5"/>
      <c r="N639" s="28">
        <f>SUM(N5:N638)</f>
        <v>154902289.21000001</v>
      </c>
      <c r="R639" s="28">
        <f>SUM(R5:R637)</f>
        <v>154526133.59000003</v>
      </c>
      <c r="S639" s="28">
        <f>SUM(S5:S637)</f>
        <v>154526133.59</v>
      </c>
    </row>
    <row r="640" spans="1:20">
      <c r="D640" s="6"/>
      <c r="H640" s="5"/>
      <c r="K640" s="5"/>
      <c r="L640" s="5"/>
      <c r="M640" s="5"/>
      <c r="N640" s="5"/>
      <c r="S640" s="44"/>
    </row>
    <row r="641" spans="1:19">
      <c r="D641" s="6"/>
      <c r="H641" s="5"/>
      <c r="K641" s="5"/>
      <c r="L641" s="5"/>
      <c r="M641" s="5"/>
      <c r="N641" s="5"/>
      <c r="S641" s="44"/>
    </row>
    <row r="642" spans="1:19">
      <c r="D642" s="6"/>
      <c r="H642" s="5"/>
      <c r="K642" s="5"/>
      <c r="L642" s="5"/>
      <c r="M642" s="5"/>
      <c r="N642" s="5"/>
    </row>
    <row r="643" spans="1:19">
      <c r="D643" s="6"/>
      <c r="H643" s="5"/>
      <c r="K643" s="5"/>
      <c r="L643" s="5"/>
      <c r="M643" s="5"/>
      <c r="N643" s="5"/>
    </row>
    <row r="644" spans="1:19">
      <c r="D644" s="6"/>
      <c r="H644" s="5"/>
      <c r="K644" s="5"/>
      <c r="L644" s="5"/>
      <c r="M644" s="5"/>
      <c r="N644" s="5"/>
    </row>
    <row r="645" spans="1:19">
      <c r="D645" s="6"/>
      <c r="H645" s="5"/>
      <c r="K645" s="5"/>
      <c r="L645" s="5"/>
      <c r="M645" s="5"/>
      <c r="N645" s="5"/>
    </row>
    <row r="646" spans="1:19">
      <c r="D646" s="6"/>
      <c r="H646" s="5"/>
      <c r="K646" s="5"/>
      <c r="L646" s="5"/>
      <c r="M646" s="5"/>
      <c r="N646" s="5"/>
    </row>
    <row r="647" spans="1:19">
      <c r="D647" s="6"/>
      <c r="H647" s="5"/>
      <c r="K647" s="5"/>
      <c r="L647" s="5"/>
      <c r="M647" s="5"/>
      <c r="N647" s="5"/>
    </row>
    <row r="648" spans="1:19">
      <c r="D648" s="6"/>
      <c r="H648" s="5"/>
      <c r="K648" s="5"/>
      <c r="L648" s="5"/>
      <c r="M648" s="5"/>
      <c r="N648" s="5"/>
    </row>
    <row r="649" spans="1:19">
      <c r="D649" s="6"/>
      <c r="H649" s="5"/>
      <c r="K649" s="5"/>
      <c r="L649" s="5"/>
      <c r="M649" s="5"/>
      <c r="N649" s="5"/>
    </row>
    <row r="650" spans="1:19">
      <c r="D650" s="6"/>
      <c r="H650" s="5"/>
      <c r="K650" s="5"/>
      <c r="L650" s="5"/>
      <c r="M650" s="5"/>
      <c r="N650" s="5"/>
    </row>
    <row r="651" spans="1:19">
      <c r="D651" s="6"/>
      <c r="H651" s="5"/>
      <c r="K651" s="5"/>
      <c r="L651" s="5"/>
      <c r="M651" s="5"/>
      <c r="N651" s="5"/>
    </row>
    <row r="652" spans="1:19">
      <c r="D652" s="6"/>
      <c r="H652" s="5"/>
      <c r="K652" s="5"/>
      <c r="L652" s="5"/>
      <c r="M652" s="5"/>
      <c r="N652" s="5"/>
    </row>
    <row r="653" spans="1:19">
      <c r="A653" s="8" t="s">
        <v>93</v>
      </c>
      <c r="B653" s="8" t="s">
        <v>1622</v>
      </c>
      <c r="C653" s="8" t="s">
        <v>146</v>
      </c>
      <c r="D653" s="6">
        <v>90</v>
      </c>
      <c r="E653" s="8" t="s">
        <v>147</v>
      </c>
      <c r="F653" s="8" t="s">
        <v>589</v>
      </c>
      <c r="G653" s="8" t="s">
        <v>1623</v>
      </c>
      <c r="H653" s="4">
        <v>-1.25</v>
      </c>
      <c r="K653" s="4">
        <v>-1.25</v>
      </c>
      <c r="M653" s="4">
        <v>-1.25</v>
      </c>
      <c r="N653" s="4">
        <v>-1.25</v>
      </c>
      <c r="Q653" s="8" t="s">
        <v>69</v>
      </c>
    </row>
    <row r="654" spans="1:19">
      <c r="A654" s="8" t="s">
        <v>448</v>
      </c>
      <c r="B654" s="8" t="s">
        <v>1624</v>
      </c>
      <c r="C654" s="8" t="s">
        <v>146</v>
      </c>
      <c r="D654" s="6">
        <v>90</v>
      </c>
      <c r="E654" s="8" t="s">
        <v>479</v>
      </c>
      <c r="F654" s="8" t="s">
        <v>589</v>
      </c>
      <c r="G654" s="8" t="s">
        <v>1625</v>
      </c>
      <c r="H654" s="4">
        <v>-0.14000000000000001</v>
      </c>
      <c r="K654" s="4">
        <v>-0.14000000000000001</v>
      </c>
      <c r="M654" s="4">
        <v>-0.14000000000000001</v>
      </c>
      <c r="N654" s="4">
        <v>-0.14000000000000001</v>
      </c>
      <c r="Q654" s="8" t="s">
        <v>139</v>
      </c>
    </row>
    <row r="655" spans="1:19">
      <c r="A655" s="8" t="s">
        <v>505</v>
      </c>
      <c r="B655" s="8" t="s">
        <v>1626</v>
      </c>
      <c r="C655" s="8" t="s">
        <v>243</v>
      </c>
      <c r="D655" s="6">
        <v>30</v>
      </c>
      <c r="E655" s="8" t="s">
        <v>518</v>
      </c>
      <c r="F655" s="8" t="s">
        <v>1405</v>
      </c>
      <c r="G655" s="8" t="s">
        <v>1627</v>
      </c>
      <c r="H655" s="4">
        <v>-0.99</v>
      </c>
      <c r="K655" s="4">
        <v>-0.99</v>
      </c>
      <c r="M655" s="4">
        <v>-0.99</v>
      </c>
      <c r="N655" s="4">
        <v>-0.99</v>
      </c>
      <c r="Q655" s="8" t="s">
        <v>139</v>
      </c>
    </row>
    <row r="656" spans="1:19">
      <c r="A656" s="8" t="s">
        <v>505</v>
      </c>
      <c r="B656" s="8" t="s">
        <v>1628</v>
      </c>
      <c r="C656" s="8" t="s">
        <v>73</v>
      </c>
      <c r="D656" s="6">
        <v>30</v>
      </c>
      <c r="E656" s="8" t="s">
        <v>518</v>
      </c>
      <c r="F656" s="8" t="s">
        <v>267</v>
      </c>
      <c r="G656" s="8" t="s">
        <v>1629</v>
      </c>
      <c r="H656" s="4">
        <v>-134200</v>
      </c>
      <c r="K656" s="4">
        <v>-134200</v>
      </c>
      <c r="L656" s="4">
        <v>-14378.57</v>
      </c>
      <c r="M656" s="4">
        <v>-119821.43</v>
      </c>
      <c r="N656" s="4">
        <v>-134200</v>
      </c>
      <c r="Q656" s="8" t="s">
        <v>139</v>
      </c>
    </row>
    <row r="657" spans="1:17">
      <c r="A657" s="8" t="s">
        <v>505</v>
      </c>
      <c r="B657" s="8" t="s">
        <v>1630</v>
      </c>
      <c r="C657" s="8" t="s">
        <v>104</v>
      </c>
      <c r="D657" s="6">
        <v>0</v>
      </c>
      <c r="E657" s="8" t="s">
        <v>505</v>
      </c>
      <c r="F657" s="8" t="s">
        <v>490</v>
      </c>
      <c r="G657" s="8" t="s">
        <v>1631</v>
      </c>
      <c r="H657" s="4">
        <v>-0.54</v>
      </c>
      <c r="K657" s="4">
        <v>-0.54</v>
      </c>
      <c r="M657" s="4">
        <v>-0.54</v>
      </c>
      <c r="N657" s="4">
        <v>-0.54</v>
      </c>
      <c r="Q657" s="8" t="s">
        <v>19</v>
      </c>
    </row>
    <row r="658" spans="1:17">
      <c r="A658" s="8" t="s">
        <v>596</v>
      </c>
      <c r="B658" s="8" t="s">
        <v>1632</v>
      </c>
      <c r="C658" s="8" t="s">
        <v>151</v>
      </c>
      <c r="D658" s="6">
        <v>60</v>
      </c>
      <c r="E658" s="8" t="s">
        <v>613</v>
      </c>
      <c r="F658" s="8" t="s">
        <v>1633</v>
      </c>
      <c r="G658" s="8" t="s">
        <v>1634</v>
      </c>
      <c r="H658" s="4">
        <v>-2</v>
      </c>
      <c r="K658" s="4">
        <v>-2</v>
      </c>
      <c r="M658" s="4">
        <v>-2</v>
      </c>
      <c r="N658" s="4">
        <v>-2</v>
      </c>
      <c r="Q658" s="8" t="s">
        <v>30</v>
      </c>
    </row>
    <row r="659" spans="1:17">
      <c r="A659" s="8" t="s">
        <v>596</v>
      </c>
      <c r="B659" s="8" t="s">
        <v>1635</v>
      </c>
      <c r="C659" s="8" t="s">
        <v>79</v>
      </c>
      <c r="D659" s="6">
        <v>30</v>
      </c>
      <c r="E659" s="8" t="s">
        <v>619</v>
      </c>
      <c r="F659" s="8" t="s">
        <v>1636</v>
      </c>
      <c r="G659" s="8" t="s">
        <v>1637</v>
      </c>
      <c r="H659" s="4">
        <v>-637070</v>
      </c>
      <c r="K659" s="4">
        <v>-637070</v>
      </c>
      <c r="L659" s="4">
        <v>-68257.5</v>
      </c>
      <c r="M659" s="4">
        <v>-568812.5</v>
      </c>
      <c r="N659" s="4">
        <v>-637070</v>
      </c>
      <c r="Q659" s="8" t="s">
        <v>105</v>
      </c>
    </row>
    <row r="660" spans="1:17">
      <c r="A660" s="8" t="s">
        <v>596</v>
      </c>
      <c r="B660" s="8" t="s">
        <v>1638</v>
      </c>
      <c r="C660" s="8" t="s">
        <v>79</v>
      </c>
      <c r="D660" s="6">
        <v>30</v>
      </c>
      <c r="E660" s="8" t="s">
        <v>619</v>
      </c>
      <c r="F660" s="8" t="s">
        <v>1636</v>
      </c>
      <c r="G660" s="8" t="s">
        <v>1639</v>
      </c>
      <c r="H660" s="4">
        <v>-115297</v>
      </c>
      <c r="K660" s="4">
        <v>-115297</v>
      </c>
      <c r="L660" s="4">
        <v>-12353.25</v>
      </c>
      <c r="M660" s="4">
        <v>-102943.75</v>
      </c>
      <c r="N660" s="4">
        <v>-115297</v>
      </c>
      <c r="Q660" s="8" t="s">
        <v>69</v>
      </c>
    </row>
    <row r="661" spans="1:17">
      <c r="A661" s="8" t="s">
        <v>596</v>
      </c>
      <c r="B661" s="8" t="s">
        <v>1640</v>
      </c>
      <c r="C661" s="8" t="s">
        <v>79</v>
      </c>
      <c r="D661" s="6">
        <v>30</v>
      </c>
      <c r="E661" s="8" t="s">
        <v>619</v>
      </c>
      <c r="F661" s="8" t="s">
        <v>1636</v>
      </c>
      <c r="G661" s="8" t="s">
        <v>1641</v>
      </c>
      <c r="H661" s="4">
        <v>-663000</v>
      </c>
      <c r="K661" s="4">
        <v>-663000</v>
      </c>
      <c r="L661" s="4">
        <v>-71035.710000000006</v>
      </c>
      <c r="M661" s="4">
        <v>-591964.29</v>
      </c>
      <c r="N661" s="4">
        <v>-663000</v>
      </c>
      <c r="Q661" s="8" t="s">
        <v>69</v>
      </c>
    </row>
    <row r="662" spans="1:17">
      <c r="A662" s="8" t="s">
        <v>596</v>
      </c>
      <c r="B662" s="8" t="s">
        <v>1642</v>
      </c>
      <c r="C662" s="8" t="s">
        <v>79</v>
      </c>
      <c r="D662" s="6">
        <v>30</v>
      </c>
      <c r="E662" s="8" t="s">
        <v>619</v>
      </c>
      <c r="F662" s="8" t="s">
        <v>1636</v>
      </c>
      <c r="G662" s="8" t="s">
        <v>1643</v>
      </c>
      <c r="H662" s="4">
        <v>-343200</v>
      </c>
      <c r="K662" s="4">
        <v>-343200</v>
      </c>
      <c r="L662" s="4">
        <v>-36771.43</v>
      </c>
      <c r="M662" s="4">
        <v>-306428.57</v>
      </c>
      <c r="N662" s="4">
        <v>-343200</v>
      </c>
      <c r="Q662" s="8" t="s">
        <v>69</v>
      </c>
    </row>
    <row r="663" spans="1:17">
      <c r="A663" s="8" t="s">
        <v>596</v>
      </c>
      <c r="B663" s="8" t="s">
        <v>1644</v>
      </c>
      <c r="C663" s="8" t="s">
        <v>79</v>
      </c>
      <c r="D663" s="6">
        <v>30</v>
      </c>
      <c r="E663" s="8" t="s">
        <v>619</v>
      </c>
      <c r="F663" s="8" t="s">
        <v>1636</v>
      </c>
      <c r="G663" s="8" t="s">
        <v>1645</v>
      </c>
      <c r="H663" s="4">
        <v>-53150</v>
      </c>
      <c r="K663" s="4">
        <v>-53150</v>
      </c>
      <c r="L663" s="4">
        <v>-5694.64</v>
      </c>
      <c r="M663" s="4">
        <v>-47455.360000000001</v>
      </c>
      <c r="N663" s="4">
        <v>-53150</v>
      </c>
      <c r="Q663" s="8" t="s">
        <v>69</v>
      </c>
    </row>
    <row r="664" spans="1:17">
      <c r="A664" s="8" t="s">
        <v>596</v>
      </c>
      <c r="B664" s="8" t="s">
        <v>1646</v>
      </c>
      <c r="C664" s="8" t="s">
        <v>79</v>
      </c>
      <c r="D664" s="6">
        <v>30</v>
      </c>
      <c r="E664" s="8" t="s">
        <v>619</v>
      </c>
      <c r="F664" s="8" t="s">
        <v>1636</v>
      </c>
      <c r="G664" s="8" t="s">
        <v>1647</v>
      </c>
      <c r="H664" s="4">
        <v>-66750</v>
      </c>
      <c r="K664" s="4">
        <v>-66750</v>
      </c>
      <c r="L664" s="4">
        <v>-7151.79</v>
      </c>
      <c r="M664" s="4">
        <v>-59598.21</v>
      </c>
      <c r="N664" s="4">
        <v>-66750</v>
      </c>
      <c r="Q664" s="8" t="s">
        <v>69</v>
      </c>
    </row>
    <row r="665" spans="1:17">
      <c r="A665" s="8" t="s">
        <v>596</v>
      </c>
      <c r="B665" s="8" t="s">
        <v>1648</v>
      </c>
      <c r="C665" s="8" t="s">
        <v>79</v>
      </c>
      <c r="D665" s="6">
        <v>30</v>
      </c>
      <c r="E665" s="8" t="s">
        <v>619</v>
      </c>
      <c r="F665" s="8" t="s">
        <v>1636</v>
      </c>
      <c r="G665" s="8" t="s">
        <v>1649</v>
      </c>
      <c r="H665" s="4">
        <v>-122650</v>
      </c>
      <c r="K665" s="4">
        <v>-122650</v>
      </c>
      <c r="L665" s="4">
        <v>-13141.07</v>
      </c>
      <c r="M665" s="4">
        <v>-109508.93</v>
      </c>
      <c r="N665" s="4">
        <v>-122650</v>
      </c>
      <c r="Q665" s="8" t="s">
        <v>69</v>
      </c>
    </row>
    <row r="666" spans="1:17">
      <c r="A666" s="8" t="s">
        <v>1651</v>
      </c>
      <c r="B666" s="8" t="s">
        <v>1650</v>
      </c>
      <c r="C666" s="8" t="s">
        <v>60</v>
      </c>
      <c r="D666" s="6">
        <v>0</v>
      </c>
      <c r="E666" s="8" t="s">
        <v>1651</v>
      </c>
      <c r="F666" s="8" t="s">
        <v>1127</v>
      </c>
      <c r="G666" s="8" t="s">
        <v>1652</v>
      </c>
      <c r="H666" s="4">
        <v>-0.4</v>
      </c>
      <c r="K666" s="4">
        <v>-0.4</v>
      </c>
      <c r="M666" s="4">
        <v>-0.4</v>
      </c>
      <c r="N666" s="4">
        <v>-0.4</v>
      </c>
      <c r="Q666" s="8" t="s">
        <v>69</v>
      </c>
    </row>
    <row r="667" spans="1:17">
      <c r="A667" s="8" t="s">
        <v>689</v>
      </c>
      <c r="B667" s="8" t="s">
        <v>1653</v>
      </c>
      <c r="C667" s="8" t="s">
        <v>60</v>
      </c>
      <c r="D667" s="6">
        <v>0</v>
      </c>
      <c r="E667" s="8" t="s">
        <v>689</v>
      </c>
      <c r="F667" s="8" t="s">
        <v>790</v>
      </c>
      <c r="G667" s="8" t="s">
        <v>1654</v>
      </c>
      <c r="H667" s="4">
        <v>-0.2</v>
      </c>
      <c r="K667" s="4">
        <v>-0.2</v>
      </c>
      <c r="M667" s="4">
        <v>-0.2</v>
      </c>
      <c r="N667" s="4">
        <v>-0.2</v>
      </c>
      <c r="Q667" s="8" t="s">
        <v>56</v>
      </c>
    </row>
    <row r="668" spans="1:17">
      <c r="A668" s="8" t="s">
        <v>1117</v>
      </c>
      <c r="B668" s="8" t="s">
        <v>1655</v>
      </c>
      <c r="C668" s="8" t="s">
        <v>34</v>
      </c>
      <c r="D668" s="6">
        <v>60</v>
      </c>
      <c r="E668" s="8" t="s">
        <v>1139</v>
      </c>
      <c r="F668" s="8" t="s">
        <v>330</v>
      </c>
      <c r="G668" s="8" t="s">
        <v>1656</v>
      </c>
      <c r="H668" s="4">
        <v>-0.36</v>
      </c>
      <c r="K668" s="4">
        <v>-0.36</v>
      </c>
      <c r="M668" s="4">
        <v>-0.36</v>
      </c>
      <c r="N668" s="4">
        <v>-0.36</v>
      </c>
      <c r="Q668" s="8" t="s">
        <v>56</v>
      </c>
    </row>
    <row r="669" spans="1:17">
      <c r="A669" s="8" t="s">
        <v>1217</v>
      </c>
      <c r="B669" s="8" t="s">
        <v>1657</v>
      </c>
      <c r="C669" s="8" t="s">
        <v>146</v>
      </c>
      <c r="D669" s="6">
        <v>90</v>
      </c>
      <c r="E669" s="8" t="s">
        <v>1235</v>
      </c>
      <c r="F669" s="8" t="s">
        <v>1658</v>
      </c>
      <c r="G669" s="8" t="s">
        <v>1659</v>
      </c>
      <c r="H669" s="4">
        <v>-0.43</v>
      </c>
      <c r="K669" s="4">
        <v>-0.43</v>
      </c>
      <c r="M669" s="4">
        <v>-0.43</v>
      </c>
      <c r="N669" s="4">
        <v>-0.43</v>
      </c>
      <c r="Q669" s="8" t="s">
        <v>329</v>
      </c>
    </row>
    <row r="670" spans="1:17">
      <c r="A670" s="8" t="s">
        <v>1553</v>
      </c>
      <c r="B670" s="8" t="s">
        <v>1660</v>
      </c>
      <c r="C670" s="8" t="s">
        <v>18</v>
      </c>
      <c r="D670" s="6">
        <v>0</v>
      </c>
      <c r="E670" s="8" t="s">
        <v>1553</v>
      </c>
      <c r="F670" s="8" t="s">
        <v>1122</v>
      </c>
      <c r="G670" s="8" t="s">
        <v>1661</v>
      </c>
      <c r="H670" s="4">
        <v>-0.04</v>
      </c>
      <c r="K670" s="4">
        <v>-0.04</v>
      </c>
      <c r="M670" s="4">
        <v>-0.04</v>
      </c>
      <c r="N670" s="4">
        <v>-0.04</v>
      </c>
      <c r="Q670" s="8" t="s">
        <v>50</v>
      </c>
    </row>
    <row r="671" spans="1:17">
      <c r="A671" s="8" t="s">
        <v>1553</v>
      </c>
      <c r="B671" s="8" t="s">
        <v>1662</v>
      </c>
      <c r="C671" s="8" t="s">
        <v>104</v>
      </c>
      <c r="D671" s="6">
        <v>0</v>
      </c>
      <c r="E671" s="8" t="s">
        <v>1553</v>
      </c>
      <c r="F671" s="8" t="s">
        <v>490</v>
      </c>
      <c r="G671" s="8" t="s">
        <v>1663</v>
      </c>
      <c r="H671" s="4">
        <v>-0.54</v>
      </c>
      <c r="K671" s="4">
        <v>-0.54</v>
      </c>
      <c r="M671" s="4">
        <v>-0.54</v>
      </c>
      <c r="N671" s="4">
        <v>-0.54</v>
      </c>
      <c r="Q671" s="8" t="s">
        <v>46</v>
      </c>
    </row>
    <row r="672" spans="1:17">
      <c r="A672" s="8" t="s">
        <v>1553</v>
      </c>
      <c r="B672" s="8" t="s">
        <v>1664</v>
      </c>
      <c r="C672" s="8" t="s">
        <v>23</v>
      </c>
      <c r="D672" s="6">
        <v>30</v>
      </c>
      <c r="E672" s="8" t="s">
        <v>1569</v>
      </c>
      <c r="F672" s="8" t="s">
        <v>1665</v>
      </c>
      <c r="G672" s="8" t="s">
        <v>1666</v>
      </c>
      <c r="H672" s="4">
        <v>-0.69</v>
      </c>
      <c r="K672" s="4">
        <v>-0.69</v>
      </c>
      <c r="M672" s="4">
        <v>-0.69</v>
      </c>
      <c r="N672" s="4">
        <v>-0.69</v>
      </c>
      <c r="Q672" s="8" t="s">
        <v>30</v>
      </c>
    </row>
    <row r="673" spans="1:17">
      <c r="A673" s="8" t="s">
        <v>1553</v>
      </c>
      <c r="B673" s="8" t="s">
        <v>1667</v>
      </c>
      <c r="C673" s="8" t="s">
        <v>60</v>
      </c>
      <c r="D673" s="6">
        <v>0</v>
      </c>
      <c r="E673" s="8" t="s">
        <v>1553</v>
      </c>
      <c r="F673" s="8" t="s">
        <v>1668</v>
      </c>
      <c r="G673" s="8" t="s">
        <v>1669</v>
      </c>
      <c r="H673" s="4">
        <v>-0.02</v>
      </c>
      <c r="K673" s="4">
        <v>-0.02</v>
      </c>
      <c r="M673" s="4">
        <v>-0.02</v>
      </c>
      <c r="N673" s="4">
        <v>-0.02</v>
      </c>
      <c r="Q673" s="8" t="s">
        <v>180</v>
      </c>
    </row>
    <row r="674" spans="1:17">
      <c r="A674" s="8" t="s">
        <v>1553</v>
      </c>
      <c r="B674" s="8" t="s">
        <v>1670</v>
      </c>
      <c r="C674" s="8" t="s">
        <v>104</v>
      </c>
      <c r="D674" s="6">
        <v>0</v>
      </c>
      <c r="E674" s="8" t="s">
        <v>1553</v>
      </c>
      <c r="F674" s="8" t="s">
        <v>40</v>
      </c>
      <c r="G674" s="8" t="s">
        <v>1671</v>
      </c>
      <c r="H674" s="4">
        <v>-1</v>
      </c>
      <c r="K674" s="4">
        <v>-1</v>
      </c>
      <c r="M674" s="4">
        <v>-1</v>
      </c>
      <c r="N674" s="4">
        <v>-1</v>
      </c>
      <c r="Q674" s="8" t="s">
        <v>56</v>
      </c>
    </row>
    <row r="675" spans="1:17">
      <c r="A675" s="8" t="s">
        <v>1553</v>
      </c>
      <c r="B675" s="8" t="s">
        <v>1672</v>
      </c>
      <c r="C675" s="8" t="s">
        <v>60</v>
      </c>
      <c r="D675" s="6">
        <v>0</v>
      </c>
      <c r="E675" s="8" t="s">
        <v>1553</v>
      </c>
      <c r="F675" s="8" t="s">
        <v>1097</v>
      </c>
      <c r="G675" s="8" t="s">
        <v>1673</v>
      </c>
      <c r="H675" s="4">
        <v>-0.5</v>
      </c>
      <c r="K675" s="4">
        <v>-0.5</v>
      </c>
      <c r="M675" s="4">
        <v>-0.5</v>
      </c>
      <c r="N675" s="4">
        <v>-0.5</v>
      </c>
      <c r="Q675" s="8" t="s">
        <v>30</v>
      </c>
    </row>
    <row r="676" spans="1:17">
      <c r="A676" s="8" t="s">
        <v>93</v>
      </c>
      <c r="B676" s="8" t="s">
        <v>1674</v>
      </c>
      <c r="C676" s="8" t="s">
        <v>237</v>
      </c>
      <c r="D676" s="6">
        <v>60</v>
      </c>
      <c r="E676" s="8" t="s">
        <v>136</v>
      </c>
      <c r="F676" s="8" t="s">
        <v>303</v>
      </c>
      <c r="G676" s="8" t="s">
        <v>1675</v>
      </c>
      <c r="H676" s="4">
        <v>-108810.63</v>
      </c>
      <c r="K676" s="4">
        <v>-108810.63</v>
      </c>
      <c r="L676" s="4">
        <v>-97152.35</v>
      </c>
      <c r="M676" s="4">
        <v>-11658.28</v>
      </c>
      <c r="N676" s="4">
        <v>-108810.63</v>
      </c>
      <c r="Q676" s="8" t="s">
        <v>139</v>
      </c>
    </row>
    <row r="677" spans="1:17">
      <c r="A677" s="8" t="s">
        <v>368</v>
      </c>
      <c r="B677" s="8" t="s">
        <v>1676</v>
      </c>
      <c r="C677" s="8" t="s">
        <v>60</v>
      </c>
      <c r="D677" s="6">
        <v>0</v>
      </c>
      <c r="E677" s="8" t="s">
        <v>368</v>
      </c>
      <c r="F677" s="8" t="s">
        <v>412</v>
      </c>
      <c r="G677" s="8" t="s">
        <v>1677</v>
      </c>
      <c r="H677" s="4">
        <v>-153648</v>
      </c>
      <c r="K677" s="4">
        <v>-153648</v>
      </c>
      <c r="L677" s="4">
        <v>-16462.29</v>
      </c>
      <c r="M677" s="4">
        <v>-137185.71</v>
      </c>
      <c r="N677" s="4">
        <v>-153648</v>
      </c>
      <c r="Q677" s="8" t="s">
        <v>69</v>
      </c>
    </row>
    <row r="678" spans="1:17">
      <c r="A678" s="8" t="s">
        <v>596</v>
      </c>
      <c r="B678" s="8" t="s">
        <v>1678</v>
      </c>
      <c r="C678" s="8" t="s">
        <v>162</v>
      </c>
      <c r="D678" s="6">
        <v>90</v>
      </c>
      <c r="E678" s="8" t="s">
        <v>597</v>
      </c>
      <c r="F678" s="8" t="s">
        <v>543</v>
      </c>
      <c r="G678" s="8" t="s">
        <v>1679</v>
      </c>
      <c r="H678" s="4">
        <v>-93820</v>
      </c>
      <c r="K678" s="4">
        <v>-93820</v>
      </c>
      <c r="L678" s="4">
        <v>-10052.14</v>
      </c>
      <c r="M678" s="4">
        <v>-83767.86</v>
      </c>
      <c r="N678" s="4">
        <v>-93820</v>
      </c>
      <c r="Q678" s="8" t="s">
        <v>56</v>
      </c>
    </row>
    <row r="679" spans="1:17">
      <c r="A679" s="8" t="s">
        <v>596</v>
      </c>
      <c r="B679" s="8" t="s">
        <v>1680</v>
      </c>
      <c r="C679" s="8" t="s">
        <v>29</v>
      </c>
      <c r="D679" s="6">
        <v>0</v>
      </c>
      <c r="E679" s="8" t="s">
        <v>596</v>
      </c>
      <c r="F679" s="8" t="s">
        <v>40</v>
      </c>
      <c r="G679" s="8" t="s">
        <v>1681</v>
      </c>
      <c r="H679" s="4">
        <v>-1008800</v>
      </c>
      <c r="K679" s="4">
        <v>-1008800</v>
      </c>
      <c r="L679" s="4">
        <v>-108085.71</v>
      </c>
      <c r="M679" s="4">
        <v>-900714.29</v>
      </c>
      <c r="N679" s="4">
        <v>-1008800</v>
      </c>
      <c r="Q679" s="8" t="s">
        <v>19</v>
      </c>
    </row>
    <row r="680" spans="1:17">
      <c r="A680" s="8" t="s">
        <v>596</v>
      </c>
      <c r="B680" s="8" t="s">
        <v>1682</v>
      </c>
      <c r="C680" s="8" t="s">
        <v>29</v>
      </c>
      <c r="D680" s="6">
        <v>0</v>
      </c>
      <c r="E680" s="8" t="s">
        <v>596</v>
      </c>
      <c r="F680" s="8" t="s">
        <v>40</v>
      </c>
      <c r="G680" s="8" t="s">
        <v>1683</v>
      </c>
      <c r="H680" s="4">
        <v>-70000</v>
      </c>
      <c r="K680" s="4">
        <v>-70000</v>
      </c>
      <c r="L680" s="4">
        <v>-7500</v>
      </c>
      <c r="M680" s="4">
        <v>-62500</v>
      </c>
      <c r="N680" s="4">
        <v>-70000</v>
      </c>
      <c r="Q680" s="8" t="s">
        <v>30</v>
      </c>
    </row>
    <row r="681" spans="1:17">
      <c r="A681" s="8" t="s">
        <v>637</v>
      </c>
      <c r="B681" s="8" t="s">
        <v>1684</v>
      </c>
      <c r="C681" s="8" t="s">
        <v>162</v>
      </c>
      <c r="D681" s="6">
        <v>90</v>
      </c>
      <c r="E681" s="8" t="s">
        <v>655</v>
      </c>
      <c r="F681" s="8" t="s">
        <v>672</v>
      </c>
      <c r="G681" s="8" t="s">
        <v>1685</v>
      </c>
      <c r="H681" s="4">
        <v>-11760</v>
      </c>
      <c r="K681" s="4">
        <v>-11760</v>
      </c>
      <c r="L681" s="4">
        <v>-1260</v>
      </c>
      <c r="M681" s="4">
        <v>-10500</v>
      </c>
      <c r="N681" s="4">
        <v>-11760</v>
      </c>
      <c r="Q681" s="8" t="s">
        <v>30</v>
      </c>
    </row>
    <row r="682" spans="1:17">
      <c r="A682" s="8" t="s">
        <v>637</v>
      </c>
      <c r="B682" s="8" t="s">
        <v>1686</v>
      </c>
      <c r="C682" s="8" t="s">
        <v>146</v>
      </c>
      <c r="D682" s="6">
        <v>90</v>
      </c>
      <c r="E682" s="8" t="s">
        <v>655</v>
      </c>
      <c r="F682" s="8" t="s">
        <v>1687</v>
      </c>
      <c r="G682" s="8" t="s">
        <v>1688</v>
      </c>
      <c r="H682" s="4">
        <v>-44226</v>
      </c>
      <c r="K682" s="4">
        <v>-44226</v>
      </c>
      <c r="L682" s="4">
        <v>-4738.5</v>
      </c>
      <c r="M682" s="4">
        <v>-39487.5</v>
      </c>
      <c r="N682" s="4">
        <v>-44226</v>
      </c>
      <c r="Q682" s="8" t="s">
        <v>19</v>
      </c>
    </row>
    <row r="683" spans="1:17">
      <c r="A683" s="8" t="s">
        <v>1651</v>
      </c>
      <c r="B683" s="8" t="s">
        <v>1689</v>
      </c>
      <c r="C683" s="8" t="s">
        <v>237</v>
      </c>
      <c r="D683" s="6">
        <v>60</v>
      </c>
      <c r="E683" s="8" t="s">
        <v>1690</v>
      </c>
      <c r="F683" s="8" t="s">
        <v>303</v>
      </c>
      <c r="G683" s="8" t="s">
        <v>1691</v>
      </c>
      <c r="H683" s="4">
        <v>-45284.47</v>
      </c>
      <c r="K683" s="4">
        <v>-45284.47</v>
      </c>
      <c r="L683" s="4">
        <v>-4851.91</v>
      </c>
      <c r="M683" s="4">
        <v>-40432.559999999998</v>
      </c>
      <c r="N683" s="4">
        <v>-45284.47</v>
      </c>
      <c r="Q683" s="8" t="s">
        <v>69</v>
      </c>
    </row>
    <row r="684" spans="1:17">
      <c r="A684" s="8" t="s">
        <v>1651</v>
      </c>
      <c r="B684" s="8" t="s">
        <v>1692</v>
      </c>
      <c r="C684" s="8" t="s">
        <v>237</v>
      </c>
      <c r="D684" s="6">
        <v>60</v>
      </c>
      <c r="E684" s="8" t="s">
        <v>1690</v>
      </c>
      <c r="F684" s="8" t="s">
        <v>303</v>
      </c>
      <c r="G684" s="8" t="s">
        <v>1693</v>
      </c>
      <c r="H684" s="4">
        <v>-28851.599999999999</v>
      </c>
      <c r="K684" s="4">
        <v>-28851.599999999999</v>
      </c>
      <c r="L684" s="4">
        <v>-3091.24</v>
      </c>
      <c r="M684" s="4">
        <v>-25760.36</v>
      </c>
      <c r="N684" s="4">
        <v>-28851.599999999999</v>
      </c>
      <c r="Q684" s="8" t="s">
        <v>69</v>
      </c>
    </row>
    <row r="685" spans="1:17">
      <c r="A685" s="8" t="s">
        <v>689</v>
      </c>
      <c r="B685" s="8" t="s">
        <v>1694</v>
      </c>
      <c r="C685" s="8" t="s">
        <v>151</v>
      </c>
      <c r="D685" s="6">
        <v>60</v>
      </c>
      <c r="E685" s="8" t="s">
        <v>692</v>
      </c>
      <c r="F685" s="8" t="s">
        <v>728</v>
      </c>
      <c r="G685" s="8" t="s">
        <v>1695</v>
      </c>
      <c r="H685" s="4">
        <v>-313000</v>
      </c>
      <c r="K685" s="4">
        <v>-313000</v>
      </c>
      <c r="L685" s="4">
        <v>-33535.71</v>
      </c>
      <c r="M685" s="4">
        <v>-279464.28999999998</v>
      </c>
      <c r="N685" s="4">
        <v>-313000</v>
      </c>
      <c r="Q685" s="8" t="s">
        <v>69</v>
      </c>
    </row>
    <row r="686" spans="1:17">
      <c r="A686" s="8" t="s">
        <v>769</v>
      </c>
      <c r="B686" s="8" t="s">
        <v>1696</v>
      </c>
      <c r="C686" s="8" t="s">
        <v>68</v>
      </c>
      <c r="D686" s="6">
        <v>60</v>
      </c>
      <c r="E686" s="8" t="s">
        <v>770</v>
      </c>
      <c r="F686" s="8" t="s">
        <v>574</v>
      </c>
      <c r="G686" s="8" t="s">
        <v>1697</v>
      </c>
      <c r="H686" s="4">
        <v>-70510</v>
      </c>
      <c r="K686" s="4">
        <v>-70510</v>
      </c>
      <c r="L686" s="4">
        <v>-7554.64</v>
      </c>
      <c r="M686" s="4">
        <v>-62955.360000000001</v>
      </c>
      <c r="N686" s="4">
        <v>-70510</v>
      </c>
      <c r="Q686" s="8" t="s">
        <v>727</v>
      </c>
    </row>
    <row r="687" spans="1:17">
      <c r="A687" s="8" t="s">
        <v>769</v>
      </c>
      <c r="B687" s="8" t="s">
        <v>1698</v>
      </c>
      <c r="C687" s="8" t="s">
        <v>151</v>
      </c>
      <c r="D687" s="6">
        <v>60</v>
      </c>
      <c r="E687" s="8" t="s">
        <v>770</v>
      </c>
      <c r="F687" s="8" t="s">
        <v>574</v>
      </c>
      <c r="G687" s="8" t="s">
        <v>1699</v>
      </c>
      <c r="H687" s="4">
        <v>-70510</v>
      </c>
      <c r="K687" s="4">
        <v>-70510</v>
      </c>
      <c r="L687" s="4">
        <v>-7554.64</v>
      </c>
      <c r="M687" s="4">
        <v>-62955.360000000001</v>
      </c>
      <c r="N687" s="4">
        <v>-70510</v>
      </c>
      <c r="Q687" s="8" t="s">
        <v>69</v>
      </c>
    </row>
    <row r="688" spans="1:17">
      <c r="A688" s="8" t="s">
        <v>866</v>
      </c>
      <c r="B688" s="8" t="s">
        <v>1700</v>
      </c>
      <c r="C688" s="8" t="s">
        <v>369</v>
      </c>
      <c r="D688" s="6">
        <v>30</v>
      </c>
      <c r="E688" s="8" t="s">
        <v>880</v>
      </c>
      <c r="F688" s="8" t="s">
        <v>371</v>
      </c>
      <c r="G688" s="8" t="s">
        <v>1701</v>
      </c>
      <c r="H688" s="4">
        <v>-128240</v>
      </c>
      <c r="K688" s="4">
        <v>-128240</v>
      </c>
      <c r="L688" s="4">
        <v>-13740</v>
      </c>
      <c r="M688" s="4">
        <v>-114500</v>
      </c>
      <c r="N688" s="4">
        <v>-128240</v>
      </c>
      <c r="Q688" s="8" t="s">
        <v>69</v>
      </c>
    </row>
    <row r="689" spans="1:17">
      <c r="A689" s="8" t="s">
        <v>866</v>
      </c>
      <c r="B689" s="8" t="s">
        <v>1702</v>
      </c>
      <c r="C689" s="8" t="s">
        <v>237</v>
      </c>
      <c r="D689" s="6">
        <v>60</v>
      </c>
      <c r="E689" s="8" t="s">
        <v>873</v>
      </c>
      <c r="F689" s="8" t="s">
        <v>1703</v>
      </c>
      <c r="G689" s="8" t="s">
        <v>1704</v>
      </c>
      <c r="H689" s="4">
        <v>-10914.5</v>
      </c>
      <c r="K689" s="4">
        <v>-10914.5</v>
      </c>
      <c r="L689" s="4">
        <v>-1169.4100000000001</v>
      </c>
      <c r="M689" s="4">
        <v>-9745.09</v>
      </c>
      <c r="N689" s="4">
        <v>-10914.5</v>
      </c>
      <c r="Q689" s="8" t="s">
        <v>139</v>
      </c>
    </row>
    <row r="690" spans="1:17">
      <c r="A690" s="8" t="s">
        <v>915</v>
      </c>
      <c r="B690" s="8" t="s">
        <v>1705</v>
      </c>
      <c r="C690" s="8" t="s">
        <v>73</v>
      </c>
      <c r="D690" s="6">
        <v>30</v>
      </c>
      <c r="E690" s="8" t="s">
        <v>916</v>
      </c>
      <c r="F690" s="8" t="s">
        <v>812</v>
      </c>
      <c r="G690" s="8" t="s">
        <v>1706</v>
      </c>
      <c r="H690" s="4">
        <v>-127702</v>
      </c>
      <c r="K690" s="4">
        <v>-127702</v>
      </c>
      <c r="L690" s="4">
        <v>-13682.36</v>
      </c>
      <c r="M690" s="4">
        <v>-114019.64</v>
      </c>
      <c r="N690" s="4">
        <v>-127702</v>
      </c>
      <c r="Q690" s="8" t="s">
        <v>759</v>
      </c>
    </row>
    <row r="691" spans="1:17">
      <c r="A691" s="8" t="s">
        <v>1048</v>
      </c>
      <c r="B691" s="8" t="s">
        <v>1707</v>
      </c>
      <c r="C691" s="8" t="s">
        <v>1074</v>
      </c>
      <c r="D691" s="6">
        <v>0</v>
      </c>
      <c r="E691" s="8" t="s">
        <v>1048</v>
      </c>
      <c r="F691" s="8" t="s">
        <v>1075</v>
      </c>
      <c r="G691" s="8" t="s">
        <v>1708</v>
      </c>
      <c r="H691" s="4">
        <v>-901423.6</v>
      </c>
      <c r="K691" s="4">
        <v>-901423.6</v>
      </c>
      <c r="L691" s="4">
        <v>-96581.1</v>
      </c>
      <c r="M691" s="4">
        <v>-804842.5</v>
      </c>
      <c r="N691" s="4">
        <v>-901423.6</v>
      </c>
      <c r="Q691" s="8" t="s">
        <v>56</v>
      </c>
    </row>
    <row r="692" spans="1:17">
      <c r="A692" s="8" t="s">
        <v>1048</v>
      </c>
      <c r="B692" s="8" t="s">
        <v>1709</v>
      </c>
      <c r="C692" s="8" t="s">
        <v>333</v>
      </c>
      <c r="D692" s="6">
        <v>30</v>
      </c>
      <c r="E692" s="8" t="s">
        <v>1056</v>
      </c>
      <c r="F692" s="8" t="s">
        <v>340</v>
      </c>
      <c r="G692" s="8" t="s">
        <v>1710</v>
      </c>
      <c r="H692" s="4">
        <v>-196112</v>
      </c>
      <c r="K692" s="4">
        <v>-196112</v>
      </c>
      <c r="L692" s="4">
        <v>-21012</v>
      </c>
      <c r="M692" s="4">
        <v>-175100</v>
      </c>
      <c r="N692" s="4">
        <v>-196112</v>
      </c>
      <c r="Q692" s="8" t="s">
        <v>56</v>
      </c>
    </row>
    <row r="693" spans="1:17">
      <c r="A693" s="8" t="s">
        <v>1048</v>
      </c>
      <c r="B693" s="8" t="s">
        <v>1711</v>
      </c>
      <c r="C693" s="8" t="s">
        <v>333</v>
      </c>
      <c r="D693" s="6">
        <v>30</v>
      </c>
      <c r="E693" s="8" t="s">
        <v>1056</v>
      </c>
      <c r="F693" s="8" t="s">
        <v>340</v>
      </c>
      <c r="G693" s="8" t="s">
        <v>1712</v>
      </c>
      <c r="H693" s="4">
        <v>-309050</v>
      </c>
      <c r="K693" s="4">
        <v>-309050</v>
      </c>
      <c r="L693" s="4">
        <v>-33112.5</v>
      </c>
      <c r="M693" s="4">
        <v>-275937.5</v>
      </c>
      <c r="N693" s="4">
        <v>-309050</v>
      </c>
      <c r="Q693" s="8" t="s">
        <v>270</v>
      </c>
    </row>
    <row r="694" spans="1:17">
      <c r="A694" s="8" t="s">
        <v>1048</v>
      </c>
      <c r="B694" s="8" t="s">
        <v>1713</v>
      </c>
      <c r="C694" s="8" t="s">
        <v>237</v>
      </c>
      <c r="D694" s="6">
        <v>60</v>
      </c>
      <c r="E694" s="8" t="s">
        <v>1067</v>
      </c>
      <c r="F694" s="8" t="s">
        <v>337</v>
      </c>
      <c r="G694" s="8" t="s">
        <v>1714</v>
      </c>
      <c r="H694" s="4">
        <v>-143215</v>
      </c>
      <c r="K694" s="4">
        <v>-143215</v>
      </c>
      <c r="L694" s="4">
        <v>-15344.46</v>
      </c>
      <c r="M694" s="4">
        <v>-127870.54</v>
      </c>
      <c r="N694" s="4">
        <v>-143215</v>
      </c>
      <c r="Q694" s="8" t="s">
        <v>270</v>
      </c>
    </row>
    <row r="695" spans="1:17">
      <c r="A695" s="8" t="s">
        <v>1287</v>
      </c>
      <c r="B695" s="8" t="s">
        <v>1715</v>
      </c>
      <c r="C695" s="8" t="s">
        <v>151</v>
      </c>
      <c r="D695" s="6">
        <v>60</v>
      </c>
      <c r="E695" s="8" t="s">
        <v>1331</v>
      </c>
      <c r="F695" s="8" t="s">
        <v>264</v>
      </c>
      <c r="G695" s="8" t="s">
        <v>1716</v>
      </c>
      <c r="H695" s="4">
        <v>-736</v>
      </c>
      <c r="K695" s="4">
        <v>-736</v>
      </c>
      <c r="L695" s="4">
        <v>-78.86</v>
      </c>
      <c r="M695" s="4">
        <v>-657.14</v>
      </c>
      <c r="N695" s="4">
        <v>-736</v>
      </c>
      <c r="Q695" s="8" t="s">
        <v>270</v>
      </c>
    </row>
    <row r="696" spans="1:17">
      <c r="A696" s="8" t="s">
        <v>1372</v>
      </c>
      <c r="B696" s="8" t="s">
        <v>1717</v>
      </c>
      <c r="C696" s="8" t="s">
        <v>333</v>
      </c>
      <c r="D696" s="6">
        <v>30</v>
      </c>
      <c r="E696" s="8" t="s">
        <v>1389</v>
      </c>
      <c r="F696" s="8" t="s">
        <v>1262</v>
      </c>
      <c r="G696" s="8" t="s">
        <v>1718</v>
      </c>
      <c r="H696" s="4">
        <v>-261896</v>
      </c>
      <c r="K696" s="4">
        <v>-261896</v>
      </c>
      <c r="L696" s="4">
        <v>-28060.29</v>
      </c>
      <c r="M696" s="4">
        <v>-233835.71</v>
      </c>
      <c r="N696" s="4">
        <v>-261896</v>
      </c>
      <c r="Q696" s="8" t="s">
        <v>139</v>
      </c>
    </row>
    <row r="697" spans="1:17">
      <c r="A697" s="8" t="s">
        <v>1372</v>
      </c>
      <c r="B697" s="8" t="s">
        <v>1719</v>
      </c>
      <c r="C697" s="8" t="s">
        <v>333</v>
      </c>
      <c r="D697" s="6">
        <v>30</v>
      </c>
      <c r="E697" s="8" t="s">
        <v>1389</v>
      </c>
      <c r="F697" s="8" t="s">
        <v>1262</v>
      </c>
      <c r="G697" s="8" t="s">
        <v>1720</v>
      </c>
      <c r="H697" s="4">
        <v>-212525</v>
      </c>
      <c r="K697" s="4">
        <v>-212525</v>
      </c>
      <c r="L697" s="4">
        <v>-22770.54</v>
      </c>
      <c r="M697" s="4">
        <v>-189754.46</v>
      </c>
      <c r="N697" s="4">
        <v>-212525</v>
      </c>
      <c r="Q697" s="8" t="s">
        <v>270</v>
      </c>
    </row>
    <row r="698" spans="1:17">
      <c r="A698" s="8" t="s">
        <v>1372</v>
      </c>
      <c r="B698" s="8" t="s">
        <v>1721</v>
      </c>
      <c r="C698" s="8" t="s">
        <v>34</v>
      </c>
      <c r="D698" s="6">
        <v>60</v>
      </c>
      <c r="E698" s="8" t="s">
        <v>1373</v>
      </c>
      <c r="F698" s="8" t="s">
        <v>1226</v>
      </c>
      <c r="G698" s="8" t="s">
        <v>1722</v>
      </c>
      <c r="H698" s="4">
        <v>-9261</v>
      </c>
      <c r="K698" s="4">
        <v>-9261</v>
      </c>
      <c r="L698" s="4">
        <v>-992.25</v>
      </c>
      <c r="M698" s="4">
        <v>-8268.75</v>
      </c>
      <c r="N698" s="4">
        <v>-9261</v>
      </c>
      <c r="Q698" s="8" t="s">
        <v>270</v>
      </c>
    </row>
    <row r="699" spans="1:17">
      <c r="A699" s="8" t="s">
        <v>1467</v>
      </c>
      <c r="B699" s="8" t="s">
        <v>1723</v>
      </c>
      <c r="C699" s="8" t="s">
        <v>333</v>
      </c>
      <c r="D699" s="6">
        <v>30</v>
      </c>
      <c r="E699" s="8" t="s">
        <v>1492</v>
      </c>
      <c r="F699" s="8" t="s">
        <v>1262</v>
      </c>
      <c r="G699" s="8" t="s">
        <v>1724</v>
      </c>
      <c r="H699" s="4">
        <v>-261896</v>
      </c>
      <c r="K699" s="4">
        <v>-261896</v>
      </c>
      <c r="L699" s="4">
        <v>-28060.29</v>
      </c>
      <c r="M699" s="4">
        <v>-233835.71</v>
      </c>
      <c r="N699" s="4">
        <v>-261896</v>
      </c>
      <c r="Q699" s="8" t="s">
        <v>46</v>
      </c>
    </row>
    <row r="700" spans="1:17">
      <c r="A700" s="8" t="s">
        <v>1467</v>
      </c>
      <c r="B700" s="8" t="s">
        <v>1725</v>
      </c>
      <c r="C700" s="8" t="s">
        <v>333</v>
      </c>
      <c r="D700" s="6">
        <v>30</v>
      </c>
      <c r="E700" s="8" t="s">
        <v>1492</v>
      </c>
      <c r="F700" s="8" t="s">
        <v>1262</v>
      </c>
      <c r="G700" s="8" t="s">
        <v>1726</v>
      </c>
      <c r="H700" s="4">
        <v>-212525</v>
      </c>
      <c r="K700" s="4">
        <v>-212525</v>
      </c>
      <c r="L700" s="4">
        <v>-22770.54</v>
      </c>
      <c r="M700" s="4">
        <v>-189754.46</v>
      </c>
      <c r="N700" s="4">
        <v>-212525</v>
      </c>
      <c r="Q700" s="8" t="s">
        <v>270</v>
      </c>
    </row>
    <row r="701" spans="1:17">
      <c r="A701" s="8" t="s">
        <v>1553</v>
      </c>
      <c r="B701" s="8" t="s">
        <v>1727</v>
      </c>
      <c r="C701" s="8" t="s">
        <v>64</v>
      </c>
      <c r="D701" s="6">
        <v>30</v>
      </c>
      <c r="E701" s="8" t="s">
        <v>1569</v>
      </c>
      <c r="F701" s="8" t="s">
        <v>26</v>
      </c>
      <c r="G701" s="8" t="s">
        <v>1728</v>
      </c>
      <c r="H701" s="4">
        <v>-299574</v>
      </c>
      <c r="K701" s="4">
        <v>-299574</v>
      </c>
      <c r="L701" s="4">
        <v>-32097.21</v>
      </c>
      <c r="M701" s="4">
        <v>-267476.78999999998</v>
      </c>
      <c r="N701" s="4">
        <v>-299574</v>
      </c>
      <c r="Q701" s="8" t="s">
        <v>270</v>
      </c>
    </row>
    <row r="702" spans="1:17">
      <c r="A702" s="8" t="s">
        <v>1553</v>
      </c>
      <c r="B702" s="8" t="s">
        <v>1729</v>
      </c>
      <c r="C702" s="8" t="s">
        <v>18</v>
      </c>
      <c r="D702" s="6">
        <v>0</v>
      </c>
      <c r="E702" s="8" t="s">
        <v>1553</v>
      </c>
      <c r="F702" s="8" t="s">
        <v>61</v>
      </c>
      <c r="G702" s="8" t="s">
        <v>1730</v>
      </c>
      <c r="H702" s="4">
        <v>-251365.1</v>
      </c>
      <c r="K702" s="4">
        <v>-251365.1</v>
      </c>
      <c r="L702" s="4">
        <v>-26931.98</v>
      </c>
      <c r="M702" s="4">
        <v>-224433.12</v>
      </c>
      <c r="N702" s="4">
        <v>-251365.1</v>
      </c>
      <c r="Q702" s="8" t="s">
        <v>25</v>
      </c>
    </row>
    <row r="703" spans="1:17">
      <c r="A703" s="8" t="s">
        <v>1553</v>
      </c>
      <c r="B703" s="8" t="s">
        <v>1731</v>
      </c>
      <c r="C703" s="8" t="s">
        <v>681</v>
      </c>
      <c r="D703" s="6">
        <v>0</v>
      </c>
      <c r="E703" s="8" t="s">
        <v>1553</v>
      </c>
      <c r="F703" s="8" t="s">
        <v>682</v>
      </c>
      <c r="G703" s="8" t="s">
        <v>1732</v>
      </c>
      <c r="H703" s="4">
        <v>-27968</v>
      </c>
      <c r="K703" s="4">
        <v>-27968</v>
      </c>
      <c r="L703" s="4">
        <v>-2996.57</v>
      </c>
      <c r="M703" s="4">
        <v>-24971.43</v>
      </c>
      <c r="N703" s="4">
        <v>-27968</v>
      </c>
      <c r="Q703" s="8" t="s">
        <v>56</v>
      </c>
    </row>
    <row r="704" spans="1:17">
      <c r="A704" s="8" t="s">
        <v>1553</v>
      </c>
      <c r="B704" s="8" t="s">
        <v>1733</v>
      </c>
      <c r="C704" s="8" t="s">
        <v>23</v>
      </c>
      <c r="D704" s="6">
        <v>30</v>
      </c>
      <c r="E704" s="8" t="s">
        <v>1569</v>
      </c>
      <c r="F704" s="8" t="s">
        <v>1734</v>
      </c>
      <c r="G704" s="8" t="s">
        <v>1735</v>
      </c>
      <c r="H704" s="4">
        <v>-68600</v>
      </c>
      <c r="K704" s="4">
        <v>-68600</v>
      </c>
      <c r="L704" s="4">
        <v>-7350</v>
      </c>
      <c r="M704" s="4">
        <v>-61250</v>
      </c>
      <c r="N704" s="4">
        <v>-68600</v>
      </c>
      <c r="Q704" s="8" t="s">
        <v>46</v>
      </c>
    </row>
    <row r="705" spans="1:17">
      <c r="A705" s="8" t="s">
        <v>1553</v>
      </c>
      <c r="B705" s="8" t="s">
        <v>1736</v>
      </c>
      <c r="C705" s="8" t="s">
        <v>237</v>
      </c>
      <c r="D705" s="6">
        <v>60</v>
      </c>
      <c r="E705" s="8" t="s">
        <v>1557</v>
      </c>
      <c r="F705" s="8" t="s">
        <v>303</v>
      </c>
      <c r="G705" s="8" t="s">
        <v>1737</v>
      </c>
      <c r="H705" s="4">
        <v>-10453.35</v>
      </c>
      <c r="K705" s="4">
        <v>-10453.35</v>
      </c>
      <c r="L705" s="4">
        <v>-1120</v>
      </c>
      <c r="M705" s="4">
        <v>-9333.35</v>
      </c>
      <c r="N705" s="4">
        <v>-10453.35</v>
      </c>
      <c r="Q705" s="8" t="s">
        <v>139</v>
      </c>
    </row>
    <row r="706" spans="1:17">
      <c r="A706" s="8" t="s">
        <v>505</v>
      </c>
      <c r="B706" s="8" t="s">
        <v>1738</v>
      </c>
      <c r="C706" s="8" t="s">
        <v>60</v>
      </c>
      <c r="D706" s="6">
        <v>0</v>
      </c>
      <c r="E706" s="8" t="s">
        <v>505</v>
      </c>
      <c r="F706" s="8" t="s">
        <v>196</v>
      </c>
      <c r="G706" s="8" t="s">
        <v>1739</v>
      </c>
      <c r="H706" s="5">
        <v>1250</v>
      </c>
      <c r="K706" s="5">
        <v>1250</v>
      </c>
      <c r="M706" s="5">
        <v>1250</v>
      </c>
      <c r="N706" s="5">
        <v>1250</v>
      </c>
      <c r="Q706" s="8" t="s">
        <v>69</v>
      </c>
    </row>
    <row r="707" spans="1:17">
      <c r="A707" s="8" t="s">
        <v>505</v>
      </c>
      <c r="B707" s="8" t="s">
        <v>1740</v>
      </c>
      <c r="C707" s="8" t="s">
        <v>60</v>
      </c>
      <c r="D707" s="6">
        <v>0</v>
      </c>
      <c r="E707" s="8" t="s">
        <v>505</v>
      </c>
      <c r="F707" s="8" t="s">
        <v>190</v>
      </c>
      <c r="G707" s="8" t="s">
        <v>1741</v>
      </c>
      <c r="H707" s="7">
        <v>500</v>
      </c>
      <c r="K707" s="7">
        <v>500</v>
      </c>
      <c r="M707" s="7">
        <v>500</v>
      </c>
      <c r="N707" s="7">
        <v>500</v>
      </c>
      <c r="Q707" s="8" t="s">
        <v>56</v>
      </c>
    </row>
    <row r="708" spans="1:17">
      <c r="A708" s="8" t="s">
        <v>505</v>
      </c>
      <c r="B708" s="8" t="s">
        <v>1742</v>
      </c>
      <c r="C708" s="8" t="s">
        <v>60</v>
      </c>
      <c r="D708" s="6">
        <v>0</v>
      </c>
      <c r="E708" s="8" t="s">
        <v>505</v>
      </c>
      <c r="F708" s="8" t="s">
        <v>190</v>
      </c>
      <c r="G708" s="8" t="s">
        <v>1743</v>
      </c>
      <c r="H708" s="5">
        <v>2250</v>
      </c>
      <c r="K708" s="5">
        <v>2250</v>
      </c>
      <c r="M708" s="5">
        <v>2250</v>
      </c>
      <c r="N708" s="5">
        <v>2250</v>
      </c>
      <c r="Q708" s="8" t="s">
        <v>56</v>
      </c>
    </row>
    <row r="709" spans="1:17">
      <c r="A709" s="8" t="s">
        <v>637</v>
      </c>
      <c r="B709" s="8" t="s">
        <v>1744</v>
      </c>
      <c r="C709" s="8" t="s">
        <v>60</v>
      </c>
      <c r="D709" s="6">
        <v>0</v>
      </c>
      <c r="E709" s="8" t="s">
        <v>637</v>
      </c>
      <c r="F709" s="8" t="s">
        <v>412</v>
      </c>
      <c r="G709" s="8" t="s">
        <v>1745</v>
      </c>
      <c r="H709" s="5">
        <v>2800</v>
      </c>
      <c r="K709" s="5">
        <v>2800</v>
      </c>
      <c r="M709" s="5">
        <v>2800</v>
      </c>
      <c r="N709" s="5">
        <v>2800</v>
      </c>
      <c r="Q709" s="8" t="s">
        <v>56</v>
      </c>
    </row>
    <row r="710" spans="1:17">
      <c r="A710" s="8" t="s">
        <v>1651</v>
      </c>
      <c r="B710" s="8" t="s">
        <v>1746</v>
      </c>
      <c r="C710" s="8" t="s">
        <v>18</v>
      </c>
      <c r="D710" s="6">
        <v>0</v>
      </c>
      <c r="E710" s="8" t="s">
        <v>1651</v>
      </c>
      <c r="F710" s="8" t="s">
        <v>1127</v>
      </c>
      <c r="G710" s="8" t="s">
        <v>1747</v>
      </c>
      <c r="H710" s="5">
        <v>1500</v>
      </c>
      <c r="K710" s="5">
        <v>1500</v>
      </c>
      <c r="M710" s="5">
        <v>1500</v>
      </c>
      <c r="N710" s="5">
        <v>1500</v>
      </c>
      <c r="Q710" s="8" t="s">
        <v>56</v>
      </c>
    </row>
    <row r="711" spans="1:17">
      <c r="A711" s="8" t="s">
        <v>689</v>
      </c>
      <c r="B711" s="8" t="s">
        <v>1748</v>
      </c>
      <c r="E711" s="8" t="s">
        <v>689</v>
      </c>
      <c r="F711" s="8" t="s">
        <v>809</v>
      </c>
      <c r="G711" s="8" t="s">
        <v>1749</v>
      </c>
      <c r="H711" s="5">
        <v>6000</v>
      </c>
      <c r="K711" s="5">
        <v>6000</v>
      </c>
      <c r="M711" s="5">
        <v>6000</v>
      </c>
      <c r="N711" s="5">
        <v>6000</v>
      </c>
      <c r="Q711" s="8" t="s">
        <v>56</v>
      </c>
    </row>
    <row r="712" spans="1:17">
      <c r="A712" s="8" t="s">
        <v>866</v>
      </c>
      <c r="B712" s="8" t="s">
        <v>1750</v>
      </c>
      <c r="E712" s="8" t="s">
        <v>866</v>
      </c>
      <c r="F712" s="8" t="s">
        <v>581</v>
      </c>
      <c r="G712" s="8" t="s">
        <v>1751</v>
      </c>
      <c r="H712" s="7">
        <v>924</v>
      </c>
      <c r="K712" s="7">
        <v>924</v>
      </c>
      <c r="M712" s="7">
        <v>924</v>
      </c>
      <c r="N712" s="7">
        <v>924</v>
      </c>
    </row>
    <row r="713" spans="1:17">
      <c r="A713" s="8" t="s">
        <v>971</v>
      </c>
      <c r="B713" s="8" t="s">
        <v>1752</v>
      </c>
      <c r="C713" s="8" t="s">
        <v>18</v>
      </c>
      <c r="D713" s="6">
        <v>0</v>
      </c>
      <c r="E713" s="8" t="s">
        <v>971</v>
      </c>
      <c r="F713" s="8" t="s">
        <v>979</v>
      </c>
      <c r="G713" s="8" t="s">
        <v>1753</v>
      </c>
      <c r="H713" s="5">
        <v>30000</v>
      </c>
      <c r="K713" s="5">
        <v>30000</v>
      </c>
      <c r="M713" s="5">
        <v>30000</v>
      </c>
      <c r="N713" s="5">
        <v>30000</v>
      </c>
    </row>
    <row r="714" spans="1:17">
      <c r="A714" s="8" t="s">
        <v>971</v>
      </c>
      <c r="B714" s="8" t="s">
        <v>1754</v>
      </c>
      <c r="C714" s="8" t="s">
        <v>60</v>
      </c>
      <c r="D714" s="6">
        <v>0</v>
      </c>
      <c r="E714" s="8" t="s">
        <v>971</v>
      </c>
      <c r="F714" s="8" t="s">
        <v>190</v>
      </c>
      <c r="G714" s="8" t="s">
        <v>1755</v>
      </c>
      <c r="H714" s="5">
        <v>4000</v>
      </c>
      <c r="K714" s="5">
        <v>4000</v>
      </c>
      <c r="M714" s="5">
        <v>4000</v>
      </c>
      <c r="N714" s="5">
        <v>4000</v>
      </c>
      <c r="Q714" s="8" t="s">
        <v>270</v>
      </c>
    </row>
    <row r="715" spans="1:17">
      <c r="A715" s="8" t="s">
        <v>1048</v>
      </c>
      <c r="B715" s="8" t="s">
        <v>1756</v>
      </c>
      <c r="C715" s="8" t="s">
        <v>167</v>
      </c>
      <c r="D715" s="6">
        <v>90</v>
      </c>
      <c r="E715" s="8" t="s">
        <v>1064</v>
      </c>
      <c r="F715" s="8" t="s">
        <v>190</v>
      </c>
      <c r="G715" s="8" t="s">
        <v>1757</v>
      </c>
      <c r="H715" s="5">
        <v>3000</v>
      </c>
      <c r="K715" s="5">
        <v>3000</v>
      </c>
      <c r="M715" s="5">
        <v>3000</v>
      </c>
      <c r="N715" s="5">
        <v>3000</v>
      </c>
      <c r="Q715" s="8" t="s">
        <v>56</v>
      </c>
    </row>
    <row r="716" spans="1:17">
      <c r="A716" s="8" t="s">
        <v>1048</v>
      </c>
      <c r="B716" s="8" t="s">
        <v>1758</v>
      </c>
      <c r="E716" s="8" t="s">
        <v>1048</v>
      </c>
      <c r="F716" s="8" t="s">
        <v>190</v>
      </c>
      <c r="G716" s="8" t="s">
        <v>1759</v>
      </c>
      <c r="H716" s="5">
        <v>18000</v>
      </c>
      <c r="K716" s="5">
        <v>18000</v>
      </c>
      <c r="M716" s="5">
        <v>18000</v>
      </c>
      <c r="N716" s="5">
        <v>18000</v>
      </c>
      <c r="Q716" s="8" t="s">
        <v>56</v>
      </c>
    </row>
    <row r="717" spans="1:17">
      <c r="A717" s="8" t="s">
        <v>1287</v>
      </c>
      <c r="B717" s="8" t="s">
        <v>1760</v>
      </c>
      <c r="C717" s="8" t="s">
        <v>18</v>
      </c>
      <c r="D717" s="6">
        <v>0</v>
      </c>
      <c r="E717" s="8" t="s">
        <v>1287</v>
      </c>
      <c r="F717" s="8" t="s">
        <v>1288</v>
      </c>
      <c r="G717" s="8" t="s">
        <v>1761</v>
      </c>
      <c r="H717" s="5">
        <v>8000</v>
      </c>
      <c r="K717" s="5">
        <v>8000</v>
      </c>
      <c r="M717" s="5">
        <v>8000</v>
      </c>
      <c r="N717" s="5">
        <v>8000</v>
      </c>
    </row>
    <row r="718" spans="1:17">
      <c r="A718" s="8" t="s">
        <v>1553</v>
      </c>
      <c r="B718" s="8" t="s">
        <v>1762</v>
      </c>
      <c r="C718" s="8" t="s">
        <v>60</v>
      </c>
      <c r="D718" s="6">
        <v>0</v>
      </c>
      <c r="E718" s="8" t="s">
        <v>1553</v>
      </c>
      <c r="F718" s="8" t="s">
        <v>605</v>
      </c>
      <c r="G718" s="8" t="s">
        <v>1763</v>
      </c>
      <c r="H718" s="5">
        <v>6000</v>
      </c>
      <c r="K718" s="5">
        <v>6000</v>
      </c>
      <c r="M718" s="5">
        <v>6000</v>
      </c>
      <c r="N718" s="5">
        <v>6000</v>
      </c>
      <c r="Q718" s="8" t="s">
        <v>46</v>
      </c>
    </row>
    <row r="719" spans="1:17">
      <c r="A719" s="8" t="s">
        <v>1553</v>
      </c>
      <c r="B719" s="8" t="s">
        <v>1764</v>
      </c>
      <c r="C719" s="8" t="s">
        <v>60</v>
      </c>
      <c r="D719" s="6">
        <v>0</v>
      </c>
      <c r="E719" s="8" t="s">
        <v>1553</v>
      </c>
      <c r="F719" s="8" t="s">
        <v>196</v>
      </c>
      <c r="G719" s="8" t="s">
        <v>1765</v>
      </c>
      <c r="H719" s="5">
        <v>1000</v>
      </c>
      <c r="K719" s="5">
        <v>1000</v>
      </c>
      <c r="M719" s="5">
        <v>1000</v>
      </c>
      <c r="N719" s="5">
        <v>1000</v>
      </c>
      <c r="Q719" s="8" t="s">
        <v>56</v>
      </c>
    </row>
    <row r="720" spans="1:17">
      <c r="G720" s="1" t="s">
        <v>1766</v>
      </c>
      <c r="H720" s="1">
        <v>147567400.16999999</v>
      </c>
      <c r="I720" s="1">
        <v>-361440.31</v>
      </c>
      <c r="J720" s="1">
        <v>193550</v>
      </c>
      <c r="K720" s="1">
        <v>147399509.86000001</v>
      </c>
      <c r="L720" s="1">
        <v>15598446.59</v>
      </c>
      <c r="M720" s="1">
        <v>131801063.27</v>
      </c>
      <c r="N720" s="1">
        <v>147399509.86000001</v>
      </c>
      <c r="Q720" s="8" t="s">
        <v>56</v>
      </c>
    </row>
  </sheetData>
  <mergeCells count="142">
    <mergeCell ref="R633:R634"/>
    <mergeCell ref="R637:R638"/>
    <mergeCell ref="S209:S216"/>
    <mergeCell ref="S217:S282"/>
    <mergeCell ref="S283:S284"/>
    <mergeCell ref="S285:S292"/>
    <mergeCell ref="S293:S436"/>
    <mergeCell ref="S437:S503"/>
    <mergeCell ref="S505:S507"/>
    <mergeCell ref="S508:S533"/>
    <mergeCell ref="S534:S535"/>
    <mergeCell ref="S536:S591"/>
    <mergeCell ref="S592:S636"/>
    <mergeCell ref="S637:S638"/>
    <mergeCell ref="R614:R615"/>
    <mergeCell ref="R616:R617"/>
    <mergeCell ref="R618:R622"/>
    <mergeCell ref="R625:R627"/>
    <mergeCell ref="R630:R632"/>
    <mergeCell ref="R593:R596"/>
    <mergeCell ref="R597:R600"/>
    <mergeCell ref="R601:R603"/>
    <mergeCell ref="R604:R608"/>
    <mergeCell ref="R609:R610"/>
    <mergeCell ref="R576:R579"/>
    <mergeCell ref="R581:R582"/>
    <mergeCell ref="R583:R584"/>
    <mergeCell ref="R587:R588"/>
    <mergeCell ref="R589:R591"/>
    <mergeCell ref="R549:R551"/>
    <mergeCell ref="R552:R553"/>
    <mergeCell ref="R554:R568"/>
    <mergeCell ref="R571:R573"/>
    <mergeCell ref="R574:R575"/>
    <mergeCell ref="R530:R533"/>
    <mergeCell ref="R534:R535"/>
    <mergeCell ref="R536:R537"/>
    <mergeCell ref="R538:R539"/>
    <mergeCell ref="R546:R547"/>
    <mergeCell ref="R500:R503"/>
    <mergeCell ref="R506:R507"/>
    <mergeCell ref="R508:R509"/>
    <mergeCell ref="R510:R513"/>
    <mergeCell ref="R514:R529"/>
    <mergeCell ref="R476:R477"/>
    <mergeCell ref="R479:R480"/>
    <mergeCell ref="R482:R486"/>
    <mergeCell ref="R487:R488"/>
    <mergeCell ref="R489:R499"/>
    <mergeCell ref="R450:R455"/>
    <mergeCell ref="R457:R458"/>
    <mergeCell ref="R459:R462"/>
    <mergeCell ref="R463:R467"/>
    <mergeCell ref="R468:R474"/>
    <mergeCell ref="R424:R425"/>
    <mergeCell ref="R426:R427"/>
    <mergeCell ref="R428:R435"/>
    <mergeCell ref="R438:R444"/>
    <mergeCell ref="R445:R449"/>
    <mergeCell ref="R399:R402"/>
    <mergeCell ref="R405:R411"/>
    <mergeCell ref="R412:R415"/>
    <mergeCell ref="R416:R417"/>
    <mergeCell ref="R419:R423"/>
    <mergeCell ref="R356:R359"/>
    <mergeCell ref="R361:R362"/>
    <mergeCell ref="R363:R366"/>
    <mergeCell ref="R367:R374"/>
    <mergeCell ref="R375:R397"/>
    <mergeCell ref="R333:R335"/>
    <mergeCell ref="R337:R339"/>
    <mergeCell ref="R340:R341"/>
    <mergeCell ref="R345:R350"/>
    <mergeCell ref="R351:R353"/>
    <mergeCell ref="R300:R303"/>
    <mergeCell ref="R304:R318"/>
    <mergeCell ref="R319:R321"/>
    <mergeCell ref="R322:R328"/>
    <mergeCell ref="R331:R332"/>
    <mergeCell ref="R289:R290"/>
    <mergeCell ref="R291:R292"/>
    <mergeCell ref="R293:R295"/>
    <mergeCell ref="R296:R297"/>
    <mergeCell ref="R266:R267"/>
    <mergeCell ref="R273:R278"/>
    <mergeCell ref="R281:R282"/>
    <mergeCell ref="R283:R284"/>
    <mergeCell ref="R285:R287"/>
    <mergeCell ref="R225:R226"/>
    <mergeCell ref="R227:R236"/>
    <mergeCell ref="R239:R251"/>
    <mergeCell ref="R252:R258"/>
    <mergeCell ref="R260:R262"/>
    <mergeCell ref="R209:R211"/>
    <mergeCell ref="R212:R213"/>
    <mergeCell ref="R214:R215"/>
    <mergeCell ref="R217:R219"/>
    <mergeCell ref="R221:R222"/>
    <mergeCell ref="R122:R124"/>
    <mergeCell ref="R126:R131"/>
    <mergeCell ref="R134:R173"/>
    <mergeCell ref="S61:S67"/>
    <mergeCell ref="S68:S77"/>
    <mergeCell ref="S80:S93"/>
    <mergeCell ref="S94:S105"/>
    <mergeCell ref="S106:S108"/>
    <mergeCell ref="S109:S208"/>
    <mergeCell ref="R174:R175"/>
    <mergeCell ref="R176:R178"/>
    <mergeCell ref="R179:R182"/>
    <mergeCell ref="R184:R194"/>
    <mergeCell ref="R195:R199"/>
    <mergeCell ref="R200:R208"/>
    <mergeCell ref="R106:R108"/>
    <mergeCell ref="R109:R110"/>
    <mergeCell ref="R111:R113"/>
    <mergeCell ref="R116:R117"/>
    <mergeCell ref="R120:R121"/>
    <mergeCell ref="R90:R91"/>
    <mergeCell ref="R94:R95"/>
    <mergeCell ref="R96:R98"/>
    <mergeCell ref="R100:R101"/>
    <mergeCell ref="R102:R105"/>
    <mergeCell ref="R61:R67"/>
    <mergeCell ref="R72:R77"/>
    <mergeCell ref="R80:R84"/>
    <mergeCell ref="R85:R86"/>
    <mergeCell ref="R88:R89"/>
    <mergeCell ref="R3:S3"/>
    <mergeCell ref="S5:S24"/>
    <mergeCell ref="R7:R11"/>
    <mergeCell ref="R12:R21"/>
    <mergeCell ref="R22:R23"/>
    <mergeCell ref="S25:S60"/>
    <mergeCell ref="R25:R26"/>
    <mergeCell ref="R27:R29"/>
    <mergeCell ref="R31:R34"/>
    <mergeCell ref="R36:R37"/>
    <mergeCell ref="R38:R48"/>
    <mergeCell ref="R50:R51"/>
    <mergeCell ref="R53:R54"/>
    <mergeCell ref="R56:R58"/>
  </mergeCells>
  <pageMargins left="0.7" right="0.7" top="0.75" bottom="0.75" header="0.3" footer="0.3"/>
  <pageSetup paperSize="14" scale="65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07"/>
  <sheetViews>
    <sheetView topLeftCell="H366" workbookViewId="0">
      <selection activeCell="F603" sqref="F603"/>
    </sheetView>
  </sheetViews>
  <sheetFormatPr defaultColWidth="8.85546875" defaultRowHeight="15"/>
  <cols>
    <col min="1" max="1" width="19.42578125" style="24" customWidth="1"/>
    <col min="2" max="2" width="13" style="24" customWidth="1"/>
    <col min="3" max="3" width="29.85546875" style="24" customWidth="1"/>
    <col min="4" max="4" width="6" style="24" customWidth="1"/>
    <col min="5" max="5" width="13" style="24" customWidth="1"/>
    <col min="6" max="6" width="40.28515625" style="24" customWidth="1"/>
    <col min="7" max="7" width="52" style="24" customWidth="1"/>
    <col min="8" max="9" width="18.28515625" style="24" customWidth="1"/>
    <col min="10" max="10" width="15.5703125" style="24" customWidth="1"/>
    <col min="11" max="11" width="13" style="24" customWidth="1"/>
    <col min="12" max="12" width="18.28515625" style="24" customWidth="1"/>
    <col min="13" max="13" width="16.85546875" style="24" customWidth="1"/>
    <col min="14" max="14" width="18.28515625" style="24" customWidth="1"/>
    <col min="15" max="16384" width="8.85546875" style="24"/>
  </cols>
  <sheetData>
    <row r="1" spans="1:14">
      <c r="A1" s="57" t="s">
        <v>0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</row>
    <row r="2" spans="1:14">
      <c r="A2" s="57" t="s">
        <v>1</v>
      </c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</row>
    <row r="3" spans="1:14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</row>
    <row r="4" spans="1:14">
      <c r="A4" s="24" t="s">
        <v>16</v>
      </c>
      <c r="B4" s="24" t="s">
        <v>17</v>
      </c>
      <c r="C4" s="24" t="s">
        <v>18</v>
      </c>
      <c r="D4" s="6">
        <v>0</v>
      </c>
      <c r="E4" s="24" t="s">
        <v>17</v>
      </c>
      <c r="F4" s="24" t="s">
        <v>19</v>
      </c>
      <c r="G4" s="24" t="s">
        <v>20</v>
      </c>
      <c r="H4" s="24" t="s">
        <v>21</v>
      </c>
      <c r="I4" s="5">
        <v>105000</v>
      </c>
      <c r="L4" s="5">
        <v>105000</v>
      </c>
      <c r="M4" s="5">
        <v>11250</v>
      </c>
      <c r="N4" s="5">
        <v>93750</v>
      </c>
    </row>
    <row r="5" spans="1:14">
      <c r="A5" s="24" t="s">
        <v>22</v>
      </c>
      <c r="B5" s="24" t="s">
        <v>17</v>
      </c>
      <c r="C5" s="24" t="s">
        <v>23</v>
      </c>
      <c r="D5" s="6">
        <v>30</v>
      </c>
      <c r="E5" s="24" t="s">
        <v>24</v>
      </c>
      <c r="F5" s="24" t="s">
        <v>25</v>
      </c>
      <c r="G5" s="24" t="s">
        <v>26</v>
      </c>
      <c r="H5" s="24" t="s">
        <v>27</v>
      </c>
      <c r="I5" s="5">
        <v>344364.5</v>
      </c>
      <c r="L5" s="5">
        <v>344364.5</v>
      </c>
      <c r="M5" s="5">
        <v>36896.199999999997</v>
      </c>
      <c r="N5" s="5">
        <v>307468.3</v>
      </c>
    </row>
    <row r="6" spans="1:14">
      <c r="A6" s="24" t="s">
        <v>28</v>
      </c>
      <c r="B6" s="24" t="s">
        <v>17</v>
      </c>
      <c r="C6" s="24" t="s">
        <v>29</v>
      </c>
      <c r="D6" s="6">
        <v>0</v>
      </c>
      <c r="E6" s="24" t="s">
        <v>17</v>
      </c>
      <c r="F6" s="24" t="s">
        <v>30</v>
      </c>
      <c r="G6" s="24" t="s">
        <v>31</v>
      </c>
      <c r="H6" s="24" t="s">
        <v>32</v>
      </c>
      <c r="I6" s="5">
        <v>208698</v>
      </c>
      <c r="L6" s="5">
        <v>208698</v>
      </c>
      <c r="M6" s="5">
        <v>22360.5</v>
      </c>
      <c r="N6" s="5">
        <v>186337.5</v>
      </c>
    </row>
    <row r="7" spans="1:14">
      <c r="A7" s="24" t="s">
        <v>33</v>
      </c>
      <c r="B7" s="24" t="s">
        <v>17</v>
      </c>
      <c r="C7" s="24" t="s">
        <v>34</v>
      </c>
      <c r="D7" s="6">
        <v>60</v>
      </c>
      <c r="E7" s="24" t="s">
        <v>35</v>
      </c>
      <c r="F7" s="24" t="s">
        <v>36</v>
      </c>
      <c r="G7" s="24" t="s">
        <v>37</v>
      </c>
      <c r="H7" s="24" t="s">
        <v>38</v>
      </c>
      <c r="I7" s="5">
        <v>173450.58</v>
      </c>
      <c r="L7" s="5">
        <v>173450.58</v>
      </c>
      <c r="M7" s="5">
        <v>18583.990000000002</v>
      </c>
      <c r="N7" s="5">
        <v>154866.59</v>
      </c>
    </row>
    <row r="8" spans="1:14">
      <c r="A8" s="24" t="s">
        <v>39</v>
      </c>
      <c r="B8" s="24" t="s">
        <v>17</v>
      </c>
      <c r="C8" s="24" t="s">
        <v>29</v>
      </c>
      <c r="D8" s="6">
        <v>0</v>
      </c>
      <c r="E8" s="24" t="s">
        <v>17</v>
      </c>
      <c r="F8" s="24" t="s">
        <v>30</v>
      </c>
      <c r="G8" s="24" t="s">
        <v>40</v>
      </c>
      <c r="H8" s="24" t="s">
        <v>41</v>
      </c>
      <c r="I8" s="5">
        <v>186500</v>
      </c>
      <c r="L8" s="5">
        <v>186500</v>
      </c>
      <c r="M8" s="5">
        <v>19982.14</v>
      </c>
      <c r="N8" s="5">
        <v>166517.85999999999</v>
      </c>
    </row>
    <row r="9" spans="1:14">
      <c r="A9" s="24" t="s">
        <v>42</v>
      </c>
      <c r="B9" s="24" t="s">
        <v>17</v>
      </c>
      <c r="C9" s="24" t="s">
        <v>29</v>
      </c>
      <c r="D9" s="6">
        <v>0</v>
      </c>
      <c r="E9" s="24" t="s">
        <v>17</v>
      </c>
      <c r="F9" s="24" t="s">
        <v>30</v>
      </c>
      <c r="G9" s="24" t="s">
        <v>40</v>
      </c>
      <c r="H9" s="24" t="s">
        <v>43</v>
      </c>
      <c r="I9" s="5">
        <v>70000</v>
      </c>
      <c r="L9" s="5">
        <v>70000</v>
      </c>
      <c r="M9" s="5">
        <v>7500</v>
      </c>
      <c r="N9" s="5">
        <v>62500</v>
      </c>
    </row>
    <row r="10" spans="1:14">
      <c r="A10" s="24" t="s">
        <v>44</v>
      </c>
      <c r="B10" s="24" t="s">
        <v>17</v>
      </c>
      <c r="C10" s="24" t="s">
        <v>45</v>
      </c>
      <c r="D10" s="6">
        <v>0</v>
      </c>
      <c r="E10" s="24" t="s">
        <v>17</v>
      </c>
      <c r="F10" s="24" t="s">
        <v>46</v>
      </c>
      <c r="G10" s="24" t="s">
        <v>47</v>
      </c>
      <c r="H10" s="24" t="s">
        <v>48</v>
      </c>
      <c r="I10" s="5">
        <v>5880</v>
      </c>
      <c r="L10" s="5">
        <v>5880</v>
      </c>
      <c r="M10" s="7">
        <v>630</v>
      </c>
      <c r="N10" s="5">
        <v>5250</v>
      </c>
    </row>
    <row r="11" spans="1:14">
      <c r="A11" s="24" t="s">
        <v>49</v>
      </c>
      <c r="B11" s="24" t="s">
        <v>17</v>
      </c>
      <c r="C11" s="24" t="s">
        <v>29</v>
      </c>
      <c r="D11" s="6">
        <v>0</v>
      </c>
      <c r="E11" s="24" t="s">
        <v>17</v>
      </c>
      <c r="F11" s="24" t="s">
        <v>50</v>
      </c>
      <c r="G11" s="24" t="s">
        <v>51</v>
      </c>
      <c r="H11" s="24" t="s">
        <v>52</v>
      </c>
      <c r="I11" s="5">
        <v>11602.84</v>
      </c>
      <c r="L11" s="5">
        <v>11602.84</v>
      </c>
      <c r="M11" s="5">
        <v>1243.1600000000001</v>
      </c>
      <c r="N11" s="5">
        <v>10359.68</v>
      </c>
    </row>
    <row r="12" spans="1:14">
      <c r="A12" s="24" t="s">
        <v>53</v>
      </c>
      <c r="B12" s="24" t="s">
        <v>17</v>
      </c>
      <c r="C12" s="24" t="s">
        <v>54</v>
      </c>
      <c r="D12" s="6">
        <v>90</v>
      </c>
      <c r="E12" s="24" t="s">
        <v>55</v>
      </c>
      <c r="F12" s="24" t="s">
        <v>56</v>
      </c>
      <c r="G12" s="24" t="s">
        <v>57</v>
      </c>
      <c r="H12" s="24" t="s">
        <v>58</v>
      </c>
      <c r="I12" s="5">
        <v>1176000</v>
      </c>
      <c r="L12" s="5">
        <v>1176000</v>
      </c>
      <c r="M12" s="5">
        <v>126000</v>
      </c>
      <c r="N12" s="5">
        <v>1050000</v>
      </c>
    </row>
    <row r="13" spans="1:14">
      <c r="A13" s="24" t="s">
        <v>59</v>
      </c>
      <c r="B13" s="24" t="s">
        <v>17</v>
      </c>
      <c r="C13" s="24" t="s">
        <v>60</v>
      </c>
      <c r="D13" s="6">
        <v>0</v>
      </c>
      <c r="E13" s="24" t="s">
        <v>17</v>
      </c>
      <c r="F13" s="24" t="s">
        <v>56</v>
      </c>
      <c r="G13" s="24" t="s">
        <v>61</v>
      </c>
      <c r="H13" s="24" t="s">
        <v>62</v>
      </c>
      <c r="I13" s="5">
        <v>26000</v>
      </c>
      <c r="J13" s="4">
        <v>-520</v>
      </c>
      <c r="L13" s="5">
        <v>25480</v>
      </c>
      <c r="M13" s="5">
        <v>2730</v>
      </c>
      <c r="N13" s="5">
        <v>22750</v>
      </c>
    </row>
    <row r="14" spans="1:14">
      <c r="A14" s="24" t="s">
        <v>63</v>
      </c>
      <c r="B14" s="24" t="s">
        <v>17</v>
      </c>
      <c r="C14" s="24" t="s">
        <v>64</v>
      </c>
      <c r="D14" s="6">
        <v>30</v>
      </c>
      <c r="E14" s="24" t="s">
        <v>24</v>
      </c>
      <c r="F14" s="24" t="s">
        <v>56</v>
      </c>
      <c r="G14" s="24" t="s">
        <v>65</v>
      </c>
      <c r="H14" s="24" t="s">
        <v>66</v>
      </c>
      <c r="I14" s="5">
        <v>603830</v>
      </c>
      <c r="L14" s="5">
        <v>603830</v>
      </c>
      <c r="M14" s="5">
        <v>64696.07</v>
      </c>
      <c r="N14" s="5">
        <v>539133.93000000005</v>
      </c>
    </row>
    <row r="15" spans="1:14">
      <c r="A15" s="24" t="s">
        <v>67</v>
      </c>
      <c r="B15" s="24" t="s">
        <v>17</v>
      </c>
      <c r="C15" s="24" t="s">
        <v>68</v>
      </c>
      <c r="D15" s="6">
        <v>60</v>
      </c>
      <c r="E15" s="24" t="s">
        <v>35</v>
      </c>
      <c r="F15" s="24" t="s">
        <v>69</v>
      </c>
      <c r="G15" s="24" t="s">
        <v>70</v>
      </c>
      <c r="H15" s="24" t="s">
        <v>71</v>
      </c>
      <c r="I15" s="5">
        <v>2419200</v>
      </c>
      <c r="L15" s="5">
        <v>2419200</v>
      </c>
      <c r="M15" s="5">
        <v>259200</v>
      </c>
      <c r="N15" s="5">
        <v>2160000</v>
      </c>
    </row>
    <row r="16" spans="1:14">
      <c r="A16" s="24" t="s">
        <v>72</v>
      </c>
      <c r="B16" s="24" t="s">
        <v>17</v>
      </c>
      <c r="C16" s="24" t="s">
        <v>73</v>
      </c>
      <c r="D16" s="6">
        <v>30</v>
      </c>
      <c r="E16" s="24" t="s">
        <v>24</v>
      </c>
      <c r="F16" s="24" t="s">
        <v>19</v>
      </c>
      <c r="G16" s="24" t="s">
        <v>74</v>
      </c>
      <c r="H16" s="24" t="s">
        <v>75</v>
      </c>
      <c r="I16" s="5">
        <v>369000</v>
      </c>
      <c r="L16" s="5">
        <v>369000</v>
      </c>
      <c r="M16" s="5">
        <v>39535.71</v>
      </c>
      <c r="N16" s="5">
        <v>329464.28999999998</v>
      </c>
    </row>
    <row r="17" spans="1:14">
      <c r="A17" s="24" t="s">
        <v>76</v>
      </c>
      <c r="B17" s="24" t="s">
        <v>17</v>
      </c>
      <c r="C17" s="24" t="s">
        <v>68</v>
      </c>
      <c r="D17" s="6">
        <v>60</v>
      </c>
      <c r="E17" s="24" t="s">
        <v>35</v>
      </c>
      <c r="F17" s="24" t="s">
        <v>69</v>
      </c>
      <c r="G17" s="24" t="s">
        <v>70</v>
      </c>
      <c r="H17" s="24" t="s">
        <v>77</v>
      </c>
      <c r="I17" s="5">
        <v>316320</v>
      </c>
      <c r="L17" s="5">
        <v>316320</v>
      </c>
      <c r="M17" s="5">
        <v>33891.43</v>
      </c>
      <c r="N17" s="5">
        <v>282428.57</v>
      </c>
    </row>
    <row r="18" spans="1:14">
      <c r="A18" s="24" t="s">
        <v>78</v>
      </c>
      <c r="B18" s="24" t="s">
        <v>17</v>
      </c>
      <c r="C18" s="24" t="s">
        <v>79</v>
      </c>
      <c r="D18" s="6">
        <v>30</v>
      </c>
      <c r="E18" s="24" t="s">
        <v>24</v>
      </c>
      <c r="F18" s="24" t="s">
        <v>69</v>
      </c>
      <c r="G18" s="24" t="s">
        <v>80</v>
      </c>
      <c r="H18" s="24" t="s">
        <v>81</v>
      </c>
      <c r="I18" s="5">
        <v>23350</v>
      </c>
      <c r="L18" s="5">
        <v>23350</v>
      </c>
      <c r="M18" s="5">
        <v>2501.79</v>
      </c>
      <c r="N18" s="5">
        <v>20848.21</v>
      </c>
    </row>
    <row r="19" spans="1:14">
      <c r="A19" s="24" t="s">
        <v>82</v>
      </c>
      <c r="B19" s="24" t="s">
        <v>17</v>
      </c>
      <c r="C19" s="24" t="s">
        <v>79</v>
      </c>
      <c r="D19" s="6">
        <v>30</v>
      </c>
      <c r="E19" s="24" t="s">
        <v>24</v>
      </c>
      <c r="F19" s="24" t="s">
        <v>69</v>
      </c>
      <c r="G19" s="24" t="s">
        <v>80</v>
      </c>
      <c r="H19" s="24" t="s">
        <v>83</v>
      </c>
      <c r="I19" s="5">
        <v>6675</v>
      </c>
      <c r="L19" s="5">
        <v>6675</v>
      </c>
      <c r="M19" s="7">
        <v>715.18</v>
      </c>
      <c r="N19" s="5">
        <v>5959.82</v>
      </c>
    </row>
    <row r="20" spans="1:14">
      <c r="A20" s="24" t="s">
        <v>84</v>
      </c>
      <c r="B20" s="24" t="s">
        <v>17</v>
      </c>
      <c r="C20" s="24" t="s">
        <v>60</v>
      </c>
      <c r="D20" s="6">
        <v>0</v>
      </c>
      <c r="E20" s="24" t="s">
        <v>17</v>
      </c>
      <c r="F20" s="24" t="s">
        <v>30</v>
      </c>
      <c r="G20" s="24" t="s">
        <v>85</v>
      </c>
      <c r="H20" s="24" t="s">
        <v>86</v>
      </c>
      <c r="I20" s="5">
        <v>266373</v>
      </c>
      <c r="L20" s="5">
        <v>266373</v>
      </c>
      <c r="M20" s="5">
        <v>28539.96</v>
      </c>
      <c r="N20" s="5">
        <v>237833.04</v>
      </c>
    </row>
    <row r="21" spans="1:14">
      <c r="A21" s="24" t="s">
        <v>87</v>
      </c>
      <c r="B21" s="24" t="s">
        <v>17</v>
      </c>
      <c r="C21" s="24" t="s">
        <v>29</v>
      </c>
      <c r="D21" s="6">
        <v>0</v>
      </c>
      <c r="E21" s="24" t="s">
        <v>17</v>
      </c>
      <c r="F21" s="24" t="s">
        <v>30</v>
      </c>
      <c r="G21" s="24" t="s">
        <v>40</v>
      </c>
      <c r="H21" s="24" t="s">
        <v>88</v>
      </c>
      <c r="I21" s="5">
        <v>1008800</v>
      </c>
      <c r="L21" s="5">
        <v>1008800</v>
      </c>
      <c r="M21" s="5">
        <v>108085.71</v>
      </c>
      <c r="N21" s="5">
        <v>900714.29</v>
      </c>
    </row>
    <row r="22" spans="1:14">
      <c r="A22" s="24" t="s">
        <v>89</v>
      </c>
      <c r="B22" s="24" t="s">
        <v>17</v>
      </c>
      <c r="C22" s="24" t="s">
        <v>73</v>
      </c>
      <c r="D22" s="6">
        <v>30</v>
      </c>
      <c r="E22" s="24" t="s">
        <v>24</v>
      </c>
      <c r="F22" s="24" t="s">
        <v>56</v>
      </c>
      <c r="G22" s="24" t="s">
        <v>90</v>
      </c>
      <c r="H22" s="24" t="s">
        <v>91</v>
      </c>
      <c r="I22" s="5">
        <v>182032</v>
      </c>
      <c r="L22" s="5">
        <v>182032</v>
      </c>
      <c r="M22" s="5">
        <v>19503.43</v>
      </c>
      <c r="N22" s="5">
        <v>162528.57</v>
      </c>
    </row>
    <row r="23" spans="1:14">
      <c r="A23" s="24" t="s">
        <v>92</v>
      </c>
      <c r="B23" s="24" t="s">
        <v>93</v>
      </c>
      <c r="C23" s="24" t="s">
        <v>94</v>
      </c>
      <c r="D23" s="6">
        <v>0</v>
      </c>
      <c r="E23" s="24" t="s">
        <v>93</v>
      </c>
      <c r="F23" s="24" t="s">
        <v>46</v>
      </c>
      <c r="G23" s="24" t="s">
        <v>95</v>
      </c>
      <c r="H23" s="24" t="s">
        <v>96</v>
      </c>
      <c r="I23" s="5">
        <v>422500</v>
      </c>
      <c r="L23" s="5">
        <v>422500</v>
      </c>
      <c r="M23" s="5">
        <v>45267.86</v>
      </c>
      <c r="N23" s="5">
        <v>377232.14</v>
      </c>
    </row>
    <row r="24" spans="1:14">
      <c r="A24" s="24" t="s">
        <v>97</v>
      </c>
      <c r="B24" s="24" t="s">
        <v>93</v>
      </c>
      <c r="C24" s="24" t="s">
        <v>98</v>
      </c>
      <c r="D24" s="6">
        <v>0</v>
      </c>
      <c r="E24" s="24" t="s">
        <v>93</v>
      </c>
      <c r="F24" s="24" t="s">
        <v>69</v>
      </c>
      <c r="G24" s="24" t="s">
        <v>99</v>
      </c>
      <c r="H24" s="24" t="s">
        <v>100</v>
      </c>
      <c r="I24" s="5">
        <v>96500</v>
      </c>
      <c r="J24" s="4">
        <v>-2895</v>
      </c>
      <c r="L24" s="5">
        <v>93605</v>
      </c>
      <c r="M24" s="5">
        <v>10029.11</v>
      </c>
      <c r="N24" s="5">
        <v>83575.89</v>
      </c>
    </row>
    <row r="25" spans="1:14">
      <c r="A25" s="24" t="s">
        <v>101</v>
      </c>
      <c r="B25" s="24" t="s">
        <v>93</v>
      </c>
      <c r="C25" s="24" t="s">
        <v>98</v>
      </c>
      <c r="D25" s="6">
        <v>0</v>
      </c>
      <c r="E25" s="24" t="s">
        <v>93</v>
      </c>
      <c r="F25" s="24" t="s">
        <v>69</v>
      </c>
      <c r="G25" s="24" t="s">
        <v>99</v>
      </c>
      <c r="H25" s="24" t="s">
        <v>102</v>
      </c>
      <c r="I25" s="5">
        <v>205360</v>
      </c>
      <c r="J25" s="4">
        <v>-6160.8</v>
      </c>
      <c r="L25" s="5">
        <v>199199.2</v>
      </c>
      <c r="M25" s="5">
        <v>21342.77</v>
      </c>
      <c r="N25" s="5">
        <v>177856.43</v>
      </c>
    </row>
    <row r="26" spans="1:14">
      <c r="A26" s="24" t="s">
        <v>103</v>
      </c>
      <c r="B26" s="24" t="s">
        <v>93</v>
      </c>
      <c r="C26" s="24" t="s">
        <v>104</v>
      </c>
      <c r="D26" s="6">
        <v>0</v>
      </c>
      <c r="E26" s="24" t="s">
        <v>93</v>
      </c>
      <c r="F26" s="24" t="s">
        <v>105</v>
      </c>
      <c r="G26" s="24" t="s">
        <v>106</v>
      </c>
      <c r="H26" s="24" t="s">
        <v>107</v>
      </c>
      <c r="I26" s="5">
        <v>114000</v>
      </c>
      <c r="J26" s="4">
        <v>-3420</v>
      </c>
      <c r="L26" s="5">
        <v>110580</v>
      </c>
      <c r="M26" s="5">
        <v>11847.86</v>
      </c>
      <c r="N26" s="5">
        <v>98732.14</v>
      </c>
    </row>
    <row r="27" spans="1:14">
      <c r="A27" s="24" t="s">
        <v>108</v>
      </c>
      <c r="B27" s="24" t="s">
        <v>93</v>
      </c>
      <c r="C27" s="24" t="s">
        <v>104</v>
      </c>
      <c r="D27" s="6">
        <v>0</v>
      </c>
      <c r="E27" s="24" t="s">
        <v>93</v>
      </c>
      <c r="F27" s="24" t="s">
        <v>105</v>
      </c>
      <c r="G27" s="24" t="s">
        <v>106</v>
      </c>
      <c r="H27" s="24" t="s">
        <v>109</v>
      </c>
      <c r="I27" s="5">
        <v>260000</v>
      </c>
      <c r="J27" s="4">
        <v>-7800</v>
      </c>
      <c r="L27" s="5">
        <v>252200</v>
      </c>
      <c r="M27" s="5">
        <v>27021.43</v>
      </c>
      <c r="N27" s="5">
        <v>225178.57</v>
      </c>
    </row>
    <row r="28" spans="1:14">
      <c r="A28" s="24" t="s">
        <v>110</v>
      </c>
      <c r="B28" s="24" t="s">
        <v>93</v>
      </c>
      <c r="C28" s="24" t="s">
        <v>18</v>
      </c>
      <c r="D28" s="6">
        <v>0</v>
      </c>
      <c r="E28" s="24" t="s">
        <v>93</v>
      </c>
      <c r="F28" s="24" t="s">
        <v>46</v>
      </c>
      <c r="G28" s="24" t="s">
        <v>111</v>
      </c>
      <c r="H28" s="24" t="s">
        <v>112</v>
      </c>
      <c r="I28" s="5">
        <v>18378</v>
      </c>
      <c r="K28" s="5">
        <v>6000</v>
      </c>
      <c r="L28" s="5">
        <v>24378</v>
      </c>
      <c r="M28" s="5">
        <v>2611.9299999999998</v>
      </c>
      <c r="N28" s="5">
        <v>21766.07</v>
      </c>
    </row>
    <row r="29" spans="1:14">
      <c r="A29" s="24" t="s">
        <v>113</v>
      </c>
      <c r="B29" s="24" t="s">
        <v>93</v>
      </c>
      <c r="C29" s="24" t="s">
        <v>60</v>
      </c>
      <c r="D29" s="6">
        <v>0</v>
      </c>
      <c r="E29" s="24" t="s">
        <v>93</v>
      </c>
      <c r="F29" s="24" t="s">
        <v>56</v>
      </c>
      <c r="G29" s="24" t="s">
        <v>114</v>
      </c>
      <c r="H29" s="24" t="s">
        <v>115</v>
      </c>
      <c r="I29" s="5">
        <v>272065</v>
      </c>
      <c r="L29" s="5">
        <v>272065</v>
      </c>
      <c r="M29" s="5">
        <v>29149.82</v>
      </c>
      <c r="N29" s="5">
        <v>242915.18</v>
      </c>
    </row>
    <row r="30" spans="1:14">
      <c r="A30" s="24" t="s">
        <v>116</v>
      </c>
      <c r="B30" s="24" t="s">
        <v>93</v>
      </c>
      <c r="C30" s="24" t="s">
        <v>117</v>
      </c>
      <c r="D30" s="6">
        <v>120</v>
      </c>
      <c r="E30" s="24" t="s">
        <v>118</v>
      </c>
      <c r="F30" s="24" t="s">
        <v>56</v>
      </c>
      <c r="G30" s="24" t="s">
        <v>119</v>
      </c>
      <c r="H30" s="24" t="s">
        <v>120</v>
      </c>
      <c r="I30" s="5">
        <v>201354</v>
      </c>
      <c r="L30" s="5">
        <v>201354</v>
      </c>
      <c r="M30" s="5">
        <v>21573.64</v>
      </c>
      <c r="N30" s="5">
        <v>179780.36</v>
      </c>
    </row>
    <row r="31" spans="1:14">
      <c r="A31" s="24" t="s">
        <v>121</v>
      </c>
      <c r="B31" s="24" t="s">
        <v>93</v>
      </c>
      <c r="C31" s="24" t="s">
        <v>117</v>
      </c>
      <c r="D31" s="6">
        <v>120</v>
      </c>
      <c r="E31" s="24" t="s">
        <v>118</v>
      </c>
      <c r="F31" s="24" t="s">
        <v>56</v>
      </c>
      <c r="G31" s="24" t="s">
        <v>119</v>
      </c>
      <c r="H31" s="24" t="s">
        <v>122</v>
      </c>
      <c r="I31" s="5">
        <v>25672</v>
      </c>
      <c r="L31" s="5">
        <v>25672</v>
      </c>
      <c r="M31" s="5">
        <v>2750.57</v>
      </c>
      <c r="N31" s="5">
        <v>22921.43</v>
      </c>
    </row>
    <row r="32" spans="1:14">
      <c r="A32" s="24" t="s">
        <v>123</v>
      </c>
      <c r="B32" s="24" t="s">
        <v>93</v>
      </c>
      <c r="C32" s="24" t="s">
        <v>117</v>
      </c>
      <c r="D32" s="6">
        <v>120</v>
      </c>
      <c r="E32" s="24" t="s">
        <v>118</v>
      </c>
      <c r="F32" s="24" t="s">
        <v>56</v>
      </c>
      <c r="G32" s="24" t="s">
        <v>119</v>
      </c>
      <c r="H32" s="24" t="s">
        <v>124</v>
      </c>
      <c r="I32" s="5">
        <v>116892</v>
      </c>
      <c r="L32" s="5">
        <v>116892</v>
      </c>
      <c r="M32" s="5">
        <v>12524.14</v>
      </c>
      <c r="N32" s="5">
        <v>104367.86</v>
      </c>
    </row>
    <row r="33" spans="1:14">
      <c r="A33" s="24" t="s">
        <v>125</v>
      </c>
      <c r="B33" s="24" t="s">
        <v>93</v>
      </c>
      <c r="C33" s="24" t="s">
        <v>60</v>
      </c>
      <c r="D33" s="6">
        <v>0</v>
      </c>
      <c r="E33" s="24" t="s">
        <v>93</v>
      </c>
      <c r="F33" s="24" t="s">
        <v>56</v>
      </c>
      <c r="G33" s="24" t="s">
        <v>126</v>
      </c>
      <c r="H33" s="24" t="s">
        <v>127</v>
      </c>
      <c r="I33" s="5">
        <v>19600</v>
      </c>
      <c r="L33" s="5">
        <v>19600</v>
      </c>
      <c r="M33" s="5">
        <v>2100</v>
      </c>
      <c r="N33" s="5">
        <v>17500</v>
      </c>
    </row>
    <row r="34" spans="1:14">
      <c r="A34" s="24" t="s">
        <v>128</v>
      </c>
      <c r="B34" s="24" t="s">
        <v>93</v>
      </c>
      <c r="C34" s="24" t="s">
        <v>60</v>
      </c>
      <c r="D34" s="6">
        <v>0</v>
      </c>
      <c r="E34" s="24" t="s">
        <v>93</v>
      </c>
      <c r="F34" s="24" t="s">
        <v>46</v>
      </c>
      <c r="G34" s="24" t="s">
        <v>129</v>
      </c>
      <c r="H34" s="24" t="s">
        <v>130</v>
      </c>
      <c r="I34" s="5">
        <v>170715</v>
      </c>
      <c r="J34" s="4">
        <v>-3414.3</v>
      </c>
      <c r="L34" s="5">
        <v>167300.70000000001</v>
      </c>
      <c r="M34" s="5">
        <v>17925.07</v>
      </c>
      <c r="N34" s="5">
        <v>149375.63</v>
      </c>
    </row>
    <row r="35" spans="1:14">
      <c r="A35" s="24" t="s">
        <v>131</v>
      </c>
      <c r="B35" s="24" t="s">
        <v>93</v>
      </c>
      <c r="C35" s="24" t="s">
        <v>132</v>
      </c>
      <c r="D35" s="6">
        <v>0</v>
      </c>
      <c r="E35" s="24" t="s">
        <v>93</v>
      </c>
      <c r="F35" s="24" t="s">
        <v>30</v>
      </c>
      <c r="G35" s="24" t="s">
        <v>133</v>
      </c>
      <c r="H35" s="24" t="s">
        <v>134</v>
      </c>
      <c r="I35" s="5">
        <v>55350</v>
      </c>
      <c r="L35" s="5">
        <v>55350</v>
      </c>
      <c r="M35" s="5">
        <v>5930.36</v>
      </c>
      <c r="N35" s="5">
        <v>49419.64</v>
      </c>
    </row>
    <row r="36" spans="1:14">
      <c r="A36" s="24" t="s">
        <v>135</v>
      </c>
      <c r="B36" s="24" t="s">
        <v>93</v>
      </c>
      <c r="C36" s="24" t="s">
        <v>34</v>
      </c>
      <c r="D36" s="6">
        <v>60</v>
      </c>
      <c r="E36" s="24" t="s">
        <v>136</v>
      </c>
      <c r="F36" s="24" t="s">
        <v>36</v>
      </c>
      <c r="G36" s="24" t="s">
        <v>37</v>
      </c>
      <c r="H36" s="24" t="s">
        <v>137</v>
      </c>
      <c r="I36" s="5">
        <v>32101.08</v>
      </c>
      <c r="L36" s="5">
        <v>32101.08</v>
      </c>
      <c r="M36" s="5">
        <v>3439.4</v>
      </c>
      <c r="N36" s="5">
        <v>28661.68</v>
      </c>
    </row>
    <row r="37" spans="1:14">
      <c r="A37" s="24" t="s">
        <v>138</v>
      </c>
      <c r="B37" s="24" t="s">
        <v>93</v>
      </c>
      <c r="C37" s="24" t="s">
        <v>29</v>
      </c>
      <c r="D37" s="6">
        <v>0</v>
      </c>
      <c r="E37" s="24" t="s">
        <v>93</v>
      </c>
      <c r="F37" s="24" t="s">
        <v>139</v>
      </c>
      <c r="G37" s="24" t="s">
        <v>140</v>
      </c>
      <c r="H37" s="24" t="s">
        <v>141</v>
      </c>
      <c r="I37" s="5">
        <v>8428</v>
      </c>
      <c r="L37" s="5">
        <v>8428</v>
      </c>
      <c r="M37" s="7">
        <v>903</v>
      </c>
      <c r="N37" s="5">
        <v>7525</v>
      </c>
    </row>
    <row r="38" spans="1:14">
      <c r="A38" s="24" t="s">
        <v>142</v>
      </c>
      <c r="B38" s="24" t="s">
        <v>93</v>
      </c>
      <c r="C38" s="24" t="s">
        <v>60</v>
      </c>
      <c r="D38" s="6">
        <v>0</v>
      </c>
      <c r="E38" s="24" t="s">
        <v>93</v>
      </c>
      <c r="F38" s="24" t="s">
        <v>139</v>
      </c>
      <c r="G38" s="24" t="s">
        <v>143</v>
      </c>
      <c r="H38" s="24" t="s">
        <v>144</v>
      </c>
      <c r="I38" s="5">
        <v>58800</v>
      </c>
      <c r="J38" s="4">
        <v>-1764</v>
      </c>
      <c r="L38" s="5">
        <v>57036</v>
      </c>
      <c r="M38" s="5">
        <v>6111</v>
      </c>
      <c r="N38" s="5">
        <v>50925</v>
      </c>
    </row>
    <row r="39" spans="1:14">
      <c r="A39" s="24" t="s">
        <v>145</v>
      </c>
      <c r="B39" s="24" t="s">
        <v>93</v>
      </c>
      <c r="C39" s="24" t="s">
        <v>146</v>
      </c>
      <c r="D39" s="6">
        <v>90</v>
      </c>
      <c r="E39" s="24" t="s">
        <v>147</v>
      </c>
      <c r="F39" s="24" t="s">
        <v>69</v>
      </c>
      <c r="G39" s="24" t="s">
        <v>148</v>
      </c>
      <c r="H39" s="24" t="s">
        <v>149</v>
      </c>
      <c r="I39" s="5">
        <v>91954.87</v>
      </c>
      <c r="L39" s="5">
        <v>91954.87</v>
      </c>
      <c r="M39" s="5">
        <v>9852.31</v>
      </c>
      <c r="N39" s="5">
        <v>82102.559999999998</v>
      </c>
    </row>
    <row r="40" spans="1:14">
      <c r="A40" s="24" t="s">
        <v>150</v>
      </c>
      <c r="B40" s="24" t="s">
        <v>93</v>
      </c>
      <c r="C40" s="24" t="s">
        <v>151</v>
      </c>
      <c r="D40" s="6">
        <v>60</v>
      </c>
      <c r="E40" s="24" t="s">
        <v>136</v>
      </c>
      <c r="F40" s="24" t="s">
        <v>56</v>
      </c>
      <c r="G40" s="24" t="s">
        <v>152</v>
      </c>
      <c r="H40" s="24" t="s">
        <v>153</v>
      </c>
      <c r="I40" s="5">
        <v>71884</v>
      </c>
      <c r="L40" s="5">
        <v>71884</v>
      </c>
      <c r="M40" s="5">
        <v>7701.86</v>
      </c>
      <c r="N40" s="5">
        <v>64182.14</v>
      </c>
    </row>
    <row r="41" spans="1:14">
      <c r="A41" s="24" t="s">
        <v>154</v>
      </c>
      <c r="B41" s="24" t="s">
        <v>93</v>
      </c>
      <c r="C41" s="24" t="s">
        <v>29</v>
      </c>
      <c r="D41" s="6">
        <v>0</v>
      </c>
      <c r="E41" s="24" t="s">
        <v>93</v>
      </c>
      <c r="F41" s="24" t="s">
        <v>30</v>
      </c>
      <c r="G41" s="24" t="s">
        <v>155</v>
      </c>
      <c r="H41" s="24" t="s">
        <v>156</v>
      </c>
      <c r="I41" s="5">
        <v>168000</v>
      </c>
      <c r="L41" s="5">
        <v>168000</v>
      </c>
      <c r="M41" s="5">
        <v>18000</v>
      </c>
      <c r="N41" s="5">
        <v>150000</v>
      </c>
    </row>
    <row r="42" spans="1:14">
      <c r="A42" s="24" t="s">
        <v>157</v>
      </c>
      <c r="B42" s="24" t="s">
        <v>93</v>
      </c>
      <c r="C42" s="24" t="s">
        <v>29</v>
      </c>
      <c r="D42" s="6">
        <v>0</v>
      </c>
      <c r="E42" s="24" t="s">
        <v>93</v>
      </c>
      <c r="F42" s="24" t="s">
        <v>30</v>
      </c>
      <c r="G42" s="24" t="s">
        <v>155</v>
      </c>
      <c r="H42" s="24" t="s">
        <v>158</v>
      </c>
      <c r="I42" s="5">
        <v>13800</v>
      </c>
      <c r="L42" s="5">
        <v>13800</v>
      </c>
      <c r="M42" s="5">
        <v>1478.57</v>
      </c>
      <c r="N42" s="5">
        <v>12321.43</v>
      </c>
    </row>
    <row r="43" spans="1:14">
      <c r="A43" s="24" t="s">
        <v>159</v>
      </c>
      <c r="B43" s="24" t="s">
        <v>93</v>
      </c>
      <c r="C43" s="24" t="s">
        <v>29</v>
      </c>
      <c r="D43" s="6">
        <v>0</v>
      </c>
      <c r="E43" s="24" t="s">
        <v>93</v>
      </c>
      <c r="F43" s="24" t="s">
        <v>30</v>
      </c>
      <c r="G43" s="24" t="s">
        <v>155</v>
      </c>
      <c r="H43" s="24" t="s">
        <v>160</v>
      </c>
      <c r="I43" s="5">
        <v>109781</v>
      </c>
      <c r="L43" s="5">
        <v>109781</v>
      </c>
      <c r="M43" s="5">
        <v>11762.25</v>
      </c>
      <c r="N43" s="5">
        <v>98018.75</v>
      </c>
    </row>
    <row r="44" spans="1:14">
      <c r="A44" s="24" t="s">
        <v>161</v>
      </c>
      <c r="B44" s="24" t="s">
        <v>93</v>
      </c>
      <c r="C44" s="24" t="s">
        <v>162</v>
      </c>
      <c r="D44" s="6">
        <v>90</v>
      </c>
      <c r="E44" s="24" t="s">
        <v>147</v>
      </c>
      <c r="F44" s="24" t="s">
        <v>163</v>
      </c>
      <c r="G44" s="24" t="s">
        <v>164</v>
      </c>
      <c r="H44" s="24" t="s">
        <v>165</v>
      </c>
      <c r="I44" s="5">
        <v>13175</v>
      </c>
      <c r="L44" s="5">
        <v>13175</v>
      </c>
      <c r="M44" s="5">
        <v>1411.61</v>
      </c>
      <c r="N44" s="5">
        <v>11763.39</v>
      </c>
    </row>
    <row r="45" spans="1:14">
      <c r="A45" s="24" t="s">
        <v>166</v>
      </c>
      <c r="B45" s="24" t="s">
        <v>93</v>
      </c>
      <c r="C45" s="24" t="s">
        <v>167</v>
      </c>
      <c r="D45" s="6">
        <v>90</v>
      </c>
      <c r="E45" s="24" t="s">
        <v>147</v>
      </c>
      <c r="F45" s="24" t="s">
        <v>56</v>
      </c>
      <c r="G45" s="24" t="s">
        <v>168</v>
      </c>
      <c r="H45" s="24" t="s">
        <v>169</v>
      </c>
      <c r="I45" s="5">
        <v>205370</v>
      </c>
      <c r="L45" s="5">
        <v>205370</v>
      </c>
      <c r="M45" s="5">
        <v>22003.93</v>
      </c>
      <c r="N45" s="5">
        <v>183366.07</v>
      </c>
    </row>
    <row r="46" spans="1:14">
      <c r="A46" s="24" t="s">
        <v>170</v>
      </c>
      <c r="B46" s="24" t="s">
        <v>93</v>
      </c>
      <c r="C46" s="24" t="s">
        <v>167</v>
      </c>
      <c r="D46" s="6">
        <v>90</v>
      </c>
      <c r="E46" s="24" t="s">
        <v>147</v>
      </c>
      <c r="F46" s="24" t="s">
        <v>56</v>
      </c>
      <c r="G46" s="24" t="s">
        <v>168</v>
      </c>
      <c r="H46" s="24" t="s">
        <v>171</v>
      </c>
      <c r="I46" s="5">
        <v>70560</v>
      </c>
      <c r="L46" s="5">
        <v>70560</v>
      </c>
      <c r="M46" s="5">
        <v>7560</v>
      </c>
      <c r="N46" s="5">
        <v>63000</v>
      </c>
    </row>
    <row r="47" spans="1:14">
      <c r="A47" s="24" t="s">
        <v>172</v>
      </c>
      <c r="B47" s="24" t="s">
        <v>93</v>
      </c>
      <c r="C47" s="24" t="s">
        <v>162</v>
      </c>
      <c r="D47" s="6">
        <v>90</v>
      </c>
      <c r="E47" s="24" t="s">
        <v>147</v>
      </c>
      <c r="F47" s="24" t="s">
        <v>19</v>
      </c>
      <c r="G47" s="24" t="s">
        <v>173</v>
      </c>
      <c r="H47" s="24" t="s">
        <v>174</v>
      </c>
      <c r="I47" s="5">
        <v>36747</v>
      </c>
      <c r="L47" s="5">
        <v>36747</v>
      </c>
      <c r="M47" s="5">
        <v>3937.18</v>
      </c>
      <c r="N47" s="5">
        <v>32809.82</v>
      </c>
    </row>
    <row r="48" spans="1:14">
      <c r="A48" s="24" t="s">
        <v>175</v>
      </c>
      <c r="B48" s="24" t="s">
        <v>93</v>
      </c>
      <c r="C48" s="24" t="s">
        <v>176</v>
      </c>
      <c r="D48" s="6">
        <v>60</v>
      </c>
      <c r="E48" s="24" t="s">
        <v>136</v>
      </c>
      <c r="F48" s="24" t="s">
        <v>69</v>
      </c>
      <c r="G48" s="24" t="s">
        <v>177</v>
      </c>
      <c r="H48" s="24" t="s">
        <v>178</v>
      </c>
      <c r="I48" s="5">
        <v>408000</v>
      </c>
      <c r="L48" s="5">
        <v>408000</v>
      </c>
      <c r="M48" s="5">
        <v>43714.29</v>
      </c>
      <c r="N48" s="5">
        <v>364285.71</v>
      </c>
    </row>
    <row r="49" spans="1:14">
      <c r="A49" s="24" t="s">
        <v>179</v>
      </c>
      <c r="B49" s="24" t="s">
        <v>93</v>
      </c>
      <c r="C49" s="24" t="s">
        <v>18</v>
      </c>
      <c r="D49" s="6">
        <v>0</v>
      </c>
      <c r="E49" s="24" t="s">
        <v>93</v>
      </c>
      <c r="F49" s="24" t="s">
        <v>180</v>
      </c>
      <c r="G49" s="24" t="s">
        <v>181</v>
      </c>
      <c r="H49" s="24" t="s">
        <v>182</v>
      </c>
      <c r="I49" s="5">
        <v>137040</v>
      </c>
      <c r="L49" s="5">
        <v>137040</v>
      </c>
      <c r="M49" s="5">
        <v>14682.86</v>
      </c>
      <c r="N49" s="5">
        <v>122357.14</v>
      </c>
    </row>
    <row r="50" spans="1:14">
      <c r="A50" s="24" t="s">
        <v>183</v>
      </c>
      <c r="B50" s="24" t="s">
        <v>93</v>
      </c>
      <c r="C50" s="24" t="s">
        <v>60</v>
      </c>
      <c r="D50" s="6">
        <v>0</v>
      </c>
      <c r="E50" s="24" t="s">
        <v>93</v>
      </c>
      <c r="F50" s="24" t="s">
        <v>30</v>
      </c>
      <c r="G50" s="24" t="s">
        <v>184</v>
      </c>
      <c r="H50" s="24" t="s">
        <v>185</v>
      </c>
      <c r="I50" s="5">
        <v>110631.75</v>
      </c>
      <c r="L50" s="5">
        <v>110631.75</v>
      </c>
      <c r="M50" s="5">
        <v>11853.4</v>
      </c>
      <c r="N50" s="5">
        <v>98778.35</v>
      </c>
    </row>
    <row r="51" spans="1:14">
      <c r="A51" s="24" t="s">
        <v>186</v>
      </c>
      <c r="B51" s="24" t="s">
        <v>93</v>
      </c>
      <c r="C51" s="24" t="s">
        <v>68</v>
      </c>
      <c r="D51" s="6">
        <v>60</v>
      </c>
      <c r="E51" s="24" t="s">
        <v>136</v>
      </c>
      <c r="F51" s="24" t="s">
        <v>36</v>
      </c>
      <c r="G51" s="24" t="s">
        <v>187</v>
      </c>
      <c r="H51" s="24" t="s">
        <v>188</v>
      </c>
      <c r="I51" s="5">
        <v>53180</v>
      </c>
      <c r="L51" s="5">
        <v>53180</v>
      </c>
      <c r="M51" s="5">
        <v>5697.86</v>
      </c>
      <c r="N51" s="5">
        <v>47482.14</v>
      </c>
    </row>
    <row r="52" spans="1:14">
      <c r="A52" s="24" t="s">
        <v>189</v>
      </c>
      <c r="B52" s="24" t="s">
        <v>93</v>
      </c>
      <c r="C52" s="24" t="s">
        <v>60</v>
      </c>
      <c r="D52" s="6">
        <v>0</v>
      </c>
      <c r="E52" s="24" t="s">
        <v>93</v>
      </c>
      <c r="F52" s="24" t="s">
        <v>56</v>
      </c>
      <c r="G52" s="24" t="s">
        <v>190</v>
      </c>
      <c r="H52" s="24" t="s">
        <v>191</v>
      </c>
      <c r="I52" s="5">
        <v>73932</v>
      </c>
      <c r="L52" s="5">
        <v>73932</v>
      </c>
      <c r="M52" s="5">
        <v>7921.29</v>
      </c>
      <c r="N52" s="5">
        <v>66010.710000000006</v>
      </c>
    </row>
    <row r="53" spans="1:14">
      <c r="A53" s="24" t="s">
        <v>192</v>
      </c>
      <c r="B53" s="24" t="s">
        <v>93</v>
      </c>
      <c r="C53" s="24" t="s">
        <v>162</v>
      </c>
      <c r="D53" s="6">
        <v>90</v>
      </c>
      <c r="E53" s="24" t="s">
        <v>147</v>
      </c>
      <c r="F53" s="24" t="s">
        <v>36</v>
      </c>
      <c r="G53" s="24" t="s">
        <v>193</v>
      </c>
      <c r="H53" s="24" t="s">
        <v>194</v>
      </c>
      <c r="I53" s="5">
        <v>2053</v>
      </c>
      <c r="L53" s="5">
        <v>2053</v>
      </c>
      <c r="M53" s="7">
        <v>219.96</v>
      </c>
      <c r="N53" s="5">
        <v>1833.04</v>
      </c>
    </row>
    <row r="54" spans="1:14">
      <c r="A54" s="24" t="s">
        <v>195</v>
      </c>
      <c r="B54" s="24" t="s">
        <v>93</v>
      </c>
      <c r="C54" s="24" t="s">
        <v>60</v>
      </c>
      <c r="D54" s="6">
        <v>0</v>
      </c>
      <c r="E54" s="24" t="s">
        <v>93</v>
      </c>
      <c r="F54" s="24" t="s">
        <v>56</v>
      </c>
      <c r="G54" s="24" t="s">
        <v>196</v>
      </c>
      <c r="H54" s="24" t="s">
        <v>197</v>
      </c>
      <c r="I54" s="5">
        <v>192020</v>
      </c>
      <c r="L54" s="5">
        <v>192020</v>
      </c>
      <c r="M54" s="5">
        <v>20573.57</v>
      </c>
      <c r="N54" s="5">
        <v>171446.43</v>
      </c>
    </row>
    <row r="55" spans="1:14">
      <c r="A55" s="24" t="s">
        <v>198</v>
      </c>
      <c r="B55" s="24" t="s">
        <v>199</v>
      </c>
      <c r="C55" s="24" t="s">
        <v>34</v>
      </c>
      <c r="D55" s="6">
        <v>60</v>
      </c>
      <c r="E55" s="24" t="s">
        <v>200</v>
      </c>
      <c r="F55" s="24" t="s">
        <v>30</v>
      </c>
      <c r="G55" s="24" t="s">
        <v>201</v>
      </c>
      <c r="H55" s="24" t="s">
        <v>202</v>
      </c>
      <c r="I55" s="5">
        <v>7200</v>
      </c>
      <c r="L55" s="5">
        <v>7200</v>
      </c>
      <c r="M55" s="7">
        <v>771.43</v>
      </c>
      <c r="N55" s="5">
        <v>6428.57</v>
      </c>
    </row>
    <row r="56" spans="1:14">
      <c r="A56" s="24" t="s">
        <v>203</v>
      </c>
      <c r="B56" s="24" t="s">
        <v>199</v>
      </c>
      <c r="C56" s="24" t="s">
        <v>34</v>
      </c>
      <c r="D56" s="6">
        <v>60</v>
      </c>
      <c r="E56" s="24" t="s">
        <v>200</v>
      </c>
      <c r="F56" s="24" t="s">
        <v>204</v>
      </c>
      <c r="G56" s="24" t="s">
        <v>205</v>
      </c>
      <c r="H56" s="24" t="s">
        <v>206</v>
      </c>
      <c r="I56" s="5">
        <v>45500</v>
      </c>
      <c r="L56" s="5">
        <v>45500</v>
      </c>
      <c r="M56" s="5">
        <v>4875</v>
      </c>
      <c r="N56" s="5">
        <v>40625</v>
      </c>
    </row>
    <row r="57" spans="1:14">
      <c r="A57" s="24" t="s">
        <v>207</v>
      </c>
      <c r="B57" s="24" t="s">
        <v>199</v>
      </c>
      <c r="C57" s="24" t="s">
        <v>60</v>
      </c>
      <c r="D57" s="6">
        <v>0</v>
      </c>
      <c r="E57" s="24" t="s">
        <v>199</v>
      </c>
      <c r="F57" s="24" t="s">
        <v>46</v>
      </c>
      <c r="G57" s="24" t="s">
        <v>208</v>
      </c>
      <c r="H57" s="24" t="s">
        <v>209</v>
      </c>
      <c r="I57" s="5">
        <v>6272</v>
      </c>
      <c r="L57" s="5">
        <v>6272</v>
      </c>
      <c r="M57" s="7">
        <v>672</v>
      </c>
      <c r="N57" s="5">
        <v>5600</v>
      </c>
    </row>
    <row r="58" spans="1:14">
      <c r="A58" s="24" t="s">
        <v>210</v>
      </c>
      <c r="B58" s="24" t="s">
        <v>199</v>
      </c>
      <c r="C58" s="24" t="s">
        <v>60</v>
      </c>
      <c r="D58" s="6">
        <v>0</v>
      </c>
      <c r="E58" s="24" t="s">
        <v>199</v>
      </c>
      <c r="F58" s="24" t="s">
        <v>56</v>
      </c>
      <c r="G58" s="24" t="s">
        <v>211</v>
      </c>
      <c r="H58" s="24" t="s">
        <v>212</v>
      </c>
      <c r="I58" s="5">
        <v>56000</v>
      </c>
      <c r="L58" s="5">
        <v>56000</v>
      </c>
      <c r="M58" s="5">
        <v>6000</v>
      </c>
      <c r="N58" s="5">
        <v>50000</v>
      </c>
    </row>
    <row r="59" spans="1:14">
      <c r="A59" s="24" t="s">
        <v>213</v>
      </c>
      <c r="B59" s="24" t="s">
        <v>199</v>
      </c>
      <c r="C59" s="24" t="s">
        <v>60</v>
      </c>
      <c r="D59" s="6">
        <v>0</v>
      </c>
      <c r="E59" s="24" t="s">
        <v>199</v>
      </c>
      <c r="F59" s="24" t="s">
        <v>56</v>
      </c>
      <c r="G59" s="24" t="s">
        <v>211</v>
      </c>
      <c r="H59" s="24" t="s">
        <v>214</v>
      </c>
      <c r="I59" s="5">
        <v>28000</v>
      </c>
      <c r="L59" s="5">
        <v>28000</v>
      </c>
      <c r="M59" s="5">
        <v>3000</v>
      </c>
      <c r="N59" s="5">
        <v>25000</v>
      </c>
    </row>
    <row r="60" spans="1:14">
      <c r="A60" s="24" t="s">
        <v>215</v>
      </c>
      <c r="B60" s="24" t="s">
        <v>199</v>
      </c>
      <c r="C60" s="24" t="s">
        <v>60</v>
      </c>
      <c r="D60" s="6">
        <v>0</v>
      </c>
      <c r="E60" s="24" t="s">
        <v>199</v>
      </c>
      <c r="F60" s="24" t="s">
        <v>56</v>
      </c>
      <c r="G60" s="24" t="s">
        <v>211</v>
      </c>
      <c r="H60" s="24" t="s">
        <v>216</v>
      </c>
      <c r="I60" s="5">
        <v>28000</v>
      </c>
      <c r="L60" s="5">
        <v>28000</v>
      </c>
      <c r="M60" s="5">
        <v>3000</v>
      </c>
      <c r="N60" s="5">
        <v>25000</v>
      </c>
    </row>
    <row r="61" spans="1:14">
      <c r="A61" s="24" t="s">
        <v>217</v>
      </c>
      <c r="B61" s="24" t="s">
        <v>199</v>
      </c>
      <c r="C61" s="24" t="s">
        <v>29</v>
      </c>
      <c r="D61" s="6">
        <v>0</v>
      </c>
      <c r="E61" s="24" t="s">
        <v>199</v>
      </c>
      <c r="F61" s="24" t="s">
        <v>30</v>
      </c>
      <c r="G61" s="24" t="s">
        <v>218</v>
      </c>
      <c r="H61" s="24" t="s">
        <v>219</v>
      </c>
      <c r="I61" s="5">
        <v>1078560</v>
      </c>
      <c r="J61" s="4">
        <v>-32356.799999999999</v>
      </c>
      <c r="L61" s="5">
        <v>1046203.2</v>
      </c>
      <c r="M61" s="5">
        <v>112093.2</v>
      </c>
      <c r="N61" s="5">
        <v>934110</v>
      </c>
    </row>
    <row r="62" spans="1:14">
      <c r="A62" s="24" t="s">
        <v>220</v>
      </c>
      <c r="B62" s="24" t="s">
        <v>199</v>
      </c>
      <c r="C62" s="24" t="s">
        <v>60</v>
      </c>
      <c r="D62" s="6">
        <v>0</v>
      </c>
      <c r="E62" s="24" t="s">
        <v>199</v>
      </c>
      <c r="F62" s="24" t="s">
        <v>56</v>
      </c>
      <c r="G62" s="24" t="s">
        <v>190</v>
      </c>
      <c r="H62" s="24" t="s">
        <v>221</v>
      </c>
      <c r="I62" s="5">
        <v>11407.2</v>
      </c>
      <c r="L62" s="5">
        <v>11407.2</v>
      </c>
      <c r="M62" s="5">
        <v>1222.2</v>
      </c>
      <c r="N62" s="5">
        <v>10185</v>
      </c>
    </row>
    <row r="63" spans="1:14">
      <c r="A63" s="24" t="s">
        <v>222</v>
      </c>
      <c r="B63" s="24" t="s">
        <v>199</v>
      </c>
      <c r="C63" s="24" t="s">
        <v>23</v>
      </c>
      <c r="D63" s="6">
        <v>30</v>
      </c>
      <c r="E63" s="24" t="s">
        <v>223</v>
      </c>
      <c r="F63" s="24" t="s">
        <v>180</v>
      </c>
      <c r="G63" s="24" t="s">
        <v>224</v>
      </c>
      <c r="H63" s="24" t="s">
        <v>225</v>
      </c>
      <c r="I63" s="5">
        <v>68700</v>
      </c>
      <c r="L63" s="5">
        <v>68700</v>
      </c>
      <c r="M63" s="5">
        <v>7360.71</v>
      </c>
      <c r="N63" s="5">
        <v>61339.29</v>
      </c>
    </row>
    <row r="64" spans="1:14">
      <c r="A64" s="24" t="s">
        <v>226</v>
      </c>
      <c r="B64" s="24" t="s">
        <v>199</v>
      </c>
      <c r="C64" s="24" t="s">
        <v>29</v>
      </c>
      <c r="D64" s="6">
        <v>0</v>
      </c>
      <c r="E64" s="24" t="s">
        <v>199</v>
      </c>
      <c r="F64" s="24" t="s">
        <v>30</v>
      </c>
      <c r="G64" s="24" t="s">
        <v>31</v>
      </c>
      <c r="H64" s="24" t="s">
        <v>227</v>
      </c>
      <c r="I64" s="5">
        <v>23901</v>
      </c>
      <c r="L64" s="5">
        <v>23901</v>
      </c>
      <c r="M64" s="5">
        <v>2560.8200000000002</v>
      </c>
      <c r="N64" s="5">
        <v>21340.18</v>
      </c>
    </row>
    <row r="65" spans="1:14">
      <c r="A65" s="24" t="s">
        <v>228</v>
      </c>
      <c r="B65" s="24" t="s">
        <v>199</v>
      </c>
      <c r="C65" s="24" t="s">
        <v>29</v>
      </c>
      <c r="D65" s="6">
        <v>0</v>
      </c>
      <c r="E65" s="24" t="s">
        <v>199</v>
      </c>
      <c r="F65" s="24" t="s">
        <v>30</v>
      </c>
      <c r="G65" s="24" t="s">
        <v>31</v>
      </c>
      <c r="H65" s="24" t="s">
        <v>229</v>
      </c>
      <c r="I65" s="5">
        <v>266668</v>
      </c>
      <c r="L65" s="5">
        <v>266668</v>
      </c>
      <c r="M65" s="5">
        <v>28571.57</v>
      </c>
      <c r="N65" s="5">
        <v>238096.43</v>
      </c>
    </row>
    <row r="66" spans="1:14">
      <c r="A66" s="24" t="s">
        <v>230</v>
      </c>
      <c r="B66" s="24" t="s">
        <v>199</v>
      </c>
      <c r="C66" s="24" t="s">
        <v>68</v>
      </c>
      <c r="D66" s="6">
        <v>60</v>
      </c>
      <c r="E66" s="24" t="s">
        <v>200</v>
      </c>
      <c r="F66" s="24" t="s">
        <v>69</v>
      </c>
      <c r="G66" s="24" t="s">
        <v>70</v>
      </c>
      <c r="H66" s="24" t="s">
        <v>231</v>
      </c>
      <c r="I66" s="5">
        <v>2419200</v>
      </c>
      <c r="L66" s="5">
        <v>2419200</v>
      </c>
      <c r="M66" s="5">
        <v>259200</v>
      </c>
      <c r="N66" s="5">
        <v>2160000</v>
      </c>
    </row>
    <row r="67" spans="1:14">
      <c r="A67" s="24" t="s">
        <v>232</v>
      </c>
      <c r="B67" s="24" t="s">
        <v>199</v>
      </c>
      <c r="C67" s="24" t="s">
        <v>162</v>
      </c>
      <c r="D67" s="6">
        <v>90</v>
      </c>
      <c r="E67" s="24" t="s">
        <v>233</v>
      </c>
      <c r="F67" s="24" t="s">
        <v>56</v>
      </c>
      <c r="G67" s="24" t="s">
        <v>234</v>
      </c>
      <c r="H67" s="24" t="s">
        <v>235</v>
      </c>
      <c r="I67" s="5">
        <v>15682</v>
      </c>
      <c r="L67" s="5">
        <v>15682</v>
      </c>
      <c r="M67" s="5">
        <v>1680.21</v>
      </c>
      <c r="N67" s="5">
        <v>14001.79</v>
      </c>
    </row>
    <row r="68" spans="1:14">
      <c r="A68" s="24" t="s">
        <v>236</v>
      </c>
      <c r="B68" s="24" t="s">
        <v>199</v>
      </c>
      <c r="C68" s="24" t="s">
        <v>237</v>
      </c>
      <c r="D68" s="6">
        <v>60</v>
      </c>
      <c r="E68" s="24" t="s">
        <v>200</v>
      </c>
      <c r="F68" s="24" t="s">
        <v>180</v>
      </c>
      <c r="G68" s="24" t="s">
        <v>238</v>
      </c>
      <c r="H68" s="24" t="s">
        <v>239</v>
      </c>
      <c r="I68" s="5">
        <v>250950</v>
      </c>
      <c r="L68" s="5">
        <v>250950</v>
      </c>
      <c r="M68" s="5">
        <v>26887.5</v>
      </c>
      <c r="N68" s="5">
        <v>224062.5</v>
      </c>
    </row>
    <row r="69" spans="1:14">
      <c r="A69" s="24" t="s">
        <v>240</v>
      </c>
      <c r="B69" s="24" t="s">
        <v>199</v>
      </c>
      <c r="C69" s="24" t="s">
        <v>60</v>
      </c>
      <c r="D69" s="6">
        <v>0</v>
      </c>
      <c r="E69" s="24" t="s">
        <v>199</v>
      </c>
      <c r="F69" s="24" t="s">
        <v>56</v>
      </c>
      <c r="G69" s="24" t="s">
        <v>190</v>
      </c>
      <c r="H69" s="24" t="s">
        <v>241</v>
      </c>
      <c r="I69" s="5">
        <v>7760</v>
      </c>
      <c r="L69" s="5">
        <v>7760</v>
      </c>
      <c r="M69" s="7">
        <v>831.43</v>
      </c>
      <c r="N69" s="5">
        <v>6928.57</v>
      </c>
    </row>
    <row r="70" spans="1:14">
      <c r="A70" s="24" t="s">
        <v>242</v>
      </c>
      <c r="B70" s="24" t="s">
        <v>199</v>
      </c>
      <c r="C70" s="24" t="s">
        <v>243</v>
      </c>
      <c r="D70" s="6">
        <v>30</v>
      </c>
      <c r="E70" s="24" t="s">
        <v>223</v>
      </c>
      <c r="F70" s="24" t="s">
        <v>56</v>
      </c>
      <c r="G70" s="24" t="s">
        <v>244</v>
      </c>
      <c r="H70" s="24" t="s">
        <v>245</v>
      </c>
      <c r="I70" s="5">
        <v>28250</v>
      </c>
      <c r="L70" s="5">
        <v>28250</v>
      </c>
      <c r="M70" s="5">
        <v>3026.79</v>
      </c>
      <c r="N70" s="5">
        <v>25223.21</v>
      </c>
    </row>
    <row r="71" spans="1:14">
      <c r="A71" s="24" t="s">
        <v>246</v>
      </c>
      <c r="B71" s="24" t="s">
        <v>199</v>
      </c>
      <c r="C71" s="24" t="s">
        <v>73</v>
      </c>
      <c r="D71" s="6">
        <v>30</v>
      </c>
      <c r="E71" s="24" t="s">
        <v>223</v>
      </c>
      <c r="F71" s="24" t="s">
        <v>19</v>
      </c>
      <c r="G71" s="24" t="s">
        <v>247</v>
      </c>
      <c r="H71" s="24" t="s">
        <v>248</v>
      </c>
      <c r="I71" s="5">
        <v>468480</v>
      </c>
      <c r="L71" s="5">
        <v>468480</v>
      </c>
      <c r="M71" s="5">
        <v>50194.29</v>
      </c>
      <c r="N71" s="5">
        <v>418285.71</v>
      </c>
    </row>
    <row r="72" spans="1:14">
      <c r="A72" s="24" t="s">
        <v>249</v>
      </c>
      <c r="B72" s="24" t="s">
        <v>199</v>
      </c>
      <c r="C72" s="24" t="s">
        <v>146</v>
      </c>
      <c r="D72" s="6">
        <v>90</v>
      </c>
      <c r="E72" s="24" t="s">
        <v>233</v>
      </c>
      <c r="F72" s="24" t="s">
        <v>139</v>
      </c>
      <c r="G72" s="24" t="s">
        <v>250</v>
      </c>
      <c r="H72" s="24" t="s">
        <v>251</v>
      </c>
      <c r="I72" s="5">
        <v>101126</v>
      </c>
      <c r="L72" s="5">
        <v>101126</v>
      </c>
      <c r="M72" s="5">
        <v>10834.93</v>
      </c>
      <c r="N72" s="5">
        <v>90291.07</v>
      </c>
    </row>
    <row r="73" spans="1:14">
      <c r="A73" s="24" t="s">
        <v>252</v>
      </c>
      <c r="B73" s="24" t="s">
        <v>199</v>
      </c>
      <c r="C73" s="24" t="s">
        <v>68</v>
      </c>
      <c r="D73" s="6">
        <v>60</v>
      </c>
      <c r="E73" s="24" t="s">
        <v>200</v>
      </c>
      <c r="F73" s="24" t="s">
        <v>69</v>
      </c>
      <c r="G73" s="24" t="s">
        <v>253</v>
      </c>
      <c r="H73" s="24" t="s">
        <v>254</v>
      </c>
      <c r="I73" s="5">
        <v>219190</v>
      </c>
      <c r="L73" s="5">
        <v>219190</v>
      </c>
      <c r="M73" s="5">
        <v>23484.639999999999</v>
      </c>
      <c r="N73" s="5">
        <v>195705.36</v>
      </c>
    </row>
    <row r="74" spans="1:14">
      <c r="A74" s="24" t="s">
        <v>255</v>
      </c>
      <c r="B74" s="24" t="s">
        <v>199</v>
      </c>
      <c r="C74" s="24" t="s">
        <v>68</v>
      </c>
      <c r="D74" s="6">
        <v>60</v>
      </c>
      <c r="E74" s="24" t="s">
        <v>200</v>
      </c>
      <c r="F74" s="24" t="s">
        <v>69</v>
      </c>
      <c r="G74" s="24" t="s">
        <v>253</v>
      </c>
      <c r="H74" s="24" t="s">
        <v>256</v>
      </c>
      <c r="I74" s="5">
        <v>255015</v>
      </c>
      <c r="L74" s="5">
        <v>255015</v>
      </c>
      <c r="M74" s="5">
        <v>27323.040000000001</v>
      </c>
      <c r="N74" s="5">
        <v>227691.96</v>
      </c>
    </row>
    <row r="75" spans="1:14">
      <c r="A75" s="24" t="s">
        <v>257</v>
      </c>
      <c r="B75" s="24" t="s">
        <v>199</v>
      </c>
      <c r="C75" s="24" t="s">
        <v>68</v>
      </c>
      <c r="D75" s="6">
        <v>60</v>
      </c>
      <c r="E75" s="24" t="s">
        <v>200</v>
      </c>
      <c r="F75" s="24" t="s">
        <v>69</v>
      </c>
      <c r="G75" s="24" t="s">
        <v>253</v>
      </c>
      <c r="H75" s="24" t="s">
        <v>258</v>
      </c>
      <c r="I75" s="5">
        <v>264015</v>
      </c>
      <c r="L75" s="5">
        <v>264015</v>
      </c>
      <c r="M75" s="5">
        <v>28287.32</v>
      </c>
      <c r="N75" s="5">
        <v>235727.68</v>
      </c>
    </row>
    <row r="76" spans="1:14">
      <c r="A76" s="24" t="s">
        <v>259</v>
      </c>
      <c r="B76" s="24" t="s">
        <v>199</v>
      </c>
      <c r="C76" s="24" t="s">
        <v>68</v>
      </c>
      <c r="D76" s="6">
        <v>60</v>
      </c>
      <c r="E76" s="24" t="s">
        <v>200</v>
      </c>
      <c r="F76" s="24" t="s">
        <v>69</v>
      </c>
      <c r="G76" s="24" t="s">
        <v>253</v>
      </c>
      <c r="H76" s="24" t="s">
        <v>260</v>
      </c>
      <c r="I76" s="5">
        <v>168550</v>
      </c>
      <c r="L76" s="5">
        <v>168550</v>
      </c>
      <c r="M76" s="5">
        <v>18058.93</v>
      </c>
      <c r="N76" s="5">
        <v>150491.07</v>
      </c>
    </row>
    <row r="77" spans="1:14">
      <c r="A77" s="24" t="s">
        <v>261</v>
      </c>
      <c r="B77" s="24" t="s">
        <v>199</v>
      </c>
      <c r="C77" s="24" t="s">
        <v>68</v>
      </c>
      <c r="D77" s="6">
        <v>60</v>
      </c>
      <c r="E77" s="24" t="s">
        <v>200</v>
      </c>
      <c r="F77" s="24" t="s">
        <v>69</v>
      </c>
      <c r="G77" s="24" t="s">
        <v>253</v>
      </c>
      <c r="H77" s="24" t="s">
        <v>262</v>
      </c>
      <c r="I77" s="5">
        <v>228290</v>
      </c>
      <c r="L77" s="5">
        <v>228290</v>
      </c>
      <c r="M77" s="5">
        <v>24459.64</v>
      </c>
      <c r="N77" s="5">
        <v>203830.36</v>
      </c>
    </row>
    <row r="78" spans="1:14">
      <c r="A78" s="24" t="s">
        <v>263</v>
      </c>
      <c r="B78" s="24" t="s">
        <v>199</v>
      </c>
      <c r="C78" s="24" t="s">
        <v>151</v>
      </c>
      <c r="D78" s="6">
        <v>60</v>
      </c>
      <c r="E78" s="24" t="s">
        <v>200</v>
      </c>
      <c r="F78" s="24" t="s">
        <v>139</v>
      </c>
      <c r="G78" s="24" t="s">
        <v>264</v>
      </c>
      <c r="H78" s="24" t="s">
        <v>265</v>
      </c>
      <c r="I78" s="5">
        <v>20960</v>
      </c>
      <c r="L78" s="5">
        <v>20960</v>
      </c>
      <c r="M78" s="5">
        <v>2245.71</v>
      </c>
      <c r="N78" s="5">
        <v>18714.29</v>
      </c>
    </row>
    <row r="79" spans="1:14">
      <c r="A79" s="24" t="s">
        <v>266</v>
      </c>
      <c r="B79" s="24" t="s">
        <v>199</v>
      </c>
      <c r="C79" s="24" t="s">
        <v>73</v>
      </c>
      <c r="D79" s="6">
        <v>30</v>
      </c>
      <c r="E79" s="24" t="s">
        <v>223</v>
      </c>
      <c r="F79" s="24" t="s">
        <v>19</v>
      </c>
      <c r="G79" s="24" t="s">
        <v>267</v>
      </c>
      <c r="H79" s="24" t="s">
        <v>268</v>
      </c>
      <c r="I79" s="5">
        <v>219100</v>
      </c>
      <c r="K79" s="5">
        <v>7500</v>
      </c>
      <c r="L79" s="5">
        <v>226600</v>
      </c>
      <c r="M79" s="5">
        <v>24278.57</v>
      </c>
      <c r="N79" s="5">
        <v>202321.43</v>
      </c>
    </row>
    <row r="80" spans="1:14">
      <c r="A80" s="24" t="s">
        <v>269</v>
      </c>
      <c r="B80" s="24" t="s">
        <v>199</v>
      </c>
      <c r="C80" s="24" t="s">
        <v>73</v>
      </c>
      <c r="D80" s="6">
        <v>30</v>
      </c>
      <c r="E80" s="24" t="s">
        <v>223</v>
      </c>
      <c r="F80" s="24" t="s">
        <v>270</v>
      </c>
      <c r="G80" s="24" t="s">
        <v>271</v>
      </c>
      <c r="H80" s="24" t="s">
        <v>272</v>
      </c>
      <c r="I80" s="5">
        <v>220750</v>
      </c>
      <c r="L80" s="5">
        <v>220750</v>
      </c>
      <c r="N80" s="5">
        <v>220750</v>
      </c>
    </row>
    <row r="81" spans="1:14">
      <c r="A81" s="24" t="s">
        <v>273</v>
      </c>
      <c r="B81" s="24" t="s">
        <v>199</v>
      </c>
      <c r="C81" s="24" t="s">
        <v>104</v>
      </c>
      <c r="D81" s="6">
        <v>0</v>
      </c>
      <c r="E81" s="24" t="s">
        <v>199</v>
      </c>
      <c r="F81" s="24" t="s">
        <v>105</v>
      </c>
      <c r="G81" s="24" t="s">
        <v>274</v>
      </c>
      <c r="H81" s="24" t="s">
        <v>275</v>
      </c>
      <c r="I81" s="5">
        <v>55933</v>
      </c>
      <c r="J81" s="4">
        <v>-1118.6600000000001</v>
      </c>
      <c r="L81" s="5">
        <v>54814.34</v>
      </c>
      <c r="M81" s="5">
        <v>5872.97</v>
      </c>
      <c r="N81" s="5">
        <v>48941.37</v>
      </c>
    </row>
    <row r="82" spans="1:14">
      <c r="A82" s="24" t="s">
        <v>276</v>
      </c>
      <c r="B82" s="24" t="s">
        <v>199</v>
      </c>
      <c r="C82" s="24" t="s">
        <v>104</v>
      </c>
      <c r="D82" s="6">
        <v>0</v>
      </c>
      <c r="E82" s="24" t="s">
        <v>199</v>
      </c>
      <c r="F82" s="24" t="s">
        <v>69</v>
      </c>
      <c r="G82" s="24" t="s">
        <v>277</v>
      </c>
      <c r="H82" s="24" t="s">
        <v>278</v>
      </c>
      <c r="I82" s="5">
        <v>39907</v>
      </c>
      <c r="L82" s="5">
        <v>39907</v>
      </c>
      <c r="M82" s="5">
        <v>4275.75</v>
      </c>
      <c r="N82" s="5">
        <v>35631.25</v>
      </c>
    </row>
    <row r="83" spans="1:14">
      <c r="A83" s="24" t="s">
        <v>279</v>
      </c>
      <c r="B83" s="24" t="s">
        <v>199</v>
      </c>
      <c r="C83" s="24" t="s">
        <v>54</v>
      </c>
      <c r="D83" s="6">
        <v>90</v>
      </c>
      <c r="E83" s="24" t="s">
        <v>233</v>
      </c>
      <c r="F83" s="24" t="s">
        <v>56</v>
      </c>
      <c r="G83" s="24" t="s">
        <v>90</v>
      </c>
      <c r="H83" s="24" t="s">
        <v>280</v>
      </c>
      <c r="I83" s="5">
        <v>191133</v>
      </c>
      <c r="L83" s="5">
        <v>191133</v>
      </c>
      <c r="M83" s="5">
        <v>20478.54</v>
      </c>
      <c r="N83" s="5">
        <v>170654.46</v>
      </c>
    </row>
    <row r="84" spans="1:14">
      <c r="A84" s="24" t="s">
        <v>281</v>
      </c>
      <c r="B84" s="24" t="s">
        <v>282</v>
      </c>
      <c r="C84" s="24" t="s">
        <v>60</v>
      </c>
      <c r="D84" s="6">
        <v>0</v>
      </c>
      <c r="E84" s="24" t="s">
        <v>282</v>
      </c>
      <c r="F84" s="24" t="s">
        <v>19</v>
      </c>
      <c r="G84" s="24" t="s">
        <v>283</v>
      </c>
      <c r="H84" s="24" t="s">
        <v>284</v>
      </c>
      <c r="I84" s="5">
        <v>51923</v>
      </c>
      <c r="J84" s="4">
        <v>-1038.46</v>
      </c>
      <c r="L84" s="5">
        <v>50884.54</v>
      </c>
      <c r="M84" s="5">
        <v>5451.91</v>
      </c>
      <c r="N84" s="5">
        <v>45432.63</v>
      </c>
    </row>
    <row r="85" spans="1:14">
      <c r="A85" s="24" t="s">
        <v>285</v>
      </c>
      <c r="B85" s="24" t="s">
        <v>282</v>
      </c>
      <c r="C85" s="24" t="s">
        <v>34</v>
      </c>
      <c r="D85" s="6">
        <v>60</v>
      </c>
      <c r="E85" s="24" t="s">
        <v>286</v>
      </c>
      <c r="F85" s="24" t="s">
        <v>19</v>
      </c>
      <c r="G85" s="24" t="s">
        <v>287</v>
      </c>
      <c r="H85" s="24" t="s">
        <v>288</v>
      </c>
      <c r="I85" s="5">
        <v>19080</v>
      </c>
      <c r="L85" s="5">
        <v>19080</v>
      </c>
      <c r="M85" s="5">
        <v>2044.29</v>
      </c>
      <c r="N85" s="5">
        <v>17035.71</v>
      </c>
    </row>
    <row r="86" spans="1:14">
      <c r="A86" s="24" t="s">
        <v>289</v>
      </c>
      <c r="B86" s="24" t="s">
        <v>282</v>
      </c>
      <c r="C86" s="24" t="s">
        <v>54</v>
      </c>
      <c r="D86" s="6">
        <v>90</v>
      </c>
      <c r="E86" s="24" t="s">
        <v>290</v>
      </c>
      <c r="F86" s="24" t="s">
        <v>56</v>
      </c>
      <c r="G86" s="24" t="s">
        <v>90</v>
      </c>
      <c r="H86" s="24" t="s">
        <v>291</v>
      </c>
      <c r="I86" s="5">
        <v>282155</v>
      </c>
      <c r="L86" s="5">
        <v>282155</v>
      </c>
      <c r="M86" s="5">
        <v>30230.89</v>
      </c>
      <c r="N86" s="5">
        <v>251924.11</v>
      </c>
    </row>
    <row r="87" spans="1:14">
      <c r="A87" s="24" t="s">
        <v>292</v>
      </c>
      <c r="B87" s="24" t="s">
        <v>282</v>
      </c>
      <c r="C87" s="24" t="s">
        <v>60</v>
      </c>
      <c r="D87" s="6">
        <v>0</v>
      </c>
      <c r="E87" s="24" t="s">
        <v>282</v>
      </c>
      <c r="F87" s="24" t="s">
        <v>56</v>
      </c>
      <c r="G87" s="24" t="s">
        <v>293</v>
      </c>
      <c r="H87" s="24" t="s">
        <v>294</v>
      </c>
      <c r="I87" s="5">
        <v>58930</v>
      </c>
      <c r="L87" s="5">
        <v>58930</v>
      </c>
      <c r="M87" s="5">
        <v>6313.93</v>
      </c>
      <c r="N87" s="5">
        <v>52616.07</v>
      </c>
    </row>
    <row r="88" spans="1:14">
      <c r="A88" s="24" t="s">
        <v>295</v>
      </c>
      <c r="B88" s="24" t="s">
        <v>282</v>
      </c>
      <c r="C88" s="24" t="s">
        <v>23</v>
      </c>
      <c r="D88" s="6">
        <v>30</v>
      </c>
      <c r="E88" s="24" t="s">
        <v>296</v>
      </c>
      <c r="F88" s="24" t="s">
        <v>139</v>
      </c>
      <c r="G88" s="24" t="s">
        <v>297</v>
      </c>
      <c r="H88" s="24" t="s">
        <v>298</v>
      </c>
      <c r="I88" s="5">
        <v>19604</v>
      </c>
      <c r="L88" s="5">
        <v>19604</v>
      </c>
      <c r="M88" s="5">
        <v>2100.4299999999998</v>
      </c>
      <c r="N88" s="5">
        <v>17503.57</v>
      </c>
    </row>
    <row r="89" spans="1:14">
      <c r="A89" s="24" t="s">
        <v>299</v>
      </c>
      <c r="B89" s="24" t="s">
        <v>282</v>
      </c>
      <c r="C89" s="24" t="s">
        <v>60</v>
      </c>
      <c r="D89" s="6">
        <v>0</v>
      </c>
      <c r="E89" s="24" t="s">
        <v>282</v>
      </c>
      <c r="F89" s="24" t="s">
        <v>270</v>
      </c>
      <c r="G89" s="24" t="s">
        <v>300</v>
      </c>
      <c r="H89" s="24" t="s">
        <v>301</v>
      </c>
      <c r="I89" s="5">
        <v>67461.240000000005</v>
      </c>
      <c r="L89" s="5">
        <v>67461.240000000005</v>
      </c>
      <c r="M89" s="5">
        <v>7227.99</v>
      </c>
      <c r="N89" s="5">
        <v>60233.25</v>
      </c>
    </row>
    <row r="90" spans="1:14">
      <c r="A90" s="24" t="s">
        <v>302</v>
      </c>
      <c r="B90" s="24" t="s">
        <v>282</v>
      </c>
      <c r="C90" s="24" t="s">
        <v>237</v>
      </c>
      <c r="D90" s="6">
        <v>60</v>
      </c>
      <c r="E90" s="24" t="s">
        <v>286</v>
      </c>
      <c r="F90" s="24" t="s">
        <v>69</v>
      </c>
      <c r="G90" s="24" t="s">
        <v>303</v>
      </c>
      <c r="H90" s="24" t="s">
        <v>304</v>
      </c>
      <c r="I90" s="5">
        <v>112895</v>
      </c>
      <c r="L90" s="5">
        <v>112895</v>
      </c>
      <c r="M90" s="5">
        <v>12095.89</v>
      </c>
      <c r="N90" s="5">
        <v>100799.11</v>
      </c>
    </row>
    <row r="91" spans="1:14">
      <c r="A91" s="24" t="s">
        <v>305</v>
      </c>
      <c r="B91" s="24" t="s">
        <v>282</v>
      </c>
      <c r="C91" s="24" t="s">
        <v>237</v>
      </c>
      <c r="D91" s="6">
        <v>60</v>
      </c>
      <c r="E91" s="24" t="s">
        <v>286</v>
      </c>
      <c r="F91" s="24" t="s">
        <v>69</v>
      </c>
      <c r="G91" s="24" t="s">
        <v>303</v>
      </c>
      <c r="H91" s="24" t="s">
        <v>306</v>
      </c>
      <c r="I91" s="5">
        <v>300000</v>
      </c>
      <c r="L91" s="5">
        <v>300000</v>
      </c>
      <c r="M91" s="5">
        <v>32142.86</v>
      </c>
      <c r="N91" s="5">
        <v>267857.14</v>
      </c>
    </row>
    <row r="92" spans="1:14">
      <c r="A92" s="24" t="s">
        <v>307</v>
      </c>
      <c r="B92" s="24" t="s">
        <v>282</v>
      </c>
      <c r="C92" s="24" t="s">
        <v>237</v>
      </c>
      <c r="D92" s="6">
        <v>60</v>
      </c>
      <c r="E92" s="24" t="s">
        <v>286</v>
      </c>
      <c r="F92" s="24" t="s">
        <v>69</v>
      </c>
      <c r="G92" s="24" t="s">
        <v>303</v>
      </c>
      <c r="H92" s="24" t="s">
        <v>308</v>
      </c>
      <c r="I92" s="5">
        <v>120000</v>
      </c>
      <c r="L92" s="5">
        <v>120000</v>
      </c>
      <c r="M92" s="5">
        <v>12857.14</v>
      </c>
      <c r="N92" s="5">
        <v>107142.86</v>
      </c>
    </row>
    <row r="93" spans="1:14">
      <c r="A93" s="24" t="s">
        <v>309</v>
      </c>
      <c r="B93" s="24" t="s">
        <v>282</v>
      </c>
      <c r="C93" s="24" t="s">
        <v>237</v>
      </c>
      <c r="D93" s="6">
        <v>60</v>
      </c>
      <c r="E93" s="24" t="s">
        <v>286</v>
      </c>
      <c r="F93" s="24" t="s">
        <v>69</v>
      </c>
      <c r="G93" s="24" t="s">
        <v>303</v>
      </c>
      <c r="H93" s="24" t="s">
        <v>310</v>
      </c>
      <c r="I93" s="5">
        <v>24000</v>
      </c>
      <c r="L93" s="5">
        <v>24000</v>
      </c>
      <c r="M93" s="5">
        <v>2571.4299999999998</v>
      </c>
      <c r="N93" s="5">
        <v>21428.57</v>
      </c>
    </row>
    <row r="94" spans="1:14">
      <c r="A94" s="24" t="s">
        <v>311</v>
      </c>
      <c r="B94" s="24" t="s">
        <v>282</v>
      </c>
      <c r="C94" s="24" t="s">
        <v>162</v>
      </c>
      <c r="D94" s="6">
        <v>90</v>
      </c>
      <c r="E94" s="24" t="s">
        <v>290</v>
      </c>
      <c r="F94" s="24" t="s">
        <v>312</v>
      </c>
      <c r="G94" s="24" t="s">
        <v>313</v>
      </c>
      <c r="H94" s="24" t="s">
        <v>314</v>
      </c>
      <c r="I94" s="5">
        <v>159998.07999999999</v>
      </c>
      <c r="L94" s="5">
        <v>159998.07999999999</v>
      </c>
      <c r="M94" s="5">
        <v>17142.650000000001</v>
      </c>
      <c r="N94" s="5">
        <v>142855.43</v>
      </c>
    </row>
    <row r="95" spans="1:14">
      <c r="A95" s="24" t="s">
        <v>315</v>
      </c>
      <c r="B95" s="24" t="s">
        <v>282</v>
      </c>
      <c r="C95" s="24" t="s">
        <v>151</v>
      </c>
      <c r="D95" s="6">
        <v>60</v>
      </c>
      <c r="E95" s="24" t="s">
        <v>286</v>
      </c>
      <c r="F95" s="24" t="s">
        <v>56</v>
      </c>
      <c r="G95" s="24" t="s">
        <v>316</v>
      </c>
      <c r="H95" s="24" t="s">
        <v>317</v>
      </c>
      <c r="I95" s="5">
        <v>77013</v>
      </c>
      <c r="L95" s="5">
        <v>77013</v>
      </c>
      <c r="M95" s="5">
        <v>8251.39</v>
      </c>
      <c r="N95" s="5">
        <v>68761.61</v>
      </c>
    </row>
    <row r="96" spans="1:14">
      <c r="A96" s="24" t="s">
        <v>318</v>
      </c>
      <c r="B96" s="24" t="s">
        <v>282</v>
      </c>
      <c r="C96" s="24" t="s">
        <v>18</v>
      </c>
      <c r="D96" s="6">
        <v>0</v>
      </c>
      <c r="E96" s="24" t="s">
        <v>282</v>
      </c>
      <c r="F96" s="24" t="s">
        <v>180</v>
      </c>
      <c r="G96" s="24" t="s">
        <v>319</v>
      </c>
      <c r="H96" s="24" t="s">
        <v>320</v>
      </c>
      <c r="I96" s="5">
        <v>120900</v>
      </c>
      <c r="L96" s="5">
        <v>120900</v>
      </c>
      <c r="M96" s="5">
        <v>12953.57</v>
      </c>
      <c r="N96" s="5">
        <v>107946.43</v>
      </c>
    </row>
    <row r="97" spans="1:14">
      <c r="A97" s="24" t="s">
        <v>321</v>
      </c>
      <c r="B97" s="24" t="s">
        <v>282</v>
      </c>
      <c r="C97" s="24" t="s">
        <v>18</v>
      </c>
      <c r="D97" s="6">
        <v>0</v>
      </c>
      <c r="E97" s="24" t="s">
        <v>282</v>
      </c>
      <c r="F97" s="24" t="s">
        <v>180</v>
      </c>
      <c r="G97" s="24" t="s">
        <v>319</v>
      </c>
      <c r="H97" s="24" t="s">
        <v>322</v>
      </c>
      <c r="I97" s="5">
        <v>27500</v>
      </c>
      <c r="L97" s="5">
        <v>27500</v>
      </c>
      <c r="M97" s="5">
        <v>2946.43</v>
      </c>
      <c r="N97" s="5">
        <v>24553.57</v>
      </c>
    </row>
    <row r="98" spans="1:14">
      <c r="A98" s="24" t="s">
        <v>323</v>
      </c>
      <c r="B98" s="24" t="s">
        <v>282</v>
      </c>
      <c r="C98" s="24" t="s">
        <v>18</v>
      </c>
      <c r="D98" s="6">
        <v>0</v>
      </c>
      <c r="E98" s="24" t="s">
        <v>282</v>
      </c>
      <c r="F98" s="24" t="s">
        <v>180</v>
      </c>
      <c r="G98" s="24" t="s">
        <v>319</v>
      </c>
      <c r="H98" s="24" t="s">
        <v>324</v>
      </c>
      <c r="I98" s="5">
        <v>181100</v>
      </c>
      <c r="L98" s="5">
        <v>181100</v>
      </c>
      <c r="M98" s="5">
        <v>19403.57</v>
      </c>
      <c r="N98" s="5">
        <v>161696.43</v>
      </c>
    </row>
    <row r="99" spans="1:14">
      <c r="A99" s="24" t="s">
        <v>325</v>
      </c>
      <c r="B99" s="24" t="s">
        <v>282</v>
      </c>
      <c r="C99" s="24" t="s">
        <v>18</v>
      </c>
      <c r="D99" s="6">
        <v>0</v>
      </c>
      <c r="E99" s="24" t="s">
        <v>282</v>
      </c>
      <c r="F99" s="24" t="s">
        <v>56</v>
      </c>
      <c r="G99" s="24" t="s">
        <v>326</v>
      </c>
      <c r="H99" s="24" t="s">
        <v>327</v>
      </c>
      <c r="I99" s="5">
        <v>184000</v>
      </c>
      <c r="J99" s="4">
        <v>-3680</v>
      </c>
      <c r="L99" s="5">
        <v>180320</v>
      </c>
      <c r="M99" s="5">
        <v>19320</v>
      </c>
      <c r="N99" s="5">
        <v>161000</v>
      </c>
    </row>
    <row r="100" spans="1:14">
      <c r="A100" s="24" t="s">
        <v>328</v>
      </c>
      <c r="B100" s="24" t="s">
        <v>282</v>
      </c>
      <c r="C100" s="24" t="s">
        <v>34</v>
      </c>
      <c r="D100" s="6">
        <v>60</v>
      </c>
      <c r="E100" s="24" t="s">
        <v>286</v>
      </c>
      <c r="F100" s="24" t="s">
        <v>329</v>
      </c>
      <c r="G100" s="24" t="s">
        <v>330</v>
      </c>
      <c r="H100" s="24" t="s">
        <v>331</v>
      </c>
      <c r="I100" s="5">
        <v>338400</v>
      </c>
      <c r="L100" s="5">
        <v>338400</v>
      </c>
      <c r="M100" s="5">
        <v>36257.14</v>
      </c>
      <c r="N100" s="5">
        <v>302142.86</v>
      </c>
    </row>
    <row r="101" spans="1:14">
      <c r="A101" s="24" t="s">
        <v>332</v>
      </c>
      <c r="B101" s="24" t="s">
        <v>282</v>
      </c>
      <c r="C101" s="24" t="s">
        <v>333</v>
      </c>
      <c r="D101" s="6">
        <v>30</v>
      </c>
      <c r="E101" s="24" t="s">
        <v>296</v>
      </c>
      <c r="F101" s="24" t="s">
        <v>270</v>
      </c>
      <c r="G101" s="24" t="s">
        <v>334</v>
      </c>
      <c r="H101" s="24" t="s">
        <v>335</v>
      </c>
      <c r="I101" s="5">
        <v>88200</v>
      </c>
      <c r="L101" s="5">
        <v>88200</v>
      </c>
      <c r="M101" s="5">
        <v>9450</v>
      </c>
      <c r="N101" s="5">
        <v>78750</v>
      </c>
    </row>
    <row r="102" spans="1:14">
      <c r="A102" s="24" t="s">
        <v>336</v>
      </c>
      <c r="B102" s="24" t="s">
        <v>282</v>
      </c>
      <c r="C102" s="24" t="s">
        <v>237</v>
      </c>
      <c r="D102" s="6">
        <v>60</v>
      </c>
      <c r="E102" s="24" t="s">
        <v>286</v>
      </c>
      <c r="F102" s="24" t="s">
        <v>270</v>
      </c>
      <c r="G102" s="24" t="s">
        <v>337</v>
      </c>
      <c r="H102" s="24" t="s">
        <v>338</v>
      </c>
      <c r="I102" s="5">
        <v>143215</v>
      </c>
      <c r="L102" s="5">
        <v>143215</v>
      </c>
      <c r="M102" s="5">
        <v>15344.46</v>
      </c>
      <c r="N102" s="5">
        <v>127870.54</v>
      </c>
    </row>
    <row r="103" spans="1:14">
      <c r="A103" s="24" t="s">
        <v>339</v>
      </c>
      <c r="B103" s="24" t="s">
        <v>282</v>
      </c>
      <c r="C103" s="24" t="s">
        <v>333</v>
      </c>
      <c r="D103" s="6">
        <v>30</v>
      </c>
      <c r="E103" s="24" t="s">
        <v>296</v>
      </c>
      <c r="F103" s="24" t="s">
        <v>270</v>
      </c>
      <c r="G103" s="24" t="s">
        <v>340</v>
      </c>
      <c r="H103" s="24" t="s">
        <v>341</v>
      </c>
      <c r="I103" s="5">
        <v>309050</v>
      </c>
      <c r="L103" s="5">
        <v>309050</v>
      </c>
      <c r="M103" s="5">
        <v>33112.5</v>
      </c>
      <c r="N103" s="5">
        <v>275937.5</v>
      </c>
    </row>
    <row r="104" spans="1:14">
      <c r="A104" s="24" t="s">
        <v>342</v>
      </c>
      <c r="B104" s="24" t="s">
        <v>282</v>
      </c>
      <c r="C104" s="24" t="s">
        <v>333</v>
      </c>
      <c r="D104" s="6">
        <v>30</v>
      </c>
      <c r="E104" s="24" t="s">
        <v>296</v>
      </c>
      <c r="F104" s="24" t="s">
        <v>270</v>
      </c>
      <c r="G104" s="24" t="s">
        <v>340</v>
      </c>
      <c r="H104" s="24" t="s">
        <v>343</v>
      </c>
      <c r="I104" s="5">
        <v>196112</v>
      </c>
      <c r="L104" s="5">
        <v>196112</v>
      </c>
      <c r="M104" s="5">
        <v>21012</v>
      </c>
      <c r="N104" s="5">
        <v>175100</v>
      </c>
    </row>
    <row r="105" spans="1:14">
      <c r="A105" s="24" t="s">
        <v>344</v>
      </c>
      <c r="B105" s="24" t="s">
        <v>282</v>
      </c>
      <c r="C105" s="24" t="s">
        <v>18</v>
      </c>
      <c r="D105" s="6">
        <v>0</v>
      </c>
      <c r="E105" s="24" t="s">
        <v>282</v>
      </c>
      <c r="F105" s="24" t="s">
        <v>56</v>
      </c>
      <c r="G105" s="24" t="s">
        <v>345</v>
      </c>
      <c r="H105" s="24" t="s">
        <v>346</v>
      </c>
      <c r="I105" s="5">
        <v>116996</v>
      </c>
      <c r="L105" s="5">
        <v>116996</v>
      </c>
      <c r="M105" s="5">
        <v>12535.29</v>
      </c>
      <c r="N105" s="5">
        <v>104460.71</v>
      </c>
    </row>
    <row r="106" spans="1:14">
      <c r="A106" s="24" t="s">
        <v>347</v>
      </c>
      <c r="B106" s="24" t="s">
        <v>282</v>
      </c>
      <c r="C106" s="24" t="s">
        <v>73</v>
      </c>
      <c r="D106" s="6">
        <v>30</v>
      </c>
      <c r="E106" s="24" t="s">
        <v>296</v>
      </c>
      <c r="F106" s="24" t="s">
        <v>19</v>
      </c>
      <c r="G106" s="24" t="s">
        <v>267</v>
      </c>
      <c r="H106" s="24" t="s">
        <v>348</v>
      </c>
      <c r="I106" s="5">
        <v>23800</v>
      </c>
      <c r="K106" s="5">
        <v>8200</v>
      </c>
      <c r="L106" s="5">
        <v>32000</v>
      </c>
      <c r="M106" s="5">
        <v>3428.57</v>
      </c>
      <c r="N106" s="5">
        <v>28571.43</v>
      </c>
    </row>
    <row r="107" spans="1:14">
      <c r="A107" s="24" t="s">
        <v>349</v>
      </c>
      <c r="B107" s="24" t="s">
        <v>282</v>
      </c>
      <c r="C107" s="24" t="s">
        <v>73</v>
      </c>
      <c r="D107" s="6">
        <v>30</v>
      </c>
      <c r="E107" s="24" t="s">
        <v>296</v>
      </c>
      <c r="F107" s="24" t="s">
        <v>19</v>
      </c>
      <c r="G107" s="24" t="s">
        <v>267</v>
      </c>
      <c r="H107" s="24" t="s">
        <v>350</v>
      </c>
      <c r="I107" s="5">
        <v>104000</v>
      </c>
      <c r="L107" s="5">
        <v>104000</v>
      </c>
      <c r="M107" s="5">
        <v>11142.86</v>
      </c>
      <c r="N107" s="5">
        <v>92857.14</v>
      </c>
    </row>
    <row r="108" spans="1:14">
      <c r="A108" s="24" t="s">
        <v>351</v>
      </c>
      <c r="B108" s="24" t="s">
        <v>282</v>
      </c>
      <c r="C108" s="24" t="s">
        <v>34</v>
      </c>
      <c r="D108" s="6">
        <v>60</v>
      </c>
      <c r="E108" s="24" t="s">
        <v>286</v>
      </c>
      <c r="F108" s="24" t="s">
        <v>180</v>
      </c>
      <c r="G108" s="24" t="s">
        <v>352</v>
      </c>
      <c r="H108" s="24" t="s">
        <v>353</v>
      </c>
      <c r="I108" s="5">
        <v>22908</v>
      </c>
      <c r="L108" s="5">
        <v>22908</v>
      </c>
      <c r="M108" s="5">
        <v>2454.4299999999998</v>
      </c>
      <c r="N108" s="5">
        <v>20453.57</v>
      </c>
    </row>
    <row r="109" spans="1:14">
      <c r="A109" s="24" t="s">
        <v>354</v>
      </c>
      <c r="B109" s="24" t="s">
        <v>282</v>
      </c>
      <c r="C109" s="24" t="s">
        <v>54</v>
      </c>
      <c r="D109" s="6">
        <v>90</v>
      </c>
      <c r="E109" s="24" t="s">
        <v>290</v>
      </c>
      <c r="F109" s="24" t="s">
        <v>56</v>
      </c>
      <c r="G109" s="24" t="s">
        <v>355</v>
      </c>
      <c r="H109" s="24" t="s">
        <v>356</v>
      </c>
      <c r="I109" s="5">
        <v>97500</v>
      </c>
      <c r="L109" s="5">
        <v>97500</v>
      </c>
      <c r="M109" s="5">
        <v>10446.43</v>
      </c>
      <c r="N109" s="5">
        <v>87053.57</v>
      </c>
    </row>
    <row r="110" spans="1:14">
      <c r="A110" s="24" t="s">
        <v>357</v>
      </c>
      <c r="B110" s="24" t="s">
        <v>282</v>
      </c>
      <c r="C110" s="24" t="s">
        <v>54</v>
      </c>
      <c r="D110" s="6">
        <v>90</v>
      </c>
      <c r="E110" s="24" t="s">
        <v>290</v>
      </c>
      <c r="F110" s="24" t="s">
        <v>56</v>
      </c>
      <c r="G110" s="24" t="s">
        <v>355</v>
      </c>
      <c r="H110" s="24" t="s">
        <v>358</v>
      </c>
      <c r="I110" s="5">
        <v>60000</v>
      </c>
      <c r="L110" s="5">
        <v>60000</v>
      </c>
      <c r="M110" s="5">
        <v>6428.57</v>
      </c>
      <c r="N110" s="5">
        <v>53571.43</v>
      </c>
    </row>
    <row r="111" spans="1:14">
      <c r="A111" s="24" t="s">
        <v>359</v>
      </c>
      <c r="B111" s="24" t="s">
        <v>282</v>
      </c>
      <c r="C111" s="24" t="s">
        <v>54</v>
      </c>
      <c r="D111" s="6">
        <v>90</v>
      </c>
      <c r="E111" s="24" t="s">
        <v>290</v>
      </c>
      <c r="F111" s="24" t="s">
        <v>56</v>
      </c>
      <c r="G111" s="24" t="s">
        <v>355</v>
      </c>
      <c r="H111" s="24" t="s">
        <v>360</v>
      </c>
      <c r="I111" s="5">
        <v>377482</v>
      </c>
      <c r="L111" s="5">
        <v>377482</v>
      </c>
      <c r="M111" s="5">
        <v>40444.5</v>
      </c>
      <c r="N111" s="5">
        <v>337037.5</v>
      </c>
    </row>
    <row r="112" spans="1:14">
      <c r="A112" s="24" t="s">
        <v>361</v>
      </c>
      <c r="B112" s="24" t="s">
        <v>282</v>
      </c>
      <c r="C112" s="24" t="s">
        <v>167</v>
      </c>
      <c r="D112" s="6">
        <v>90</v>
      </c>
      <c r="E112" s="24" t="s">
        <v>290</v>
      </c>
      <c r="F112" s="24" t="s">
        <v>56</v>
      </c>
      <c r="G112" s="24" t="s">
        <v>190</v>
      </c>
      <c r="H112" s="24" t="s">
        <v>362</v>
      </c>
      <c r="I112" s="5">
        <v>260736</v>
      </c>
      <c r="L112" s="5">
        <v>260736</v>
      </c>
      <c r="M112" s="5">
        <v>27936</v>
      </c>
      <c r="N112" s="5">
        <v>232800</v>
      </c>
    </row>
    <row r="113" spans="1:14">
      <c r="A113" s="24" t="s">
        <v>363</v>
      </c>
      <c r="B113" s="24" t="s">
        <v>282</v>
      </c>
      <c r="C113" s="24" t="s">
        <v>162</v>
      </c>
      <c r="D113" s="6">
        <v>90</v>
      </c>
      <c r="E113" s="24" t="s">
        <v>290</v>
      </c>
      <c r="F113" s="24" t="s">
        <v>36</v>
      </c>
      <c r="G113" s="24" t="s">
        <v>193</v>
      </c>
      <c r="H113" s="24" t="s">
        <v>364</v>
      </c>
      <c r="I113" s="5">
        <v>28636</v>
      </c>
      <c r="L113" s="5">
        <v>28636</v>
      </c>
      <c r="M113" s="5">
        <v>3068.14</v>
      </c>
      <c r="N113" s="5">
        <v>25567.86</v>
      </c>
    </row>
    <row r="114" spans="1:14">
      <c r="A114" s="24" t="s">
        <v>365</v>
      </c>
      <c r="B114" s="24" t="s">
        <v>282</v>
      </c>
      <c r="C114" s="24" t="s">
        <v>167</v>
      </c>
      <c r="D114" s="6">
        <v>90</v>
      </c>
      <c r="E114" s="24" t="s">
        <v>290</v>
      </c>
      <c r="F114" s="24" t="s">
        <v>56</v>
      </c>
      <c r="G114" s="24" t="s">
        <v>190</v>
      </c>
      <c r="H114" s="24" t="s">
        <v>366</v>
      </c>
      <c r="I114" s="5">
        <v>229696</v>
      </c>
      <c r="L114" s="5">
        <v>229696</v>
      </c>
      <c r="M114" s="5">
        <v>24610.29</v>
      </c>
      <c r="N114" s="5">
        <v>205085.71</v>
      </c>
    </row>
    <row r="115" spans="1:14">
      <c r="A115" s="24" t="s">
        <v>367</v>
      </c>
      <c r="B115" s="24" t="s">
        <v>368</v>
      </c>
      <c r="C115" s="24" t="s">
        <v>369</v>
      </c>
      <c r="D115" s="6">
        <v>30</v>
      </c>
      <c r="E115" s="24" t="s">
        <v>370</v>
      </c>
      <c r="F115" s="24" t="s">
        <v>139</v>
      </c>
      <c r="G115" s="24" t="s">
        <v>371</v>
      </c>
      <c r="H115" s="24" t="s">
        <v>372</v>
      </c>
      <c r="I115" s="5">
        <v>256067</v>
      </c>
      <c r="L115" s="5">
        <v>256067</v>
      </c>
      <c r="M115" s="5">
        <v>27435.75</v>
      </c>
      <c r="N115" s="5">
        <v>228631.25</v>
      </c>
    </row>
    <row r="116" spans="1:14">
      <c r="A116" s="24" t="s">
        <v>373</v>
      </c>
      <c r="B116" s="24" t="s">
        <v>368</v>
      </c>
      <c r="C116" s="24" t="s">
        <v>94</v>
      </c>
      <c r="D116" s="6">
        <v>0</v>
      </c>
      <c r="E116" s="24" t="s">
        <v>368</v>
      </c>
      <c r="F116" s="24" t="s">
        <v>46</v>
      </c>
      <c r="G116" s="24" t="s">
        <v>95</v>
      </c>
      <c r="H116" s="24" t="s">
        <v>374</v>
      </c>
      <c r="I116" s="5">
        <v>263200</v>
      </c>
      <c r="L116" s="5">
        <v>263200</v>
      </c>
      <c r="M116" s="5">
        <v>28200</v>
      </c>
      <c r="N116" s="5">
        <v>235000</v>
      </c>
    </row>
    <row r="117" spans="1:14">
      <c r="A117" s="24" t="s">
        <v>375</v>
      </c>
      <c r="B117" s="24" t="s">
        <v>368</v>
      </c>
      <c r="C117" s="24" t="s">
        <v>34</v>
      </c>
      <c r="D117" s="6">
        <v>60</v>
      </c>
      <c r="E117" s="24" t="s">
        <v>376</v>
      </c>
      <c r="F117" s="24" t="s">
        <v>30</v>
      </c>
      <c r="G117" s="24" t="s">
        <v>201</v>
      </c>
      <c r="H117" s="24" t="s">
        <v>377</v>
      </c>
      <c r="I117" s="5">
        <v>48000</v>
      </c>
      <c r="L117" s="5">
        <v>48000</v>
      </c>
      <c r="M117" s="5">
        <v>5142.8599999999997</v>
      </c>
      <c r="N117" s="5">
        <v>42857.14</v>
      </c>
    </row>
    <row r="118" spans="1:14">
      <c r="A118" s="24" t="s">
        <v>378</v>
      </c>
      <c r="B118" s="24" t="s">
        <v>368</v>
      </c>
      <c r="C118" s="24" t="s">
        <v>369</v>
      </c>
      <c r="D118" s="6">
        <v>30</v>
      </c>
      <c r="E118" s="24" t="s">
        <v>370</v>
      </c>
      <c r="F118" s="24" t="s">
        <v>139</v>
      </c>
      <c r="G118" s="24" t="s">
        <v>371</v>
      </c>
      <c r="H118" s="24" t="s">
        <v>379</v>
      </c>
      <c r="I118" s="5">
        <v>47040</v>
      </c>
      <c r="L118" s="5">
        <v>47040</v>
      </c>
      <c r="M118" s="5">
        <v>5040</v>
      </c>
      <c r="N118" s="5">
        <v>42000</v>
      </c>
    </row>
    <row r="119" spans="1:14">
      <c r="A119" s="24" t="s">
        <v>380</v>
      </c>
      <c r="B119" s="24" t="s">
        <v>368</v>
      </c>
      <c r="C119" s="24" t="s">
        <v>369</v>
      </c>
      <c r="D119" s="6">
        <v>30</v>
      </c>
      <c r="E119" s="24" t="s">
        <v>370</v>
      </c>
      <c r="F119" s="24" t="s">
        <v>139</v>
      </c>
      <c r="G119" s="24" t="s">
        <v>371</v>
      </c>
      <c r="H119" s="24" t="s">
        <v>381</v>
      </c>
      <c r="I119" s="5">
        <v>143520</v>
      </c>
      <c r="L119" s="5">
        <v>143520</v>
      </c>
      <c r="M119" s="5">
        <v>15377.14</v>
      </c>
      <c r="N119" s="5">
        <v>128142.86</v>
      </c>
    </row>
    <row r="120" spans="1:14">
      <c r="A120" s="24" t="s">
        <v>382</v>
      </c>
      <c r="B120" s="24" t="s">
        <v>368</v>
      </c>
      <c r="C120" s="24" t="s">
        <v>146</v>
      </c>
      <c r="D120" s="6">
        <v>90</v>
      </c>
      <c r="E120" s="24" t="s">
        <v>383</v>
      </c>
      <c r="F120" s="24" t="s">
        <v>30</v>
      </c>
      <c r="G120" s="24" t="s">
        <v>384</v>
      </c>
      <c r="H120" s="24" t="s">
        <v>385</v>
      </c>
      <c r="I120" s="5">
        <v>723750</v>
      </c>
      <c r="L120" s="5">
        <v>723750</v>
      </c>
      <c r="M120" s="5">
        <v>77544.639999999999</v>
      </c>
      <c r="N120" s="5">
        <v>646205.36</v>
      </c>
    </row>
    <row r="121" spans="1:14">
      <c r="A121" s="24" t="s">
        <v>386</v>
      </c>
      <c r="B121" s="24" t="s">
        <v>368</v>
      </c>
      <c r="C121" s="24" t="s">
        <v>60</v>
      </c>
      <c r="D121" s="6">
        <v>0</v>
      </c>
      <c r="E121" s="24" t="s">
        <v>368</v>
      </c>
      <c r="F121" s="24" t="s">
        <v>56</v>
      </c>
      <c r="G121" s="24" t="s">
        <v>190</v>
      </c>
      <c r="H121" s="24" t="s">
        <v>387</v>
      </c>
      <c r="I121" s="5">
        <v>208317.2</v>
      </c>
      <c r="L121" s="5">
        <v>208317.2</v>
      </c>
      <c r="M121" s="5">
        <v>22319.7</v>
      </c>
      <c r="N121" s="5">
        <v>185997.5</v>
      </c>
    </row>
    <row r="122" spans="1:14">
      <c r="A122" s="24" t="s">
        <v>388</v>
      </c>
      <c r="B122" s="24" t="s">
        <v>368</v>
      </c>
      <c r="C122" s="24" t="s">
        <v>237</v>
      </c>
      <c r="D122" s="6">
        <v>60</v>
      </c>
      <c r="E122" s="24" t="s">
        <v>376</v>
      </c>
      <c r="F122" s="24" t="s">
        <v>19</v>
      </c>
      <c r="G122" s="24" t="s">
        <v>389</v>
      </c>
      <c r="H122" s="24" t="s">
        <v>390</v>
      </c>
      <c r="I122" s="5">
        <v>63000</v>
      </c>
      <c r="L122" s="5">
        <v>63000</v>
      </c>
      <c r="M122" s="5">
        <v>6750</v>
      </c>
      <c r="N122" s="5">
        <v>56250</v>
      </c>
    </row>
    <row r="123" spans="1:14">
      <c r="A123" s="24" t="s">
        <v>391</v>
      </c>
      <c r="B123" s="24" t="s">
        <v>368</v>
      </c>
      <c r="C123" s="24" t="s">
        <v>98</v>
      </c>
      <c r="D123" s="6">
        <v>0</v>
      </c>
      <c r="E123" s="24" t="s">
        <v>368</v>
      </c>
      <c r="F123" s="24" t="s">
        <v>46</v>
      </c>
      <c r="G123" s="24" t="s">
        <v>392</v>
      </c>
      <c r="H123" s="24" t="s">
        <v>393</v>
      </c>
      <c r="I123" s="5">
        <v>135450</v>
      </c>
      <c r="L123" s="5">
        <v>135450</v>
      </c>
      <c r="M123" s="5">
        <v>14512.5</v>
      </c>
      <c r="N123" s="5">
        <v>120937.5</v>
      </c>
    </row>
    <row r="124" spans="1:14">
      <c r="A124" s="24" t="s">
        <v>394</v>
      </c>
      <c r="B124" s="24" t="s">
        <v>368</v>
      </c>
      <c r="C124" s="24" t="s">
        <v>167</v>
      </c>
      <c r="D124" s="6">
        <v>90</v>
      </c>
      <c r="E124" s="24" t="s">
        <v>383</v>
      </c>
      <c r="F124" s="24" t="s">
        <v>56</v>
      </c>
      <c r="G124" s="24" t="s">
        <v>168</v>
      </c>
      <c r="H124" s="24" t="s">
        <v>395</v>
      </c>
      <c r="I124" s="5">
        <v>82150</v>
      </c>
      <c r="L124" s="5">
        <v>82150</v>
      </c>
      <c r="M124" s="5">
        <v>8801.7900000000009</v>
      </c>
      <c r="N124" s="5">
        <v>73348.210000000006</v>
      </c>
    </row>
    <row r="125" spans="1:14">
      <c r="A125" s="24" t="s">
        <v>396</v>
      </c>
      <c r="B125" s="24" t="s">
        <v>368</v>
      </c>
      <c r="C125" s="24" t="s">
        <v>167</v>
      </c>
      <c r="D125" s="6">
        <v>90</v>
      </c>
      <c r="E125" s="24" t="s">
        <v>383</v>
      </c>
      <c r="F125" s="24" t="s">
        <v>56</v>
      </c>
      <c r="G125" s="24" t="s">
        <v>168</v>
      </c>
      <c r="H125" s="24" t="s">
        <v>397</v>
      </c>
      <c r="I125" s="5">
        <v>175940</v>
      </c>
      <c r="L125" s="5">
        <v>175940</v>
      </c>
      <c r="M125" s="5">
        <v>18850.71</v>
      </c>
      <c r="N125" s="5">
        <v>157089.29</v>
      </c>
    </row>
    <row r="126" spans="1:14">
      <c r="A126" s="24" t="s">
        <v>398</v>
      </c>
      <c r="B126" s="24" t="s">
        <v>368</v>
      </c>
      <c r="C126" s="24" t="s">
        <v>162</v>
      </c>
      <c r="D126" s="6">
        <v>90</v>
      </c>
      <c r="E126" s="24" t="s">
        <v>383</v>
      </c>
      <c r="F126" s="24" t="s">
        <v>204</v>
      </c>
      <c r="G126" s="24" t="s">
        <v>399</v>
      </c>
      <c r="H126" s="24" t="s">
        <v>400</v>
      </c>
      <c r="I126" s="5">
        <v>73090</v>
      </c>
      <c r="L126" s="5">
        <v>73090</v>
      </c>
      <c r="M126" s="5">
        <v>7831.07</v>
      </c>
      <c r="N126" s="5">
        <v>65258.93</v>
      </c>
    </row>
    <row r="127" spans="1:14">
      <c r="A127" s="24" t="s">
        <v>401</v>
      </c>
      <c r="B127" s="24" t="s">
        <v>368</v>
      </c>
      <c r="C127" s="24" t="s">
        <v>29</v>
      </c>
      <c r="D127" s="6">
        <v>0</v>
      </c>
      <c r="E127" s="24" t="s">
        <v>368</v>
      </c>
      <c r="F127" s="24" t="s">
        <v>30</v>
      </c>
      <c r="G127" s="24" t="s">
        <v>31</v>
      </c>
      <c r="H127" s="24" t="s">
        <v>402</v>
      </c>
      <c r="I127" s="5">
        <v>49593</v>
      </c>
      <c r="L127" s="5">
        <v>49593</v>
      </c>
      <c r="M127" s="5">
        <v>5313.54</v>
      </c>
      <c r="N127" s="5">
        <v>44279.46</v>
      </c>
    </row>
    <row r="128" spans="1:14">
      <c r="A128" s="24" t="s">
        <v>403</v>
      </c>
      <c r="B128" s="24" t="s">
        <v>368</v>
      </c>
      <c r="C128" s="24" t="s">
        <v>29</v>
      </c>
      <c r="D128" s="6">
        <v>0</v>
      </c>
      <c r="E128" s="24" t="s">
        <v>368</v>
      </c>
      <c r="F128" s="24" t="s">
        <v>30</v>
      </c>
      <c r="G128" s="24" t="s">
        <v>31</v>
      </c>
      <c r="H128" s="24" t="s">
        <v>404</v>
      </c>
      <c r="I128" s="5">
        <v>148779</v>
      </c>
      <c r="L128" s="5">
        <v>148779</v>
      </c>
      <c r="M128" s="5">
        <v>15940.61</v>
      </c>
      <c r="N128" s="5">
        <v>132838.39000000001</v>
      </c>
    </row>
    <row r="129" spans="1:14">
      <c r="A129" s="24" t="s">
        <v>405</v>
      </c>
      <c r="B129" s="24" t="s">
        <v>368</v>
      </c>
      <c r="C129" s="24" t="s">
        <v>60</v>
      </c>
      <c r="D129" s="6">
        <v>0</v>
      </c>
      <c r="E129" s="24" t="s">
        <v>368</v>
      </c>
      <c r="F129" s="24" t="s">
        <v>30</v>
      </c>
      <c r="G129" s="24" t="s">
        <v>406</v>
      </c>
      <c r="H129" s="24" t="s">
        <v>407</v>
      </c>
      <c r="I129" s="5">
        <v>117600</v>
      </c>
      <c r="J129" s="4">
        <v>-3528</v>
      </c>
      <c r="L129" s="5">
        <v>114072</v>
      </c>
      <c r="M129" s="5">
        <v>12222</v>
      </c>
      <c r="N129" s="5">
        <v>101850</v>
      </c>
    </row>
    <row r="130" spans="1:14">
      <c r="A130" s="24" t="s">
        <v>408</v>
      </c>
      <c r="B130" s="24" t="s">
        <v>368</v>
      </c>
      <c r="C130" s="24" t="s">
        <v>146</v>
      </c>
      <c r="D130" s="6">
        <v>90</v>
      </c>
      <c r="E130" s="24" t="s">
        <v>383</v>
      </c>
      <c r="F130" s="24" t="s">
        <v>139</v>
      </c>
      <c r="G130" s="24" t="s">
        <v>409</v>
      </c>
      <c r="H130" s="24" t="s">
        <v>410</v>
      </c>
      <c r="I130" s="5">
        <v>1485206</v>
      </c>
      <c r="L130" s="5">
        <v>1485206</v>
      </c>
      <c r="M130" s="5">
        <v>159129.21</v>
      </c>
      <c r="N130" s="5">
        <v>1326076.79</v>
      </c>
    </row>
    <row r="131" spans="1:14">
      <c r="A131" s="24" t="s">
        <v>411</v>
      </c>
      <c r="B131" s="24" t="s">
        <v>368</v>
      </c>
      <c r="C131" s="24" t="s">
        <v>18</v>
      </c>
      <c r="D131" s="6">
        <v>0</v>
      </c>
      <c r="E131" s="24" t="s">
        <v>368</v>
      </c>
      <c r="F131" s="24" t="s">
        <v>56</v>
      </c>
      <c r="G131" s="24" t="s">
        <v>412</v>
      </c>
      <c r="H131" s="24" t="s">
        <v>413</v>
      </c>
      <c r="I131" s="5">
        <v>1211223</v>
      </c>
      <c r="J131" s="4">
        <v>-36336.69</v>
      </c>
      <c r="L131" s="5">
        <v>1174886.31</v>
      </c>
      <c r="M131" s="5">
        <v>125880.68</v>
      </c>
      <c r="N131" s="5">
        <v>1049005.6299999999</v>
      </c>
    </row>
    <row r="132" spans="1:14">
      <c r="A132" s="24" t="s">
        <v>414</v>
      </c>
      <c r="B132" s="24" t="s">
        <v>368</v>
      </c>
      <c r="C132" s="24" t="s">
        <v>146</v>
      </c>
      <c r="D132" s="6">
        <v>90</v>
      </c>
      <c r="E132" s="24" t="s">
        <v>383</v>
      </c>
      <c r="F132" s="24" t="s">
        <v>19</v>
      </c>
      <c r="G132" s="24" t="s">
        <v>415</v>
      </c>
      <c r="H132" s="24" t="s">
        <v>416</v>
      </c>
      <c r="I132" s="5">
        <v>161080</v>
      </c>
      <c r="L132" s="5">
        <v>161080</v>
      </c>
      <c r="M132" s="5">
        <v>17258.57</v>
      </c>
      <c r="N132" s="5">
        <v>143821.43</v>
      </c>
    </row>
    <row r="133" spans="1:14">
      <c r="A133" s="24" t="s">
        <v>417</v>
      </c>
      <c r="B133" s="24" t="s">
        <v>368</v>
      </c>
      <c r="C133" s="24" t="s">
        <v>146</v>
      </c>
      <c r="D133" s="6">
        <v>90</v>
      </c>
      <c r="E133" s="24" t="s">
        <v>383</v>
      </c>
      <c r="F133" s="24" t="s">
        <v>19</v>
      </c>
      <c r="G133" s="24" t="s">
        <v>415</v>
      </c>
      <c r="H133" s="24" t="s">
        <v>418</v>
      </c>
      <c r="I133" s="5">
        <v>912912</v>
      </c>
      <c r="L133" s="5">
        <v>912912</v>
      </c>
      <c r="M133" s="5">
        <v>97812</v>
      </c>
      <c r="N133" s="5">
        <v>815100</v>
      </c>
    </row>
    <row r="134" spans="1:14">
      <c r="A134" s="24" t="s">
        <v>419</v>
      </c>
      <c r="B134" s="24" t="s">
        <v>368</v>
      </c>
      <c r="C134" s="24" t="s">
        <v>73</v>
      </c>
      <c r="D134" s="6">
        <v>30</v>
      </c>
      <c r="E134" s="24" t="s">
        <v>370</v>
      </c>
      <c r="F134" s="24" t="s">
        <v>69</v>
      </c>
      <c r="G134" s="24" t="s">
        <v>420</v>
      </c>
      <c r="H134" s="24" t="s">
        <v>421</v>
      </c>
      <c r="I134" s="5">
        <v>140025</v>
      </c>
      <c r="K134" s="5">
        <v>25000</v>
      </c>
      <c r="L134" s="5">
        <v>165025</v>
      </c>
      <c r="M134" s="5">
        <v>17681.25</v>
      </c>
      <c r="N134" s="5">
        <v>147343.75</v>
      </c>
    </row>
    <row r="135" spans="1:14">
      <c r="A135" s="24" t="s">
        <v>422</v>
      </c>
      <c r="B135" s="24" t="s">
        <v>368</v>
      </c>
      <c r="C135" s="24" t="s">
        <v>162</v>
      </c>
      <c r="D135" s="6">
        <v>90</v>
      </c>
      <c r="E135" s="24" t="s">
        <v>383</v>
      </c>
      <c r="F135" s="24" t="s">
        <v>423</v>
      </c>
      <c r="G135" s="24" t="s">
        <v>424</v>
      </c>
      <c r="H135" s="24" t="s">
        <v>425</v>
      </c>
      <c r="I135" s="5">
        <v>32000</v>
      </c>
      <c r="L135" s="5">
        <v>32000</v>
      </c>
      <c r="M135" s="5">
        <v>3428.57</v>
      </c>
      <c r="N135" s="5">
        <v>28571.43</v>
      </c>
    </row>
    <row r="136" spans="1:14">
      <c r="A136" s="24" t="s">
        <v>426</v>
      </c>
      <c r="B136" s="24" t="s">
        <v>368</v>
      </c>
      <c r="C136" s="24" t="s">
        <v>18</v>
      </c>
      <c r="D136" s="6">
        <v>0</v>
      </c>
      <c r="E136" s="24" t="s">
        <v>368</v>
      </c>
      <c r="F136" s="24" t="s">
        <v>56</v>
      </c>
      <c r="G136" s="24" t="s">
        <v>345</v>
      </c>
      <c r="H136" s="24" t="s">
        <v>427</v>
      </c>
      <c r="I136" s="5">
        <v>41107</v>
      </c>
      <c r="L136" s="5">
        <v>41107</v>
      </c>
      <c r="M136" s="5">
        <v>4404.32</v>
      </c>
      <c r="N136" s="5">
        <v>36702.68</v>
      </c>
    </row>
    <row r="137" spans="1:14">
      <c r="A137" s="24" t="s">
        <v>428</v>
      </c>
      <c r="B137" s="24" t="s">
        <v>368</v>
      </c>
      <c r="C137" s="24" t="s">
        <v>237</v>
      </c>
      <c r="D137" s="6">
        <v>60</v>
      </c>
      <c r="E137" s="24" t="s">
        <v>376</v>
      </c>
      <c r="F137" s="24" t="s">
        <v>19</v>
      </c>
      <c r="G137" s="24" t="s">
        <v>389</v>
      </c>
      <c r="H137" s="24" t="s">
        <v>429</v>
      </c>
      <c r="I137" s="5">
        <v>97496</v>
      </c>
      <c r="L137" s="5">
        <v>97496</v>
      </c>
      <c r="M137" s="5">
        <v>10446</v>
      </c>
      <c r="N137" s="5">
        <v>87050</v>
      </c>
    </row>
    <row r="138" spans="1:14">
      <c r="A138" s="24" t="s">
        <v>430</v>
      </c>
      <c r="B138" s="24" t="s">
        <v>368</v>
      </c>
      <c r="C138" s="24" t="s">
        <v>237</v>
      </c>
      <c r="D138" s="6">
        <v>60</v>
      </c>
      <c r="E138" s="24" t="s">
        <v>376</v>
      </c>
      <c r="F138" s="24" t="s">
        <v>19</v>
      </c>
      <c r="G138" s="24" t="s">
        <v>389</v>
      </c>
      <c r="H138" s="24" t="s">
        <v>431</v>
      </c>
      <c r="I138" s="5">
        <v>99904</v>
      </c>
      <c r="L138" s="5">
        <v>99904</v>
      </c>
      <c r="M138" s="5">
        <v>10704</v>
      </c>
      <c r="N138" s="5">
        <v>89200</v>
      </c>
    </row>
    <row r="139" spans="1:14">
      <c r="A139" s="24" t="s">
        <v>432</v>
      </c>
      <c r="B139" s="24" t="s">
        <v>368</v>
      </c>
      <c r="C139" s="24" t="s">
        <v>73</v>
      </c>
      <c r="D139" s="6">
        <v>30</v>
      </c>
      <c r="E139" s="24" t="s">
        <v>370</v>
      </c>
      <c r="F139" s="24" t="s">
        <v>270</v>
      </c>
      <c r="G139" s="24" t="s">
        <v>271</v>
      </c>
      <c r="H139" s="24" t="s">
        <v>433</v>
      </c>
      <c r="I139" s="5">
        <v>55288</v>
      </c>
      <c r="L139" s="5">
        <v>55288</v>
      </c>
      <c r="N139" s="5">
        <v>55288</v>
      </c>
    </row>
    <row r="140" spans="1:14">
      <c r="A140" s="24" t="s">
        <v>434</v>
      </c>
      <c r="B140" s="24" t="s">
        <v>368</v>
      </c>
      <c r="C140" s="24" t="s">
        <v>73</v>
      </c>
      <c r="D140" s="6">
        <v>30</v>
      </c>
      <c r="E140" s="24" t="s">
        <v>370</v>
      </c>
      <c r="F140" s="24" t="s">
        <v>270</v>
      </c>
      <c r="G140" s="24" t="s">
        <v>271</v>
      </c>
      <c r="H140" s="24" t="s">
        <v>435</v>
      </c>
      <c r="I140" s="5">
        <v>35234</v>
      </c>
      <c r="L140" s="5">
        <v>35234</v>
      </c>
      <c r="N140" s="5">
        <v>35234</v>
      </c>
    </row>
    <row r="141" spans="1:14">
      <c r="A141" s="24" t="s">
        <v>436</v>
      </c>
      <c r="B141" s="24" t="s">
        <v>368</v>
      </c>
      <c r="C141" s="24" t="s">
        <v>73</v>
      </c>
      <c r="D141" s="6">
        <v>30</v>
      </c>
      <c r="E141" s="24" t="s">
        <v>370</v>
      </c>
      <c r="F141" s="24" t="s">
        <v>270</v>
      </c>
      <c r="G141" s="24" t="s">
        <v>271</v>
      </c>
      <c r="H141" s="24" t="s">
        <v>437</v>
      </c>
      <c r="I141" s="5">
        <v>55100</v>
      </c>
      <c r="L141" s="5">
        <v>55100</v>
      </c>
      <c r="N141" s="5">
        <v>55100</v>
      </c>
    </row>
    <row r="142" spans="1:14">
      <c r="A142" s="24" t="s">
        <v>438</v>
      </c>
      <c r="B142" s="24" t="s">
        <v>368</v>
      </c>
      <c r="C142" s="24" t="s">
        <v>73</v>
      </c>
      <c r="D142" s="6">
        <v>30</v>
      </c>
      <c r="E142" s="24" t="s">
        <v>370</v>
      </c>
      <c r="F142" s="24" t="s">
        <v>270</v>
      </c>
      <c r="G142" s="24" t="s">
        <v>271</v>
      </c>
      <c r="H142" s="24" t="s">
        <v>439</v>
      </c>
      <c r="I142" s="5">
        <v>40975</v>
      </c>
      <c r="L142" s="5">
        <v>40975</v>
      </c>
      <c r="N142" s="5">
        <v>40975</v>
      </c>
    </row>
    <row r="143" spans="1:14">
      <c r="A143" s="24" t="s">
        <v>440</v>
      </c>
      <c r="B143" s="24" t="s">
        <v>368</v>
      </c>
      <c r="C143" s="24" t="s">
        <v>54</v>
      </c>
      <c r="D143" s="6">
        <v>90</v>
      </c>
      <c r="E143" s="24" t="s">
        <v>383</v>
      </c>
      <c r="F143" s="24" t="s">
        <v>56</v>
      </c>
      <c r="G143" s="24" t="s">
        <v>90</v>
      </c>
      <c r="H143" s="24" t="s">
        <v>441</v>
      </c>
      <c r="I143" s="5">
        <v>109220</v>
      </c>
      <c r="L143" s="5">
        <v>109220</v>
      </c>
      <c r="M143" s="5">
        <v>11702.14</v>
      </c>
      <c r="N143" s="5">
        <v>97517.86</v>
      </c>
    </row>
    <row r="144" spans="1:14">
      <c r="A144" s="24" t="s">
        <v>442</v>
      </c>
      <c r="B144" s="24" t="s">
        <v>368</v>
      </c>
      <c r="C144" s="24" t="s">
        <v>60</v>
      </c>
      <c r="D144" s="6">
        <v>0</v>
      </c>
      <c r="E144" s="24" t="s">
        <v>368</v>
      </c>
      <c r="F144" s="24" t="s">
        <v>56</v>
      </c>
      <c r="G144" s="24" t="s">
        <v>412</v>
      </c>
      <c r="H144" s="24" t="s">
        <v>443</v>
      </c>
      <c r="I144" s="5">
        <v>158400</v>
      </c>
      <c r="J144" s="4">
        <v>-4752</v>
      </c>
      <c r="L144" s="5">
        <v>153648</v>
      </c>
      <c r="M144" s="5">
        <v>16462.29</v>
      </c>
      <c r="N144" s="5">
        <v>137185.71</v>
      </c>
    </row>
    <row r="145" spans="1:14">
      <c r="A145" s="24" t="s">
        <v>444</v>
      </c>
      <c r="B145" s="24" t="s">
        <v>368</v>
      </c>
      <c r="C145" s="24" t="s">
        <v>60</v>
      </c>
      <c r="D145" s="6">
        <v>0</v>
      </c>
      <c r="E145" s="24" t="s">
        <v>368</v>
      </c>
      <c r="F145" s="24" t="s">
        <v>56</v>
      </c>
      <c r="G145" s="24" t="s">
        <v>412</v>
      </c>
      <c r="H145" s="24" t="s">
        <v>443</v>
      </c>
      <c r="I145" s="5">
        <v>158400</v>
      </c>
      <c r="J145" s="4">
        <v>-4752</v>
      </c>
      <c r="L145" s="5">
        <v>153648</v>
      </c>
      <c r="M145" s="5">
        <v>16462.29</v>
      </c>
      <c r="N145" s="5">
        <v>137185.71</v>
      </c>
    </row>
    <row r="146" spans="1:14">
      <c r="A146" s="24" t="s">
        <v>445</v>
      </c>
      <c r="B146" s="24" t="s">
        <v>368</v>
      </c>
      <c r="C146" s="24" t="s">
        <v>73</v>
      </c>
      <c r="D146" s="6">
        <v>30</v>
      </c>
      <c r="E146" s="24" t="s">
        <v>370</v>
      </c>
      <c r="F146" s="24" t="s">
        <v>56</v>
      </c>
      <c r="G146" s="24" t="s">
        <v>244</v>
      </c>
      <c r="H146" s="24" t="s">
        <v>446</v>
      </c>
      <c r="I146" s="5">
        <v>384480</v>
      </c>
      <c r="L146" s="5">
        <v>384480</v>
      </c>
      <c r="M146" s="5">
        <v>41194.29</v>
      </c>
      <c r="N146" s="5">
        <v>343285.71</v>
      </c>
    </row>
    <row r="147" spans="1:14">
      <c r="A147" s="24" t="s">
        <v>447</v>
      </c>
      <c r="B147" s="24" t="s">
        <v>448</v>
      </c>
      <c r="C147" s="24" t="s">
        <v>60</v>
      </c>
      <c r="D147" s="6">
        <v>0</v>
      </c>
      <c r="E147" s="24" t="s">
        <v>448</v>
      </c>
      <c r="F147" s="24" t="s">
        <v>139</v>
      </c>
      <c r="G147" s="24" t="s">
        <v>449</v>
      </c>
      <c r="H147" s="24" t="s">
        <v>450</v>
      </c>
      <c r="I147" s="5">
        <v>6754.32</v>
      </c>
      <c r="L147" s="5">
        <v>6754.32</v>
      </c>
      <c r="M147" s="7">
        <v>723.68</v>
      </c>
      <c r="N147" s="5">
        <v>6030.64</v>
      </c>
    </row>
    <row r="148" spans="1:14">
      <c r="A148" s="24" t="s">
        <v>451</v>
      </c>
      <c r="B148" s="24" t="s">
        <v>448</v>
      </c>
      <c r="C148" s="24" t="s">
        <v>60</v>
      </c>
      <c r="D148" s="6">
        <v>0</v>
      </c>
      <c r="E148" s="24" t="s">
        <v>448</v>
      </c>
      <c r="F148" s="24" t="s">
        <v>139</v>
      </c>
      <c r="G148" s="24" t="s">
        <v>449</v>
      </c>
      <c r="H148" s="24" t="s">
        <v>452</v>
      </c>
      <c r="I148" s="5">
        <v>9143.68</v>
      </c>
      <c r="L148" s="5">
        <v>9143.68</v>
      </c>
      <c r="M148" s="7">
        <v>979.68</v>
      </c>
      <c r="N148" s="5">
        <v>8164</v>
      </c>
    </row>
    <row r="149" spans="1:14">
      <c r="A149" s="24" t="s">
        <v>453</v>
      </c>
      <c r="B149" s="24" t="s">
        <v>448</v>
      </c>
      <c r="C149" s="24" t="s">
        <v>60</v>
      </c>
      <c r="D149" s="6">
        <v>0</v>
      </c>
      <c r="E149" s="24" t="s">
        <v>448</v>
      </c>
      <c r="F149" s="24" t="s">
        <v>46</v>
      </c>
      <c r="G149" s="24" t="s">
        <v>454</v>
      </c>
      <c r="H149" s="24" t="s">
        <v>455</v>
      </c>
      <c r="I149" s="5">
        <v>24000</v>
      </c>
      <c r="L149" s="5">
        <v>24000</v>
      </c>
      <c r="M149" s="5">
        <v>2571.4299999999998</v>
      </c>
      <c r="N149" s="5">
        <v>21428.57</v>
      </c>
    </row>
    <row r="150" spans="1:14">
      <c r="A150" s="24" t="s">
        <v>456</v>
      </c>
      <c r="B150" s="24" t="s">
        <v>448</v>
      </c>
      <c r="C150" s="24" t="s">
        <v>132</v>
      </c>
      <c r="D150" s="6">
        <v>0</v>
      </c>
      <c r="E150" s="24" t="s">
        <v>448</v>
      </c>
      <c r="F150" s="24" t="s">
        <v>56</v>
      </c>
      <c r="G150" s="24" t="s">
        <v>457</v>
      </c>
      <c r="H150" s="24" t="s">
        <v>458</v>
      </c>
      <c r="I150" s="5">
        <v>7218</v>
      </c>
      <c r="L150" s="5">
        <v>7218</v>
      </c>
      <c r="M150" s="7">
        <v>773.36</v>
      </c>
      <c r="N150" s="5">
        <v>6444.64</v>
      </c>
    </row>
    <row r="151" spans="1:14">
      <c r="A151" s="24" t="s">
        <v>459</v>
      </c>
      <c r="B151" s="24" t="s">
        <v>448</v>
      </c>
      <c r="C151" s="24" t="s">
        <v>18</v>
      </c>
      <c r="D151" s="6">
        <v>0</v>
      </c>
      <c r="E151" s="24" t="s">
        <v>448</v>
      </c>
      <c r="F151" s="24" t="s">
        <v>56</v>
      </c>
      <c r="G151" s="24" t="s">
        <v>457</v>
      </c>
      <c r="H151" s="24" t="s">
        <v>460</v>
      </c>
      <c r="I151" s="5">
        <v>1897500</v>
      </c>
      <c r="L151" s="5">
        <v>1897500</v>
      </c>
      <c r="M151" s="5">
        <v>203303.57</v>
      </c>
      <c r="N151" s="5">
        <v>1694196.43</v>
      </c>
    </row>
    <row r="152" spans="1:14">
      <c r="A152" s="24" t="s">
        <v>461</v>
      </c>
      <c r="B152" s="24" t="s">
        <v>448</v>
      </c>
      <c r="C152" s="24" t="s">
        <v>60</v>
      </c>
      <c r="D152" s="6">
        <v>0</v>
      </c>
      <c r="E152" s="24" t="s">
        <v>448</v>
      </c>
      <c r="F152" s="24" t="s">
        <v>19</v>
      </c>
      <c r="G152" s="24" t="s">
        <v>462</v>
      </c>
      <c r="H152" s="24" t="s">
        <v>463</v>
      </c>
      <c r="I152" s="5">
        <v>9605</v>
      </c>
      <c r="L152" s="5">
        <v>9605</v>
      </c>
      <c r="M152" s="5">
        <v>1029.1099999999999</v>
      </c>
      <c r="N152" s="5">
        <v>8575.89</v>
      </c>
    </row>
    <row r="153" spans="1:14">
      <c r="A153" s="24" t="s">
        <v>464</v>
      </c>
      <c r="B153" s="24" t="s">
        <v>448</v>
      </c>
      <c r="C153" s="24" t="s">
        <v>29</v>
      </c>
      <c r="D153" s="6">
        <v>0</v>
      </c>
      <c r="E153" s="24" t="s">
        <v>448</v>
      </c>
      <c r="F153" s="24" t="s">
        <v>30</v>
      </c>
      <c r="G153" s="24" t="s">
        <v>31</v>
      </c>
      <c r="H153" s="24" t="s">
        <v>465</v>
      </c>
      <c r="I153" s="5">
        <v>22500</v>
      </c>
      <c r="L153" s="5">
        <v>22500</v>
      </c>
      <c r="M153" s="5">
        <v>2410.71</v>
      </c>
      <c r="N153" s="5">
        <v>20089.29</v>
      </c>
    </row>
    <row r="154" spans="1:14">
      <c r="A154" s="24" t="s">
        <v>466</v>
      </c>
      <c r="B154" s="24" t="s">
        <v>448</v>
      </c>
      <c r="C154" s="24" t="s">
        <v>29</v>
      </c>
      <c r="D154" s="6">
        <v>0</v>
      </c>
      <c r="E154" s="24" t="s">
        <v>448</v>
      </c>
      <c r="F154" s="24" t="s">
        <v>30</v>
      </c>
      <c r="G154" s="24" t="s">
        <v>31</v>
      </c>
      <c r="H154" s="24" t="s">
        <v>467</v>
      </c>
      <c r="I154" s="5">
        <v>17740</v>
      </c>
      <c r="L154" s="5">
        <v>17740</v>
      </c>
      <c r="M154" s="5">
        <v>1900.71</v>
      </c>
      <c r="N154" s="5">
        <v>15839.29</v>
      </c>
    </row>
    <row r="155" spans="1:14">
      <c r="A155" s="24" t="s">
        <v>468</v>
      </c>
      <c r="B155" s="24" t="s">
        <v>448</v>
      </c>
      <c r="C155" s="24" t="s">
        <v>29</v>
      </c>
      <c r="D155" s="6">
        <v>0</v>
      </c>
      <c r="E155" s="24" t="s">
        <v>448</v>
      </c>
      <c r="F155" s="24" t="s">
        <v>30</v>
      </c>
      <c r="G155" s="24" t="s">
        <v>31</v>
      </c>
      <c r="H155" s="24" t="s">
        <v>469</v>
      </c>
      <c r="I155" s="5">
        <v>28458</v>
      </c>
      <c r="L155" s="5">
        <v>28458</v>
      </c>
      <c r="M155" s="5">
        <v>3049.07</v>
      </c>
      <c r="N155" s="5">
        <v>25408.93</v>
      </c>
    </row>
    <row r="156" spans="1:14">
      <c r="A156" s="24" t="s">
        <v>470</v>
      </c>
      <c r="B156" s="24" t="s">
        <v>448</v>
      </c>
      <c r="C156" s="24" t="s">
        <v>29</v>
      </c>
      <c r="D156" s="6">
        <v>0</v>
      </c>
      <c r="E156" s="24" t="s">
        <v>448</v>
      </c>
      <c r="F156" s="24" t="s">
        <v>30</v>
      </c>
      <c r="G156" s="24" t="s">
        <v>218</v>
      </c>
      <c r="H156" s="24" t="s">
        <v>471</v>
      </c>
      <c r="I156" s="5">
        <v>3038</v>
      </c>
      <c r="J156" s="4">
        <v>-91.14</v>
      </c>
      <c r="L156" s="5">
        <v>2946.86</v>
      </c>
      <c r="M156" s="7">
        <v>315.73</v>
      </c>
      <c r="N156" s="5">
        <v>2631.13</v>
      </c>
    </row>
    <row r="157" spans="1:14">
      <c r="A157" s="24" t="s">
        <v>472</v>
      </c>
      <c r="B157" s="24" t="s">
        <v>448</v>
      </c>
      <c r="C157" s="24" t="s">
        <v>29</v>
      </c>
      <c r="D157" s="6">
        <v>0</v>
      </c>
      <c r="E157" s="24" t="s">
        <v>448</v>
      </c>
      <c r="F157" s="24" t="s">
        <v>30</v>
      </c>
      <c r="G157" s="24" t="s">
        <v>31</v>
      </c>
      <c r="H157" s="24" t="s">
        <v>473</v>
      </c>
      <c r="I157" s="5">
        <v>152120</v>
      </c>
      <c r="L157" s="5">
        <v>152120</v>
      </c>
      <c r="M157" s="5">
        <v>16298.57</v>
      </c>
      <c r="N157" s="5">
        <v>135821.43</v>
      </c>
    </row>
    <row r="158" spans="1:14">
      <c r="A158" s="24" t="s">
        <v>474</v>
      </c>
      <c r="B158" s="24" t="s">
        <v>448</v>
      </c>
      <c r="C158" s="24" t="s">
        <v>29</v>
      </c>
      <c r="D158" s="6">
        <v>0</v>
      </c>
      <c r="E158" s="24" t="s">
        <v>448</v>
      </c>
      <c r="F158" s="24" t="s">
        <v>30</v>
      </c>
      <c r="G158" s="24" t="s">
        <v>31</v>
      </c>
      <c r="H158" s="24" t="s">
        <v>475</v>
      </c>
      <c r="I158" s="5">
        <v>121248</v>
      </c>
      <c r="L158" s="5">
        <v>121248</v>
      </c>
      <c r="M158" s="5">
        <v>12990.86</v>
      </c>
      <c r="N158" s="5">
        <v>108257.14</v>
      </c>
    </row>
    <row r="159" spans="1:14">
      <c r="A159" s="24" t="s">
        <v>476</v>
      </c>
      <c r="B159" s="24" t="s">
        <v>448</v>
      </c>
      <c r="C159" s="24" t="s">
        <v>29</v>
      </c>
      <c r="D159" s="6">
        <v>0</v>
      </c>
      <c r="E159" s="24" t="s">
        <v>448</v>
      </c>
      <c r="F159" s="24" t="s">
        <v>50</v>
      </c>
      <c r="G159" s="24" t="s">
        <v>51</v>
      </c>
      <c r="H159" s="24" t="s">
        <v>477</v>
      </c>
      <c r="I159" s="5">
        <v>11687.4</v>
      </c>
      <c r="L159" s="5">
        <v>11687.4</v>
      </c>
      <c r="M159" s="5">
        <v>1252.22</v>
      </c>
      <c r="N159" s="5">
        <v>10435.18</v>
      </c>
    </row>
    <row r="160" spans="1:14">
      <c r="A160" s="24" t="s">
        <v>478</v>
      </c>
      <c r="B160" s="24" t="s">
        <v>448</v>
      </c>
      <c r="C160" s="24" t="s">
        <v>162</v>
      </c>
      <c r="D160" s="6">
        <v>90</v>
      </c>
      <c r="E160" s="24" t="s">
        <v>479</v>
      </c>
      <c r="F160" s="24" t="s">
        <v>36</v>
      </c>
      <c r="G160" s="24" t="s">
        <v>193</v>
      </c>
      <c r="H160" s="24" t="s">
        <v>480</v>
      </c>
      <c r="I160" s="5">
        <v>66010</v>
      </c>
      <c r="L160" s="5">
        <v>66010</v>
      </c>
      <c r="M160" s="5">
        <v>7072.5</v>
      </c>
      <c r="N160" s="5">
        <v>58937.5</v>
      </c>
    </row>
    <row r="161" spans="1:14">
      <c r="A161" s="24" t="s">
        <v>481</v>
      </c>
      <c r="B161" s="24" t="s">
        <v>448</v>
      </c>
      <c r="C161" s="24" t="s">
        <v>73</v>
      </c>
      <c r="D161" s="6">
        <v>30</v>
      </c>
      <c r="E161" s="24" t="s">
        <v>482</v>
      </c>
      <c r="F161" s="24" t="s">
        <v>19</v>
      </c>
      <c r="G161" s="24" t="s">
        <v>267</v>
      </c>
      <c r="H161" s="24" t="s">
        <v>483</v>
      </c>
      <c r="I161" s="5">
        <v>41200</v>
      </c>
      <c r="K161" s="5">
        <v>10200</v>
      </c>
      <c r="L161" s="5">
        <v>51400</v>
      </c>
      <c r="M161" s="5">
        <v>5507.14</v>
      </c>
      <c r="N161" s="5">
        <v>45892.86</v>
      </c>
    </row>
    <row r="162" spans="1:14">
      <c r="A162" s="24" t="s">
        <v>484</v>
      </c>
      <c r="B162" s="24" t="s">
        <v>448</v>
      </c>
      <c r="C162" s="24" t="s">
        <v>73</v>
      </c>
      <c r="D162" s="6">
        <v>30</v>
      </c>
      <c r="E162" s="24" t="s">
        <v>482</v>
      </c>
      <c r="F162" s="24" t="s">
        <v>19</v>
      </c>
      <c r="G162" s="24" t="s">
        <v>267</v>
      </c>
      <c r="H162" s="24" t="s">
        <v>485</v>
      </c>
      <c r="I162" s="5">
        <v>120600</v>
      </c>
      <c r="K162" s="5">
        <v>13600</v>
      </c>
      <c r="L162" s="5">
        <v>134200</v>
      </c>
      <c r="M162" s="5">
        <v>14378.57</v>
      </c>
      <c r="N162" s="5">
        <v>119821.43</v>
      </c>
    </row>
    <row r="163" spans="1:14">
      <c r="A163" s="24" t="s">
        <v>486</v>
      </c>
      <c r="B163" s="24" t="s">
        <v>448</v>
      </c>
      <c r="C163" s="24" t="s">
        <v>18</v>
      </c>
      <c r="D163" s="6">
        <v>0</v>
      </c>
      <c r="E163" s="24" t="s">
        <v>448</v>
      </c>
      <c r="F163" s="24" t="s">
        <v>270</v>
      </c>
      <c r="G163" s="24" t="s">
        <v>487</v>
      </c>
      <c r="H163" s="24" t="s">
        <v>488</v>
      </c>
      <c r="I163" s="5">
        <v>272346.90000000002</v>
      </c>
      <c r="L163" s="5">
        <v>272346.90000000002</v>
      </c>
      <c r="M163" s="5">
        <v>29180.02</v>
      </c>
      <c r="N163" s="5">
        <v>243166.88</v>
      </c>
    </row>
    <row r="164" spans="1:14">
      <c r="A164" s="24" t="s">
        <v>489</v>
      </c>
      <c r="B164" s="24" t="s">
        <v>448</v>
      </c>
      <c r="C164" s="24" t="s">
        <v>104</v>
      </c>
      <c r="D164" s="6">
        <v>0</v>
      </c>
      <c r="E164" s="24" t="s">
        <v>448</v>
      </c>
      <c r="F164" s="24" t="s">
        <v>30</v>
      </c>
      <c r="G164" s="24" t="s">
        <v>490</v>
      </c>
      <c r="H164" s="24" t="s">
        <v>491</v>
      </c>
      <c r="I164" s="5">
        <v>625460</v>
      </c>
      <c r="L164" s="5">
        <v>625460</v>
      </c>
      <c r="M164" s="5">
        <v>67013.570000000007</v>
      </c>
      <c r="N164" s="5">
        <v>558446.43000000005</v>
      </c>
    </row>
    <row r="165" spans="1:14">
      <c r="A165" s="24" t="s">
        <v>492</v>
      </c>
      <c r="B165" s="24" t="s">
        <v>448</v>
      </c>
      <c r="C165" s="24" t="s">
        <v>167</v>
      </c>
      <c r="D165" s="6">
        <v>90</v>
      </c>
      <c r="E165" s="24" t="s">
        <v>479</v>
      </c>
      <c r="F165" s="24" t="s">
        <v>56</v>
      </c>
      <c r="G165" s="24" t="s">
        <v>190</v>
      </c>
      <c r="H165" s="24" t="s">
        <v>493</v>
      </c>
      <c r="I165" s="5">
        <v>270048</v>
      </c>
      <c r="L165" s="5">
        <v>270048</v>
      </c>
      <c r="M165" s="5">
        <v>28933.71</v>
      </c>
      <c r="N165" s="5">
        <v>241114.29</v>
      </c>
    </row>
    <row r="166" spans="1:14">
      <c r="A166" s="24" t="s">
        <v>494</v>
      </c>
      <c r="B166" s="24" t="s">
        <v>448</v>
      </c>
      <c r="C166" s="24" t="s">
        <v>146</v>
      </c>
      <c r="D166" s="6">
        <v>90</v>
      </c>
      <c r="E166" s="24" t="s">
        <v>479</v>
      </c>
      <c r="F166" s="24" t="s">
        <v>139</v>
      </c>
      <c r="G166" s="24" t="s">
        <v>250</v>
      </c>
      <c r="H166" s="24" t="s">
        <v>495</v>
      </c>
      <c r="I166" s="5">
        <v>26528</v>
      </c>
      <c r="L166" s="5">
        <v>26528</v>
      </c>
      <c r="M166" s="5">
        <v>2842.29</v>
      </c>
      <c r="N166" s="5">
        <v>23685.71</v>
      </c>
    </row>
    <row r="167" spans="1:14">
      <c r="A167" s="24" t="s">
        <v>496</v>
      </c>
      <c r="B167" s="24" t="s">
        <v>448</v>
      </c>
      <c r="C167" s="24" t="s">
        <v>146</v>
      </c>
      <c r="D167" s="6">
        <v>90</v>
      </c>
      <c r="E167" s="24" t="s">
        <v>479</v>
      </c>
      <c r="F167" s="24" t="s">
        <v>139</v>
      </c>
      <c r="G167" s="24" t="s">
        <v>250</v>
      </c>
      <c r="H167" s="24" t="s">
        <v>497</v>
      </c>
      <c r="I167" s="5">
        <v>978432</v>
      </c>
      <c r="L167" s="5">
        <v>978432</v>
      </c>
      <c r="M167" s="5">
        <v>104832</v>
      </c>
      <c r="N167" s="5">
        <v>873600</v>
      </c>
    </row>
    <row r="168" spans="1:14">
      <c r="A168" s="24" t="s">
        <v>498</v>
      </c>
      <c r="B168" s="24" t="s">
        <v>448</v>
      </c>
      <c r="C168" s="24" t="s">
        <v>60</v>
      </c>
      <c r="D168" s="6">
        <v>0</v>
      </c>
      <c r="E168" s="24" t="s">
        <v>448</v>
      </c>
      <c r="F168" s="24" t="s">
        <v>56</v>
      </c>
      <c r="G168" s="24" t="s">
        <v>196</v>
      </c>
      <c r="H168" s="24" t="s">
        <v>499</v>
      </c>
      <c r="I168" s="5">
        <v>17000</v>
      </c>
      <c r="L168" s="5">
        <v>17000</v>
      </c>
      <c r="M168" s="5">
        <v>1821.43</v>
      </c>
      <c r="N168" s="5">
        <v>15178.57</v>
      </c>
    </row>
    <row r="169" spans="1:14">
      <c r="A169" s="24" t="s">
        <v>500</v>
      </c>
      <c r="B169" s="24" t="s">
        <v>448</v>
      </c>
      <c r="C169" s="24" t="s">
        <v>60</v>
      </c>
      <c r="D169" s="6">
        <v>0</v>
      </c>
      <c r="E169" s="24" t="s">
        <v>448</v>
      </c>
      <c r="F169" s="24" t="s">
        <v>56</v>
      </c>
      <c r="G169" s="24" t="s">
        <v>196</v>
      </c>
      <c r="H169" s="24" t="s">
        <v>501</v>
      </c>
      <c r="I169" s="5">
        <v>104316</v>
      </c>
      <c r="L169" s="5">
        <v>104316</v>
      </c>
      <c r="M169" s="5">
        <v>11176.71</v>
      </c>
      <c r="N169" s="5">
        <v>93139.29</v>
      </c>
    </row>
    <row r="170" spans="1:14">
      <c r="A170" s="24" t="s">
        <v>502</v>
      </c>
      <c r="B170" s="24" t="s">
        <v>448</v>
      </c>
      <c r="C170" s="24" t="s">
        <v>73</v>
      </c>
      <c r="D170" s="6">
        <v>30</v>
      </c>
      <c r="E170" s="24" t="s">
        <v>482</v>
      </c>
      <c r="F170" s="24" t="s">
        <v>19</v>
      </c>
      <c r="G170" s="24" t="s">
        <v>267</v>
      </c>
      <c r="H170" s="24" t="s">
        <v>503</v>
      </c>
      <c r="I170" s="5">
        <v>231400</v>
      </c>
      <c r="K170" s="5">
        <v>13950</v>
      </c>
      <c r="L170" s="5">
        <v>245350</v>
      </c>
      <c r="M170" s="5">
        <v>26287.5</v>
      </c>
      <c r="N170" s="5">
        <v>219062.5</v>
      </c>
    </row>
    <row r="171" spans="1:14">
      <c r="A171" s="24" t="s">
        <v>504</v>
      </c>
      <c r="B171" s="24" t="s">
        <v>505</v>
      </c>
      <c r="C171" s="24" t="s">
        <v>132</v>
      </c>
      <c r="D171" s="6">
        <v>0</v>
      </c>
      <c r="E171" s="24" t="s">
        <v>505</v>
      </c>
      <c r="F171" s="24" t="s">
        <v>56</v>
      </c>
      <c r="G171" s="24" t="s">
        <v>506</v>
      </c>
      <c r="H171" s="24" t="s">
        <v>507</v>
      </c>
      <c r="I171" s="5">
        <v>2916</v>
      </c>
      <c r="L171" s="5">
        <v>2916</v>
      </c>
      <c r="M171" s="7">
        <v>312.43</v>
      </c>
      <c r="N171" s="5">
        <v>2603.5700000000002</v>
      </c>
    </row>
    <row r="172" spans="1:14">
      <c r="A172" s="24" t="s">
        <v>508</v>
      </c>
      <c r="B172" s="24" t="s">
        <v>505</v>
      </c>
      <c r="C172" s="24" t="s">
        <v>34</v>
      </c>
      <c r="D172" s="6">
        <v>60</v>
      </c>
      <c r="E172" s="24" t="s">
        <v>509</v>
      </c>
      <c r="F172" s="24" t="s">
        <v>30</v>
      </c>
      <c r="G172" s="24" t="s">
        <v>201</v>
      </c>
      <c r="H172" s="24" t="s">
        <v>510</v>
      </c>
      <c r="I172" s="5">
        <v>60000</v>
      </c>
      <c r="L172" s="5">
        <v>60000</v>
      </c>
      <c r="M172" s="5">
        <v>6428.57</v>
      </c>
      <c r="N172" s="5">
        <v>53571.43</v>
      </c>
    </row>
    <row r="173" spans="1:14">
      <c r="A173" s="24" t="s">
        <v>511</v>
      </c>
      <c r="B173" s="24" t="s">
        <v>505</v>
      </c>
      <c r="C173" s="24" t="s">
        <v>98</v>
      </c>
      <c r="D173" s="6">
        <v>0</v>
      </c>
      <c r="E173" s="24" t="s">
        <v>505</v>
      </c>
      <c r="F173" s="24" t="s">
        <v>69</v>
      </c>
      <c r="G173" s="24" t="s">
        <v>99</v>
      </c>
      <c r="H173" s="24" t="s">
        <v>512</v>
      </c>
      <c r="I173" s="5">
        <v>47500</v>
      </c>
      <c r="J173" s="4">
        <v>-1425</v>
      </c>
      <c r="L173" s="5">
        <v>46075</v>
      </c>
      <c r="M173" s="5">
        <v>4936.6099999999997</v>
      </c>
      <c r="N173" s="5">
        <v>41138.39</v>
      </c>
    </row>
    <row r="174" spans="1:14">
      <c r="A174" s="24" t="s">
        <v>513</v>
      </c>
      <c r="B174" s="24" t="s">
        <v>505</v>
      </c>
      <c r="C174" s="24" t="s">
        <v>98</v>
      </c>
      <c r="D174" s="6">
        <v>0</v>
      </c>
      <c r="E174" s="24" t="s">
        <v>505</v>
      </c>
      <c r="F174" s="24" t="s">
        <v>69</v>
      </c>
      <c r="G174" s="24" t="s">
        <v>99</v>
      </c>
      <c r="H174" s="24" t="s">
        <v>514</v>
      </c>
      <c r="I174" s="5">
        <v>348100</v>
      </c>
      <c r="J174" s="4">
        <v>-10443</v>
      </c>
      <c r="L174" s="5">
        <v>337657</v>
      </c>
      <c r="M174" s="5">
        <v>36177.54</v>
      </c>
      <c r="N174" s="5">
        <v>301479.46000000002</v>
      </c>
    </row>
    <row r="175" spans="1:14">
      <c r="A175" s="24" t="s">
        <v>515</v>
      </c>
      <c r="B175" s="24" t="s">
        <v>505</v>
      </c>
      <c r="C175" s="24" t="s">
        <v>98</v>
      </c>
      <c r="D175" s="6">
        <v>0</v>
      </c>
      <c r="E175" s="24" t="s">
        <v>505</v>
      </c>
      <c r="F175" s="24" t="s">
        <v>69</v>
      </c>
      <c r="G175" s="24" t="s">
        <v>99</v>
      </c>
      <c r="H175" s="24" t="s">
        <v>516</v>
      </c>
      <c r="I175" s="5">
        <v>51340</v>
      </c>
      <c r="J175" s="4">
        <v>-1540.2</v>
      </c>
      <c r="L175" s="5">
        <v>49799.8</v>
      </c>
      <c r="M175" s="5">
        <v>5335.69</v>
      </c>
      <c r="N175" s="5">
        <v>44464.11</v>
      </c>
    </row>
    <row r="176" spans="1:14">
      <c r="A176" s="24" t="s">
        <v>517</v>
      </c>
      <c r="B176" s="24" t="s">
        <v>505</v>
      </c>
      <c r="C176" s="24" t="s">
        <v>243</v>
      </c>
      <c r="D176" s="6">
        <v>30</v>
      </c>
      <c r="E176" s="24" t="s">
        <v>518</v>
      </c>
      <c r="F176" s="24" t="s">
        <v>139</v>
      </c>
      <c r="G176" s="24" t="s">
        <v>519</v>
      </c>
      <c r="H176" s="24" t="s">
        <v>520</v>
      </c>
      <c r="I176" s="5">
        <v>9802</v>
      </c>
      <c r="L176" s="5">
        <v>9802</v>
      </c>
      <c r="M176" s="5">
        <v>1050.21</v>
      </c>
      <c r="N176" s="5">
        <v>8751.7900000000009</v>
      </c>
    </row>
    <row r="177" spans="1:14">
      <c r="A177" s="24" t="s">
        <v>521</v>
      </c>
      <c r="B177" s="24" t="s">
        <v>505</v>
      </c>
      <c r="C177" s="24" t="s">
        <v>73</v>
      </c>
      <c r="D177" s="6">
        <v>30</v>
      </c>
      <c r="E177" s="24" t="s">
        <v>518</v>
      </c>
      <c r="F177" s="24" t="s">
        <v>46</v>
      </c>
      <c r="G177" s="24" t="s">
        <v>522</v>
      </c>
      <c r="H177" s="24" t="s">
        <v>523</v>
      </c>
      <c r="I177" s="5">
        <v>86400</v>
      </c>
      <c r="L177" s="5">
        <v>86400</v>
      </c>
      <c r="N177" s="5">
        <v>86400</v>
      </c>
    </row>
    <row r="178" spans="1:14">
      <c r="A178" s="24" t="s">
        <v>524</v>
      </c>
      <c r="B178" s="24" t="s">
        <v>505</v>
      </c>
      <c r="C178" s="24" t="s">
        <v>60</v>
      </c>
      <c r="D178" s="6">
        <v>0</v>
      </c>
      <c r="E178" s="24" t="s">
        <v>505</v>
      </c>
      <c r="F178" s="24" t="s">
        <v>56</v>
      </c>
      <c r="G178" s="24" t="s">
        <v>168</v>
      </c>
      <c r="H178" s="24" t="s">
        <v>525</v>
      </c>
      <c r="I178" s="5">
        <v>58172.84</v>
      </c>
      <c r="L178" s="5">
        <v>58172.84</v>
      </c>
      <c r="M178" s="5">
        <v>6232.8</v>
      </c>
      <c r="N178" s="5">
        <v>51940.04</v>
      </c>
    </row>
    <row r="179" spans="1:14">
      <c r="A179" s="24" t="s">
        <v>526</v>
      </c>
      <c r="B179" s="24" t="s">
        <v>505</v>
      </c>
      <c r="C179" s="24" t="s">
        <v>60</v>
      </c>
      <c r="D179" s="6">
        <v>0</v>
      </c>
      <c r="E179" s="24" t="s">
        <v>505</v>
      </c>
      <c r="F179" s="24" t="s">
        <v>56</v>
      </c>
      <c r="G179" s="24" t="s">
        <v>190</v>
      </c>
      <c r="H179" s="24" t="s">
        <v>527</v>
      </c>
      <c r="I179" s="5">
        <v>32000</v>
      </c>
      <c r="L179" s="5">
        <v>32000</v>
      </c>
      <c r="M179" s="5">
        <v>3428.57</v>
      </c>
      <c r="N179" s="5">
        <v>28571.43</v>
      </c>
    </row>
    <row r="180" spans="1:14">
      <c r="A180" s="24" t="s">
        <v>528</v>
      </c>
      <c r="B180" s="24" t="s">
        <v>505</v>
      </c>
      <c r="C180" s="24" t="s">
        <v>23</v>
      </c>
      <c r="D180" s="6">
        <v>30</v>
      </c>
      <c r="E180" s="24" t="s">
        <v>518</v>
      </c>
      <c r="F180" s="24" t="s">
        <v>329</v>
      </c>
      <c r="G180" s="24" t="s">
        <v>529</v>
      </c>
      <c r="H180" s="24" t="s">
        <v>530</v>
      </c>
      <c r="I180" s="5">
        <v>239276</v>
      </c>
      <c r="J180" s="4">
        <v>-4785.5200000000004</v>
      </c>
      <c r="L180" s="5">
        <v>234490.48</v>
      </c>
      <c r="M180" s="5">
        <v>25123.98</v>
      </c>
      <c r="N180" s="5">
        <v>209366.5</v>
      </c>
    </row>
    <row r="181" spans="1:14">
      <c r="A181" s="24" t="s">
        <v>531</v>
      </c>
      <c r="B181" s="24" t="s">
        <v>505</v>
      </c>
      <c r="C181" s="24" t="s">
        <v>167</v>
      </c>
      <c r="D181" s="6">
        <v>90</v>
      </c>
      <c r="E181" s="24" t="s">
        <v>532</v>
      </c>
      <c r="F181" s="24" t="s">
        <v>56</v>
      </c>
      <c r="G181" s="24" t="s">
        <v>190</v>
      </c>
      <c r="H181" s="24" t="s">
        <v>533</v>
      </c>
      <c r="I181" s="5">
        <v>470460</v>
      </c>
      <c r="L181" s="5">
        <v>470460</v>
      </c>
      <c r="M181" s="5">
        <v>50406.43</v>
      </c>
      <c r="N181" s="5">
        <v>420053.57</v>
      </c>
    </row>
    <row r="182" spans="1:14">
      <c r="A182" s="24" t="s">
        <v>534</v>
      </c>
      <c r="B182" s="24" t="s">
        <v>505</v>
      </c>
      <c r="C182" s="24" t="s">
        <v>60</v>
      </c>
      <c r="D182" s="6">
        <v>0</v>
      </c>
      <c r="E182" s="24" t="s">
        <v>505</v>
      </c>
      <c r="F182" s="24" t="s">
        <v>56</v>
      </c>
      <c r="G182" s="24" t="s">
        <v>190</v>
      </c>
      <c r="H182" s="24" t="s">
        <v>535</v>
      </c>
      <c r="I182" s="5">
        <v>98552</v>
      </c>
      <c r="L182" s="5">
        <v>98552</v>
      </c>
      <c r="M182" s="5">
        <v>10559.14</v>
      </c>
      <c r="N182" s="5">
        <v>87992.86</v>
      </c>
    </row>
    <row r="183" spans="1:14">
      <c r="A183" s="24" t="s">
        <v>536</v>
      </c>
      <c r="B183" s="24" t="s">
        <v>505</v>
      </c>
      <c r="C183" s="24" t="s">
        <v>60</v>
      </c>
      <c r="D183" s="6">
        <v>0</v>
      </c>
      <c r="E183" s="24" t="s">
        <v>505</v>
      </c>
      <c r="F183" s="24" t="s">
        <v>56</v>
      </c>
      <c r="G183" s="24" t="s">
        <v>190</v>
      </c>
      <c r="H183" s="24" t="s">
        <v>537</v>
      </c>
      <c r="I183" s="5">
        <v>78570</v>
      </c>
      <c r="L183" s="5">
        <v>78570</v>
      </c>
      <c r="M183" s="5">
        <v>8418.2099999999991</v>
      </c>
      <c r="N183" s="5">
        <v>70151.789999999994</v>
      </c>
    </row>
    <row r="184" spans="1:14">
      <c r="A184" s="24" t="s">
        <v>538</v>
      </c>
      <c r="B184" s="24" t="s">
        <v>505</v>
      </c>
      <c r="C184" s="24" t="s">
        <v>60</v>
      </c>
      <c r="D184" s="6">
        <v>0</v>
      </c>
      <c r="E184" s="24" t="s">
        <v>505</v>
      </c>
      <c r="F184" s="24" t="s">
        <v>56</v>
      </c>
      <c r="G184" s="24" t="s">
        <v>190</v>
      </c>
      <c r="H184" s="24" t="s">
        <v>539</v>
      </c>
      <c r="I184" s="5">
        <v>9506</v>
      </c>
      <c r="L184" s="5">
        <v>9506</v>
      </c>
      <c r="M184" s="5">
        <v>1018.5</v>
      </c>
      <c r="N184" s="5">
        <v>8487.5</v>
      </c>
    </row>
    <row r="185" spans="1:14">
      <c r="A185" s="24" t="s">
        <v>540</v>
      </c>
      <c r="B185" s="24" t="s">
        <v>505</v>
      </c>
      <c r="C185" s="24" t="s">
        <v>34</v>
      </c>
      <c r="D185" s="6">
        <v>60</v>
      </c>
      <c r="E185" s="24" t="s">
        <v>509</v>
      </c>
      <c r="F185" s="24" t="s">
        <v>329</v>
      </c>
      <c r="G185" s="24" t="s">
        <v>330</v>
      </c>
      <c r="H185" s="24" t="s">
        <v>541</v>
      </c>
      <c r="I185" s="5">
        <v>360302</v>
      </c>
      <c r="L185" s="5">
        <v>360302</v>
      </c>
      <c r="M185" s="5">
        <v>38603.79</v>
      </c>
      <c r="N185" s="5">
        <v>321698.21000000002</v>
      </c>
    </row>
    <row r="186" spans="1:14">
      <c r="A186" s="24" t="s">
        <v>542</v>
      </c>
      <c r="B186" s="24" t="s">
        <v>505</v>
      </c>
      <c r="C186" s="24" t="s">
        <v>162</v>
      </c>
      <c r="D186" s="6">
        <v>90</v>
      </c>
      <c r="E186" s="24" t="s">
        <v>532</v>
      </c>
      <c r="F186" s="24" t="s">
        <v>19</v>
      </c>
      <c r="G186" s="24" t="s">
        <v>543</v>
      </c>
      <c r="H186" s="24" t="s">
        <v>544</v>
      </c>
      <c r="I186" s="5">
        <v>347124</v>
      </c>
      <c r="L186" s="5">
        <v>347124</v>
      </c>
      <c r="M186" s="5">
        <v>37191.86</v>
      </c>
      <c r="N186" s="5">
        <v>309932.14</v>
      </c>
    </row>
    <row r="187" spans="1:14">
      <c r="A187" s="24" t="s">
        <v>545</v>
      </c>
      <c r="B187" s="24" t="s">
        <v>505</v>
      </c>
      <c r="C187" s="24" t="s">
        <v>60</v>
      </c>
      <c r="D187" s="6">
        <v>0</v>
      </c>
      <c r="E187" s="24" t="s">
        <v>505</v>
      </c>
      <c r="F187" s="24" t="s">
        <v>56</v>
      </c>
      <c r="G187" s="24" t="s">
        <v>546</v>
      </c>
      <c r="H187" s="24" t="s">
        <v>547</v>
      </c>
      <c r="I187" s="5">
        <v>83454.48</v>
      </c>
      <c r="L187" s="5">
        <v>83454.48</v>
      </c>
      <c r="M187" s="5">
        <v>8941.5499999999993</v>
      </c>
      <c r="N187" s="5">
        <v>74512.929999999993</v>
      </c>
    </row>
    <row r="188" spans="1:14">
      <c r="A188" s="24" t="s">
        <v>548</v>
      </c>
      <c r="B188" s="24" t="s">
        <v>505</v>
      </c>
      <c r="C188" s="24" t="s">
        <v>18</v>
      </c>
      <c r="D188" s="6">
        <v>0</v>
      </c>
      <c r="E188" s="24" t="s">
        <v>505</v>
      </c>
      <c r="F188" s="24" t="s">
        <v>56</v>
      </c>
      <c r="G188" s="24" t="s">
        <v>412</v>
      </c>
      <c r="H188" s="24" t="s">
        <v>549</v>
      </c>
      <c r="I188" s="5">
        <v>308052</v>
      </c>
      <c r="J188" s="4">
        <v>-9241.56</v>
      </c>
      <c r="L188" s="5">
        <v>298810.44</v>
      </c>
      <c r="M188" s="5">
        <v>32015.4</v>
      </c>
      <c r="N188" s="5">
        <v>266795.03999999998</v>
      </c>
    </row>
    <row r="189" spans="1:14">
      <c r="A189" s="24" t="s">
        <v>550</v>
      </c>
      <c r="B189" s="24" t="s">
        <v>505</v>
      </c>
      <c r="C189" s="24" t="s">
        <v>68</v>
      </c>
      <c r="D189" s="6">
        <v>60</v>
      </c>
      <c r="E189" s="24" t="s">
        <v>509</v>
      </c>
      <c r="F189" s="24" t="s">
        <v>69</v>
      </c>
      <c r="G189" s="24" t="s">
        <v>70</v>
      </c>
      <c r="H189" s="24" t="s">
        <v>551</v>
      </c>
      <c r="I189" s="5">
        <v>2419200</v>
      </c>
      <c r="L189" s="5">
        <v>2419200</v>
      </c>
      <c r="M189" s="5">
        <v>259200</v>
      </c>
      <c r="N189" s="5">
        <v>2160000</v>
      </c>
    </row>
    <row r="190" spans="1:14">
      <c r="A190" s="24" t="s">
        <v>552</v>
      </c>
      <c r="B190" s="24" t="s">
        <v>505</v>
      </c>
      <c r="C190" s="24" t="s">
        <v>73</v>
      </c>
      <c r="D190" s="6">
        <v>30</v>
      </c>
      <c r="E190" s="24" t="s">
        <v>518</v>
      </c>
      <c r="F190" s="24" t="s">
        <v>19</v>
      </c>
      <c r="G190" s="24" t="s">
        <v>553</v>
      </c>
      <c r="H190" s="24" t="s">
        <v>554</v>
      </c>
      <c r="I190" s="5">
        <v>89266</v>
      </c>
      <c r="L190" s="5">
        <v>89266</v>
      </c>
      <c r="M190" s="5">
        <v>9564.2099999999991</v>
      </c>
      <c r="N190" s="5">
        <v>79701.789999999994</v>
      </c>
    </row>
    <row r="191" spans="1:14">
      <c r="A191" s="24" t="s">
        <v>555</v>
      </c>
      <c r="B191" s="24" t="s">
        <v>505</v>
      </c>
      <c r="C191" s="24" t="s">
        <v>73</v>
      </c>
      <c r="D191" s="6">
        <v>30</v>
      </c>
      <c r="E191" s="24" t="s">
        <v>518</v>
      </c>
      <c r="F191" s="24" t="s">
        <v>19</v>
      </c>
      <c r="G191" s="24" t="s">
        <v>553</v>
      </c>
      <c r="H191" s="24" t="s">
        <v>556</v>
      </c>
      <c r="I191" s="5">
        <v>120774</v>
      </c>
      <c r="L191" s="5">
        <v>120774</v>
      </c>
      <c r="M191" s="5">
        <v>12940.07</v>
      </c>
      <c r="N191" s="5">
        <v>107833.93</v>
      </c>
    </row>
    <row r="192" spans="1:14">
      <c r="A192" s="24" t="s">
        <v>557</v>
      </c>
      <c r="B192" s="24" t="s">
        <v>505</v>
      </c>
      <c r="C192" s="24" t="s">
        <v>94</v>
      </c>
      <c r="D192" s="6">
        <v>0</v>
      </c>
      <c r="E192" s="24" t="s">
        <v>505</v>
      </c>
      <c r="F192" s="24" t="s">
        <v>46</v>
      </c>
      <c r="G192" s="24" t="s">
        <v>558</v>
      </c>
      <c r="H192" s="24" t="s">
        <v>559</v>
      </c>
      <c r="I192" s="5">
        <v>250000</v>
      </c>
      <c r="L192" s="5">
        <v>250000</v>
      </c>
      <c r="M192" s="5">
        <v>26785.71</v>
      </c>
      <c r="N192" s="5">
        <v>223214.29</v>
      </c>
    </row>
    <row r="193" spans="1:14">
      <c r="A193" s="24" t="s">
        <v>560</v>
      </c>
      <c r="B193" s="24" t="s">
        <v>505</v>
      </c>
      <c r="C193" s="24" t="s">
        <v>94</v>
      </c>
      <c r="D193" s="6">
        <v>0</v>
      </c>
      <c r="E193" s="24" t="s">
        <v>505</v>
      </c>
      <c r="F193" s="24" t="s">
        <v>46</v>
      </c>
      <c r="G193" s="24" t="s">
        <v>558</v>
      </c>
      <c r="H193" s="24" t="s">
        <v>561</v>
      </c>
      <c r="I193" s="5">
        <v>250000</v>
      </c>
      <c r="L193" s="5">
        <v>250000</v>
      </c>
      <c r="M193" s="5">
        <v>26785.71</v>
      </c>
      <c r="N193" s="5">
        <v>223214.29</v>
      </c>
    </row>
    <row r="194" spans="1:14">
      <c r="A194" s="24" t="s">
        <v>562</v>
      </c>
      <c r="B194" s="24" t="s">
        <v>505</v>
      </c>
      <c r="C194" s="24" t="s">
        <v>29</v>
      </c>
      <c r="D194" s="6">
        <v>0</v>
      </c>
      <c r="E194" s="24" t="s">
        <v>505</v>
      </c>
      <c r="F194" s="24" t="s">
        <v>139</v>
      </c>
      <c r="G194" s="24" t="s">
        <v>140</v>
      </c>
      <c r="H194" s="24" t="s">
        <v>563</v>
      </c>
      <c r="I194" s="5">
        <v>12142</v>
      </c>
      <c r="L194" s="5">
        <v>12142</v>
      </c>
      <c r="M194" s="5">
        <v>1300.93</v>
      </c>
      <c r="N194" s="5">
        <v>10841.07</v>
      </c>
    </row>
    <row r="195" spans="1:14">
      <c r="A195" s="24" t="s">
        <v>564</v>
      </c>
      <c r="B195" s="24" t="s">
        <v>505</v>
      </c>
      <c r="C195" s="24" t="s">
        <v>73</v>
      </c>
      <c r="D195" s="6">
        <v>30</v>
      </c>
      <c r="E195" s="24" t="s">
        <v>518</v>
      </c>
      <c r="F195" s="24" t="s">
        <v>19</v>
      </c>
      <c r="G195" s="24" t="s">
        <v>267</v>
      </c>
      <c r="H195" s="24" t="s">
        <v>485</v>
      </c>
      <c r="I195" s="5">
        <v>120600</v>
      </c>
      <c r="L195" s="5">
        <v>120600</v>
      </c>
      <c r="M195" s="5">
        <v>12921.43</v>
      </c>
      <c r="N195" s="5">
        <v>107678.57</v>
      </c>
    </row>
    <row r="196" spans="1:14">
      <c r="A196" s="24" t="s">
        <v>565</v>
      </c>
      <c r="B196" s="24" t="s">
        <v>505</v>
      </c>
      <c r="C196" s="24" t="s">
        <v>29</v>
      </c>
      <c r="D196" s="6">
        <v>0</v>
      </c>
      <c r="E196" s="24" t="s">
        <v>505</v>
      </c>
      <c r="F196" s="24" t="s">
        <v>30</v>
      </c>
      <c r="G196" s="24" t="s">
        <v>31</v>
      </c>
      <c r="H196" s="24" t="s">
        <v>566</v>
      </c>
      <c r="I196" s="5">
        <v>41600</v>
      </c>
      <c r="L196" s="5">
        <v>41600</v>
      </c>
      <c r="M196" s="5">
        <v>4457.1400000000003</v>
      </c>
      <c r="N196" s="5">
        <v>37142.86</v>
      </c>
    </row>
    <row r="197" spans="1:14">
      <c r="A197" s="24" t="s">
        <v>567</v>
      </c>
      <c r="B197" s="24" t="s">
        <v>505</v>
      </c>
      <c r="C197" s="24" t="s">
        <v>29</v>
      </c>
      <c r="D197" s="6">
        <v>0</v>
      </c>
      <c r="E197" s="24" t="s">
        <v>505</v>
      </c>
      <c r="F197" s="24" t="s">
        <v>30</v>
      </c>
      <c r="G197" s="24" t="s">
        <v>155</v>
      </c>
      <c r="H197" s="24" t="s">
        <v>568</v>
      </c>
      <c r="I197" s="5">
        <v>100352</v>
      </c>
      <c r="L197" s="5">
        <v>100352</v>
      </c>
      <c r="M197" s="5">
        <v>10752</v>
      </c>
      <c r="N197" s="5">
        <v>89600</v>
      </c>
    </row>
    <row r="198" spans="1:14">
      <c r="A198" s="24" t="s">
        <v>569</v>
      </c>
      <c r="B198" s="24" t="s">
        <v>505</v>
      </c>
      <c r="C198" s="24" t="s">
        <v>29</v>
      </c>
      <c r="D198" s="6">
        <v>0</v>
      </c>
      <c r="E198" s="24" t="s">
        <v>505</v>
      </c>
      <c r="F198" s="24" t="s">
        <v>30</v>
      </c>
      <c r="G198" s="24" t="s">
        <v>31</v>
      </c>
      <c r="H198" s="24" t="s">
        <v>570</v>
      </c>
      <c r="I198" s="5">
        <v>99186</v>
      </c>
      <c r="L198" s="5">
        <v>99186</v>
      </c>
      <c r="M198" s="5">
        <v>10627.07</v>
      </c>
      <c r="N198" s="5">
        <v>88558.93</v>
      </c>
    </row>
    <row r="199" spans="1:14">
      <c r="A199" s="24" t="s">
        <v>571</v>
      </c>
      <c r="B199" s="24" t="s">
        <v>505</v>
      </c>
      <c r="C199" s="24" t="s">
        <v>167</v>
      </c>
      <c r="D199" s="6">
        <v>90</v>
      </c>
      <c r="E199" s="24" t="s">
        <v>532</v>
      </c>
      <c r="F199" s="24" t="s">
        <v>56</v>
      </c>
      <c r="G199" s="24" t="s">
        <v>190</v>
      </c>
      <c r="H199" s="24" t="s">
        <v>572</v>
      </c>
      <c r="I199" s="5">
        <v>260736</v>
      </c>
      <c r="L199" s="5">
        <v>260736</v>
      </c>
      <c r="M199" s="5">
        <v>27936</v>
      </c>
      <c r="N199" s="5">
        <v>232800</v>
      </c>
    </row>
    <row r="200" spans="1:14">
      <c r="A200" s="24" t="s">
        <v>573</v>
      </c>
      <c r="B200" s="24" t="s">
        <v>505</v>
      </c>
      <c r="C200" s="24" t="s">
        <v>68</v>
      </c>
      <c r="D200" s="6">
        <v>60</v>
      </c>
      <c r="E200" s="24" t="s">
        <v>509</v>
      </c>
      <c r="F200" s="24" t="s">
        <v>69</v>
      </c>
      <c r="G200" s="24" t="s">
        <v>574</v>
      </c>
      <c r="H200" s="24" t="s">
        <v>575</v>
      </c>
      <c r="I200" s="5">
        <v>988600</v>
      </c>
      <c r="L200" s="5">
        <v>988600</v>
      </c>
      <c r="M200" s="5">
        <v>105921.43</v>
      </c>
      <c r="N200" s="5">
        <v>882678.57</v>
      </c>
    </row>
    <row r="201" spans="1:14">
      <c r="A201" s="24" t="s">
        <v>576</v>
      </c>
      <c r="B201" s="24" t="s">
        <v>505</v>
      </c>
      <c r="C201" s="24" t="s">
        <v>68</v>
      </c>
      <c r="D201" s="6">
        <v>60</v>
      </c>
      <c r="E201" s="24" t="s">
        <v>509</v>
      </c>
      <c r="F201" s="24" t="s">
        <v>577</v>
      </c>
      <c r="G201" s="24" t="s">
        <v>578</v>
      </c>
      <c r="H201" s="24" t="s">
        <v>579</v>
      </c>
      <c r="I201" s="5">
        <v>1978634</v>
      </c>
      <c r="L201" s="5">
        <v>1978634</v>
      </c>
      <c r="M201" s="5">
        <v>211996.5</v>
      </c>
      <c r="N201" s="5">
        <v>1766637.5</v>
      </c>
    </row>
    <row r="202" spans="1:14">
      <c r="A202" s="24" t="s">
        <v>580</v>
      </c>
      <c r="B202" s="24" t="s">
        <v>505</v>
      </c>
      <c r="C202" s="24" t="s">
        <v>18</v>
      </c>
      <c r="D202" s="6">
        <v>0</v>
      </c>
      <c r="E202" s="24" t="s">
        <v>505</v>
      </c>
      <c r="F202" s="24" t="s">
        <v>30</v>
      </c>
      <c r="G202" s="24" t="s">
        <v>581</v>
      </c>
      <c r="H202" s="24" t="s">
        <v>582</v>
      </c>
      <c r="I202" s="5">
        <v>151200</v>
      </c>
      <c r="L202" s="5">
        <v>151200</v>
      </c>
      <c r="M202" s="5">
        <v>16200</v>
      </c>
      <c r="N202" s="5">
        <v>135000</v>
      </c>
    </row>
    <row r="203" spans="1:14">
      <c r="A203" s="24" t="s">
        <v>583</v>
      </c>
      <c r="B203" s="24" t="s">
        <v>505</v>
      </c>
      <c r="C203" s="24" t="s">
        <v>18</v>
      </c>
      <c r="D203" s="6">
        <v>0</v>
      </c>
      <c r="E203" s="24" t="s">
        <v>505</v>
      </c>
      <c r="F203" s="24" t="s">
        <v>30</v>
      </c>
      <c r="G203" s="24" t="s">
        <v>581</v>
      </c>
      <c r="H203" s="24" t="s">
        <v>584</v>
      </c>
      <c r="I203" s="5">
        <v>23800</v>
      </c>
      <c r="L203" s="5">
        <v>23800</v>
      </c>
      <c r="M203" s="5">
        <v>2550</v>
      </c>
      <c r="N203" s="5">
        <v>21250</v>
      </c>
    </row>
    <row r="204" spans="1:14">
      <c r="A204" s="24" t="s">
        <v>585</v>
      </c>
      <c r="B204" s="24" t="s">
        <v>505</v>
      </c>
      <c r="C204" s="24" t="s">
        <v>18</v>
      </c>
      <c r="D204" s="6">
        <v>0</v>
      </c>
      <c r="E204" s="24" t="s">
        <v>505</v>
      </c>
      <c r="F204" s="24" t="s">
        <v>30</v>
      </c>
      <c r="G204" s="24" t="s">
        <v>586</v>
      </c>
      <c r="H204" s="24" t="s">
        <v>587</v>
      </c>
      <c r="I204" s="5">
        <v>140000</v>
      </c>
      <c r="L204" s="5">
        <v>140000</v>
      </c>
      <c r="M204" s="5">
        <v>15000</v>
      </c>
      <c r="N204" s="5">
        <v>125000</v>
      </c>
    </row>
    <row r="205" spans="1:14">
      <c r="A205" s="24" t="s">
        <v>588</v>
      </c>
      <c r="B205" s="24" t="s">
        <v>505</v>
      </c>
      <c r="C205" s="24" t="s">
        <v>146</v>
      </c>
      <c r="D205" s="6">
        <v>90</v>
      </c>
      <c r="E205" s="24" t="s">
        <v>532</v>
      </c>
      <c r="F205" s="24" t="s">
        <v>139</v>
      </c>
      <c r="G205" s="24" t="s">
        <v>589</v>
      </c>
      <c r="H205" s="24" t="s">
        <v>590</v>
      </c>
      <c r="I205" s="5">
        <v>533750</v>
      </c>
      <c r="L205" s="5">
        <v>533750</v>
      </c>
      <c r="M205" s="5">
        <v>57187.5</v>
      </c>
      <c r="N205" s="5">
        <v>476562.5</v>
      </c>
    </row>
    <row r="206" spans="1:14">
      <c r="A206" s="24" t="s">
        <v>591</v>
      </c>
      <c r="B206" s="24" t="s">
        <v>505</v>
      </c>
      <c r="C206" s="24" t="s">
        <v>68</v>
      </c>
      <c r="D206" s="6">
        <v>60</v>
      </c>
      <c r="E206" s="24" t="s">
        <v>509</v>
      </c>
      <c r="F206" s="24" t="s">
        <v>69</v>
      </c>
      <c r="G206" s="24" t="s">
        <v>574</v>
      </c>
      <c r="H206" s="24" t="s">
        <v>592</v>
      </c>
      <c r="I206" s="5">
        <v>70510</v>
      </c>
      <c r="L206" s="5">
        <v>70510</v>
      </c>
      <c r="M206" s="5">
        <v>7554.64</v>
      </c>
      <c r="N206" s="5">
        <v>62955.360000000001</v>
      </c>
    </row>
    <row r="207" spans="1:14">
      <c r="A207" s="24" t="s">
        <v>593</v>
      </c>
      <c r="B207" s="24" t="s">
        <v>505</v>
      </c>
      <c r="C207" s="24" t="s">
        <v>68</v>
      </c>
      <c r="D207" s="6">
        <v>60</v>
      </c>
      <c r="E207" s="24" t="s">
        <v>509</v>
      </c>
      <c r="F207" s="24" t="s">
        <v>69</v>
      </c>
      <c r="G207" s="24" t="s">
        <v>574</v>
      </c>
      <c r="H207" s="24" t="s">
        <v>594</v>
      </c>
      <c r="I207" s="5">
        <v>2221065</v>
      </c>
      <c r="L207" s="5">
        <v>2221065</v>
      </c>
      <c r="M207" s="5">
        <v>237971.25</v>
      </c>
      <c r="N207" s="5">
        <v>1983093.75</v>
      </c>
    </row>
    <row r="208" spans="1:14">
      <c r="A208" s="24" t="s">
        <v>595</v>
      </c>
      <c r="B208" s="24" t="s">
        <v>596</v>
      </c>
      <c r="C208" s="24" t="s">
        <v>146</v>
      </c>
      <c r="D208" s="6">
        <v>90</v>
      </c>
      <c r="E208" s="24" t="s">
        <v>597</v>
      </c>
      <c r="F208" s="24" t="s">
        <v>270</v>
      </c>
      <c r="G208" s="24" t="s">
        <v>598</v>
      </c>
      <c r="H208" s="24" t="s">
        <v>599</v>
      </c>
      <c r="I208" s="5">
        <v>53721</v>
      </c>
      <c r="L208" s="5">
        <v>53721</v>
      </c>
      <c r="M208" s="5">
        <v>5755.82</v>
      </c>
      <c r="N208" s="5">
        <v>47965.18</v>
      </c>
    </row>
    <row r="209" spans="1:14">
      <c r="A209" s="24" t="s">
        <v>600</v>
      </c>
      <c r="B209" s="24" t="s">
        <v>596</v>
      </c>
      <c r="C209" s="24" t="s">
        <v>98</v>
      </c>
      <c r="D209" s="6">
        <v>0</v>
      </c>
      <c r="E209" s="24" t="s">
        <v>596</v>
      </c>
      <c r="F209" s="24" t="s">
        <v>46</v>
      </c>
      <c r="G209" s="24" t="s">
        <v>392</v>
      </c>
      <c r="H209" s="24" t="s">
        <v>601</v>
      </c>
      <c r="I209" s="5">
        <v>340975</v>
      </c>
      <c r="L209" s="5">
        <v>340975</v>
      </c>
      <c r="M209" s="5">
        <v>36533.040000000001</v>
      </c>
      <c r="N209" s="5">
        <v>304441.96000000002</v>
      </c>
    </row>
    <row r="210" spans="1:14">
      <c r="A210" s="24" t="s">
        <v>602</v>
      </c>
      <c r="B210" s="24" t="s">
        <v>596</v>
      </c>
      <c r="C210" s="24" t="s">
        <v>167</v>
      </c>
      <c r="D210" s="6">
        <v>90</v>
      </c>
      <c r="E210" s="24" t="s">
        <v>597</v>
      </c>
      <c r="F210" s="24" t="s">
        <v>56</v>
      </c>
      <c r="G210" s="24" t="s">
        <v>190</v>
      </c>
      <c r="H210" s="24" t="s">
        <v>603</v>
      </c>
      <c r="I210" s="5">
        <v>313116</v>
      </c>
      <c r="L210" s="5">
        <v>313116</v>
      </c>
      <c r="M210" s="5">
        <v>33548.14</v>
      </c>
      <c r="N210" s="5">
        <v>279567.86</v>
      </c>
    </row>
    <row r="211" spans="1:14">
      <c r="A211" s="24" t="s">
        <v>604</v>
      </c>
      <c r="B211" s="24" t="s">
        <v>596</v>
      </c>
      <c r="C211" s="24" t="s">
        <v>60</v>
      </c>
      <c r="D211" s="6">
        <v>0</v>
      </c>
      <c r="E211" s="24" t="s">
        <v>596</v>
      </c>
      <c r="F211" s="24" t="s">
        <v>56</v>
      </c>
      <c r="G211" s="24" t="s">
        <v>605</v>
      </c>
      <c r="H211" s="24" t="s">
        <v>606</v>
      </c>
      <c r="I211" s="5">
        <v>117620</v>
      </c>
      <c r="L211" s="5">
        <v>117620</v>
      </c>
      <c r="M211" s="5">
        <v>12602.14</v>
      </c>
      <c r="N211" s="5">
        <v>105017.86</v>
      </c>
    </row>
    <row r="212" spans="1:14">
      <c r="A212" s="24" t="s">
        <v>607</v>
      </c>
      <c r="B212" s="24" t="s">
        <v>596</v>
      </c>
      <c r="C212" s="24" t="s">
        <v>60</v>
      </c>
      <c r="D212" s="6">
        <v>0</v>
      </c>
      <c r="E212" s="24" t="s">
        <v>596</v>
      </c>
      <c r="F212" s="24" t="s">
        <v>329</v>
      </c>
      <c r="G212" s="24" t="s">
        <v>608</v>
      </c>
      <c r="H212" s="24" t="s">
        <v>609</v>
      </c>
      <c r="I212" s="5">
        <v>142360</v>
      </c>
      <c r="J212" s="4">
        <v>-2847.2</v>
      </c>
      <c r="L212" s="5">
        <v>139512.79999999999</v>
      </c>
      <c r="M212" s="5">
        <v>14947.8</v>
      </c>
      <c r="N212" s="5">
        <v>124565</v>
      </c>
    </row>
    <row r="213" spans="1:14">
      <c r="A213" s="24" t="s">
        <v>610</v>
      </c>
      <c r="B213" s="24" t="s">
        <v>596</v>
      </c>
      <c r="C213" s="24" t="s">
        <v>60</v>
      </c>
      <c r="D213" s="6">
        <v>0</v>
      </c>
      <c r="E213" s="24" t="s">
        <v>596</v>
      </c>
      <c r="F213" s="24" t="s">
        <v>329</v>
      </c>
      <c r="G213" s="24" t="s">
        <v>608</v>
      </c>
      <c r="H213" s="24" t="s">
        <v>611</v>
      </c>
      <c r="I213" s="5">
        <v>31906</v>
      </c>
      <c r="J213" s="4">
        <v>-638.12</v>
      </c>
      <c r="L213" s="5">
        <v>31267.88</v>
      </c>
      <c r="M213" s="5">
        <v>3350.13</v>
      </c>
      <c r="N213" s="5">
        <v>27917.75</v>
      </c>
    </row>
    <row r="214" spans="1:14">
      <c r="A214" s="24" t="s">
        <v>612</v>
      </c>
      <c r="B214" s="24" t="s">
        <v>596</v>
      </c>
      <c r="C214" s="24" t="s">
        <v>151</v>
      </c>
      <c r="D214" s="6">
        <v>60</v>
      </c>
      <c r="E214" s="24" t="s">
        <v>613</v>
      </c>
      <c r="F214" s="24" t="s">
        <v>30</v>
      </c>
      <c r="G214" s="24" t="s">
        <v>614</v>
      </c>
      <c r="H214" s="24" t="s">
        <v>615</v>
      </c>
      <c r="I214" s="5">
        <v>75600</v>
      </c>
      <c r="L214" s="5">
        <v>75600</v>
      </c>
      <c r="M214" s="5">
        <v>8100</v>
      </c>
      <c r="N214" s="5">
        <v>67500</v>
      </c>
    </row>
    <row r="215" spans="1:14">
      <c r="A215" s="24" t="s">
        <v>616</v>
      </c>
      <c r="B215" s="24" t="s">
        <v>596</v>
      </c>
      <c r="C215" s="24" t="s">
        <v>162</v>
      </c>
      <c r="D215" s="6">
        <v>90</v>
      </c>
      <c r="E215" s="24" t="s">
        <v>597</v>
      </c>
      <c r="F215" s="24" t="s">
        <v>204</v>
      </c>
      <c r="G215" s="24" t="s">
        <v>399</v>
      </c>
      <c r="H215" s="24" t="s">
        <v>617</v>
      </c>
      <c r="I215" s="5">
        <v>24500</v>
      </c>
      <c r="L215" s="5">
        <v>24500</v>
      </c>
      <c r="M215" s="5">
        <v>2625</v>
      </c>
      <c r="N215" s="5">
        <v>21875</v>
      </c>
    </row>
    <row r="216" spans="1:14">
      <c r="A216" s="24" t="s">
        <v>618</v>
      </c>
      <c r="B216" s="24" t="s">
        <v>596</v>
      </c>
      <c r="C216" s="24" t="s">
        <v>243</v>
      </c>
      <c r="D216" s="6">
        <v>30</v>
      </c>
      <c r="E216" s="24" t="s">
        <v>619</v>
      </c>
      <c r="F216" s="24" t="s">
        <v>139</v>
      </c>
      <c r="G216" s="24" t="s">
        <v>620</v>
      </c>
      <c r="H216" s="24" t="s">
        <v>621</v>
      </c>
      <c r="I216" s="5">
        <v>91230</v>
      </c>
      <c r="L216" s="5">
        <v>91230</v>
      </c>
      <c r="M216" s="5">
        <v>9774.64</v>
      </c>
      <c r="N216" s="5">
        <v>81455.360000000001</v>
      </c>
    </row>
    <row r="217" spans="1:14">
      <c r="A217" s="24" t="s">
        <v>622</v>
      </c>
      <c r="B217" s="24" t="s">
        <v>596</v>
      </c>
      <c r="C217" s="24" t="s">
        <v>29</v>
      </c>
      <c r="D217" s="6">
        <v>0</v>
      </c>
      <c r="E217" s="24" t="s">
        <v>596</v>
      </c>
      <c r="F217" s="24" t="s">
        <v>50</v>
      </c>
      <c r="G217" s="24" t="s">
        <v>51</v>
      </c>
      <c r="H217" s="24" t="s">
        <v>623</v>
      </c>
      <c r="I217" s="5">
        <v>11657.2</v>
      </c>
      <c r="L217" s="5">
        <v>11657.2</v>
      </c>
      <c r="M217" s="5">
        <v>1248.99</v>
      </c>
      <c r="N217" s="5">
        <v>10408.209999999999</v>
      </c>
    </row>
    <row r="218" spans="1:14">
      <c r="A218" s="24" t="s">
        <v>624</v>
      </c>
      <c r="B218" s="24" t="s">
        <v>596</v>
      </c>
      <c r="C218" s="24" t="s">
        <v>243</v>
      </c>
      <c r="D218" s="6">
        <v>30</v>
      </c>
      <c r="E218" s="24" t="s">
        <v>619</v>
      </c>
      <c r="F218" s="24" t="s">
        <v>625</v>
      </c>
      <c r="G218" s="24" t="s">
        <v>626</v>
      </c>
      <c r="H218" s="24" t="s">
        <v>627</v>
      </c>
      <c r="I218" s="5">
        <v>4900</v>
      </c>
      <c r="L218" s="5">
        <v>4900</v>
      </c>
      <c r="M218" s="7">
        <v>525</v>
      </c>
      <c r="N218" s="5">
        <v>4375</v>
      </c>
    </row>
    <row r="219" spans="1:14">
      <c r="A219" s="24" t="s">
        <v>628</v>
      </c>
      <c r="B219" s="24" t="s">
        <v>596</v>
      </c>
      <c r="C219" s="24" t="s">
        <v>167</v>
      </c>
      <c r="D219" s="6">
        <v>90</v>
      </c>
      <c r="E219" s="24" t="s">
        <v>597</v>
      </c>
      <c r="F219" s="24" t="s">
        <v>56</v>
      </c>
      <c r="G219" s="24" t="s">
        <v>168</v>
      </c>
      <c r="H219" s="24" t="s">
        <v>629</v>
      </c>
      <c r="I219" s="5">
        <v>52800</v>
      </c>
      <c r="L219" s="5">
        <v>52800</v>
      </c>
      <c r="M219" s="5">
        <v>5657.14</v>
      </c>
      <c r="N219" s="5">
        <v>47142.86</v>
      </c>
    </row>
    <row r="220" spans="1:14">
      <c r="A220" s="24" t="s">
        <v>630</v>
      </c>
      <c r="B220" s="24" t="s">
        <v>596</v>
      </c>
      <c r="C220" s="24" t="s">
        <v>68</v>
      </c>
      <c r="D220" s="6">
        <v>60</v>
      </c>
      <c r="E220" s="24" t="s">
        <v>613</v>
      </c>
      <c r="F220" s="24" t="s">
        <v>69</v>
      </c>
      <c r="G220" s="24" t="s">
        <v>70</v>
      </c>
      <c r="H220" s="24" t="s">
        <v>631</v>
      </c>
      <c r="I220" s="5">
        <v>2419200</v>
      </c>
      <c r="L220" s="5">
        <v>2419200</v>
      </c>
      <c r="M220" s="5">
        <v>259200</v>
      </c>
      <c r="N220" s="5">
        <v>2160000</v>
      </c>
    </row>
    <row r="221" spans="1:14">
      <c r="A221" s="24" t="s">
        <v>632</v>
      </c>
      <c r="B221" s="24" t="s">
        <v>596</v>
      </c>
      <c r="C221" s="24" t="s">
        <v>162</v>
      </c>
      <c r="D221" s="6">
        <v>90</v>
      </c>
      <c r="E221" s="24" t="s">
        <v>597</v>
      </c>
      <c r="F221" s="24" t="s">
        <v>36</v>
      </c>
      <c r="G221" s="24" t="s">
        <v>193</v>
      </c>
      <c r="H221" s="24" t="s">
        <v>633</v>
      </c>
      <c r="I221" s="5">
        <v>44000</v>
      </c>
      <c r="L221" s="5">
        <v>44000</v>
      </c>
      <c r="M221" s="5">
        <v>4714.29</v>
      </c>
      <c r="N221" s="5">
        <v>39285.71</v>
      </c>
    </row>
    <row r="222" spans="1:14">
      <c r="A222" s="24" t="s">
        <v>634</v>
      </c>
      <c r="B222" s="24" t="s">
        <v>596</v>
      </c>
      <c r="C222" s="24" t="s">
        <v>146</v>
      </c>
      <c r="D222" s="6">
        <v>90</v>
      </c>
      <c r="E222" s="24" t="s">
        <v>597</v>
      </c>
      <c r="F222" s="24" t="s">
        <v>19</v>
      </c>
      <c r="G222" s="24" t="s">
        <v>543</v>
      </c>
      <c r="H222" s="24" t="s">
        <v>635</v>
      </c>
      <c r="I222" s="5">
        <v>199515</v>
      </c>
      <c r="L222" s="5">
        <v>199515</v>
      </c>
      <c r="M222" s="5">
        <v>21376.61</v>
      </c>
      <c r="N222" s="5">
        <v>178138.39</v>
      </c>
    </row>
    <row r="223" spans="1:14">
      <c r="A223" s="24" t="s">
        <v>636</v>
      </c>
      <c r="B223" s="24" t="s">
        <v>637</v>
      </c>
      <c r="C223" s="24" t="s">
        <v>73</v>
      </c>
      <c r="D223" s="6">
        <v>30</v>
      </c>
      <c r="E223" s="24" t="s">
        <v>638</v>
      </c>
      <c r="F223" s="24" t="s">
        <v>56</v>
      </c>
      <c r="G223" s="24" t="s">
        <v>126</v>
      </c>
      <c r="H223" s="24" t="s">
        <v>639</v>
      </c>
      <c r="I223" s="5">
        <v>19600</v>
      </c>
      <c r="L223" s="5">
        <v>19600</v>
      </c>
      <c r="M223" s="5">
        <v>2100</v>
      </c>
      <c r="N223" s="5">
        <v>17500</v>
      </c>
    </row>
    <row r="224" spans="1:14">
      <c r="A224" s="24" t="s">
        <v>640</v>
      </c>
      <c r="B224" s="24" t="s">
        <v>637</v>
      </c>
      <c r="C224" s="24" t="s">
        <v>117</v>
      </c>
      <c r="D224" s="6">
        <v>120</v>
      </c>
      <c r="E224" s="24" t="s">
        <v>641</v>
      </c>
      <c r="F224" s="24" t="s">
        <v>56</v>
      </c>
      <c r="G224" s="24" t="s">
        <v>642</v>
      </c>
      <c r="H224" s="24" t="s">
        <v>643</v>
      </c>
      <c r="I224" s="5">
        <v>490500</v>
      </c>
      <c r="L224" s="5">
        <v>490500</v>
      </c>
      <c r="M224" s="5">
        <v>52553.57</v>
      </c>
      <c r="N224" s="5">
        <v>437946.43</v>
      </c>
    </row>
    <row r="225" spans="1:14">
      <c r="A225" s="24" t="s">
        <v>644</v>
      </c>
      <c r="B225" s="24" t="s">
        <v>637</v>
      </c>
      <c r="C225" s="24" t="s">
        <v>29</v>
      </c>
      <c r="D225" s="6">
        <v>0</v>
      </c>
      <c r="E225" s="24" t="s">
        <v>637</v>
      </c>
      <c r="F225" s="24" t="s">
        <v>30</v>
      </c>
      <c r="G225" s="24" t="s">
        <v>31</v>
      </c>
      <c r="H225" s="24" t="s">
        <v>645</v>
      </c>
      <c r="I225" s="5">
        <v>62535</v>
      </c>
      <c r="L225" s="5">
        <v>62535</v>
      </c>
      <c r="M225" s="5">
        <v>6700.18</v>
      </c>
      <c r="N225" s="5">
        <v>55834.82</v>
      </c>
    </row>
    <row r="226" spans="1:14">
      <c r="A226" s="24" t="s">
        <v>646</v>
      </c>
      <c r="B226" s="24" t="s">
        <v>637</v>
      </c>
      <c r="C226" s="24" t="s">
        <v>29</v>
      </c>
      <c r="D226" s="6">
        <v>0</v>
      </c>
      <c r="E226" s="24" t="s">
        <v>637</v>
      </c>
      <c r="F226" s="24" t="s">
        <v>30</v>
      </c>
      <c r="G226" s="24" t="s">
        <v>31</v>
      </c>
      <c r="H226" s="24" t="s">
        <v>647</v>
      </c>
      <c r="I226" s="5">
        <v>31800</v>
      </c>
      <c r="L226" s="5">
        <v>31800</v>
      </c>
      <c r="M226" s="5">
        <v>3407.14</v>
      </c>
      <c r="N226" s="5">
        <v>28392.86</v>
      </c>
    </row>
    <row r="227" spans="1:14">
      <c r="A227" s="24" t="s">
        <v>648</v>
      </c>
      <c r="B227" s="24" t="s">
        <v>637</v>
      </c>
      <c r="C227" s="24" t="s">
        <v>29</v>
      </c>
      <c r="D227" s="6">
        <v>0</v>
      </c>
      <c r="E227" s="24" t="s">
        <v>637</v>
      </c>
      <c r="F227" s="24" t="s">
        <v>30</v>
      </c>
      <c r="G227" s="24" t="s">
        <v>31</v>
      </c>
      <c r="H227" s="24" t="s">
        <v>649</v>
      </c>
      <c r="I227" s="5">
        <v>6400</v>
      </c>
      <c r="L227" s="5">
        <v>6400</v>
      </c>
      <c r="M227" s="7">
        <v>685.71</v>
      </c>
      <c r="N227" s="5">
        <v>5714.29</v>
      </c>
    </row>
    <row r="228" spans="1:14">
      <c r="A228" s="24" t="s">
        <v>650</v>
      </c>
      <c r="B228" s="24" t="s">
        <v>637</v>
      </c>
      <c r="C228" s="24" t="s">
        <v>29</v>
      </c>
      <c r="D228" s="6">
        <v>0</v>
      </c>
      <c r="E228" s="24" t="s">
        <v>637</v>
      </c>
      <c r="F228" s="24" t="s">
        <v>30</v>
      </c>
      <c r="G228" s="24" t="s">
        <v>31</v>
      </c>
      <c r="H228" s="24" t="s">
        <v>651</v>
      </c>
      <c r="I228" s="5">
        <v>142800</v>
      </c>
      <c r="L228" s="5">
        <v>142800</v>
      </c>
      <c r="M228" s="5">
        <v>15300</v>
      </c>
      <c r="N228" s="5">
        <v>127500</v>
      </c>
    </row>
    <row r="229" spans="1:14">
      <c r="A229" s="24" t="s">
        <v>652</v>
      </c>
      <c r="B229" s="24" t="s">
        <v>637</v>
      </c>
      <c r="C229" s="24" t="s">
        <v>73</v>
      </c>
      <c r="D229" s="6">
        <v>30</v>
      </c>
      <c r="E229" s="24" t="s">
        <v>638</v>
      </c>
      <c r="F229" s="24" t="s">
        <v>56</v>
      </c>
      <c r="G229" s="24" t="s">
        <v>244</v>
      </c>
      <c r="H229" s="24" t="s">
        <v>653</v>
      </c>
      <c r="I229" s="5">
        <v>190560</v>
      </c>
      <c r="L229" s="5">
        <v>190560</v>
      </c>
      <c r="M229" s="5">
        <v>20417.14</v>
      </c>
      <c r="N229" s="5">
        <v>170142.86</v>
      </c>
    </row>
    <row r="230" spans="1:14">
      <c r="A230" s="24" t="s">
        <v>654</v>
      </c>
      <c r="B230" s="24" t="s">
        <v>637</v>
      </c>
      <c r="C230" s="24" t="s">
        <v>167</v>
      </c>
      <c r="D230" s="6">
        <v>90</v>
      </c>
      <c r="E230" s="24" t="s">
        <v>655</v>
      </c>
      <c r="F230" s="24" t="s">
        <v>56</v>
      </c>
      <c r="G230" s="24" t="s">
        <v>190</v>
      </c>
      <c r="H230" s="24" t="s">
        <v>656</v>
      </c>
      <c r="I230" s="5">
        <v>205540</v>
      </c>
      <c r="L230" s="5">
        <v>205540</v>
      </c>
      <c r="M230" s="5">
        <v>22022.14</v>
      </c>
      <c r="N230" s="5">
        <v>183517.86</v>
      </c>
    </row>
    <row r="231" spans="1:14">
      <c r="A231" s="24" t="s">
        <v>657</v>
      </c>
      <c r="B231" s="24" t="s">
        <v>637</v>
      </c>
      <c r="C231" s="24" t="s">
        <v>658</v>
      </c>
      <c r="D231" s="6">
        <v>60</v>
      </c>
      <c r="E231" s="24" t="s">
        <v>659</v>
      </c>
      <c r="F231" s="24" t="s">
        <v>46</v>
      </c>
      <c r="G231" s="24" t="s">
        <v>660</v>
      </c>
      <c r="H231" s="24" t="s">
        <v>661</v>
      </c>
      <c r="I231" s="5">
        <v>42000</v>
      </c>
      <c r="L231" s="5">
        <v>42000</v>
      </c>
      <c r="M231" s="5">
        <v>4500</v>
      </c>
      <c r="N231" s="5">
        <v>37500</v>
      </c>
    </row>
    <row r="232" spans="1:14">
      <c r="A232" s="24" t="s">
        <v>662</v>
      </c>
      <c r="B232" s="24" t="s">
        <v>637</v>
      </c>
      <c r="C232" s="24" t="s">
        <v>146</v>
      </c>
      <c r="D232" s="6">
        <v>90</v>
      </c>
      <c r="E232" s="24" t="s">
        <v>655</v>
      </c>
      <c r="F232" s="24" t="s">
        <v>69</v>
      </c>
      <c r="G232" s="24" t="s">
        <v>663</v>
      </c>
      <c r="H232" s="24" t="s">
        <v>664</v>
      </c>
      <c r="I232" s="5">
        <v>643242.6</v>
      </c>
      <c r="L232" s="5">
        <v>643242.6</v>
      </c>
      <c r="M232" s="5">
        <v>68918.850000000006</v>
      </c>
      <c r="N232" s="5">
        <v>574323.75</v>
      </c>
    </row>
    <row r="233" spans="1:14">
      <c r="A233" s="24" t="s">
        <v>665</v>
      </c>
      <c r="B233" s="24" t="s">
        <v>637</v>
      </c>
      <c r="C233" s="24" t="s">
        <v>146</v>
      </c>
      <c r="D233" s="6">
        <v>90</v>
      </c>
      <c r="E233" s="24" t="s">
        <v>655</v>
      </c>
      <c r="F233" s="24" t="s">
        <v>56</v>
      </c>
      <c r="G233" s="24" t="s">
        <v>666</v>
      </c>
      <c r="H233" s="24" t="s">
        <v>667</v>
      </c>
      <c r="I233" s="5">
        <v>710170</v>
      </c>
      <c r="L233" s="5">
        <v>710170</v>
      </c>
      <c r="M233" s="5">
        <v>76089.64</v>
      </c>
      <c r="N233" s="5">
        <v>634080.36</v>
      </c>
    </row>
    <row r="234" spans="1:14">
      <c r="A234" s="24" t="s">
        <v>668</v>
      </c>
      <c r="B234" s="24" t="s">
        <v>637</v>
      </c>
      <c r="C234" s="24" t="s">
        <v>151</v>
      </c>
      <c r="D234" s="6">
        <v>60</v>
      </c>
      <c r="E234" s="24" t="s">
        <v>659</v>
      </c>
      <c r="F234" s="24" t="s">
        <v>56</v>
      </c>
      <c r="G234" s="24" t="s">
        <v>669</v>
      </c>
      <c r="H234" s="24" t="s">
        <v>670</v>
      </c>
      <c r="I234" s="5">
        <v>23500</v>
      </c>
      <c r="L234" s="5">
        <v>23500</v>
      </c>
      <c r="M234" s="5">
        <v>2517.86</v>
      </c>
      <c r="N234" s="5">
        <v>20982.14</v>
      </c>
    </row>
    <row r="235" spans="1:14">
      <c r="A235" s="24" t="s">
        <v>671</v>
      </c>
      <c r="B235" s="24" t="s">
        <v>637</v>
      </c>
      <c r="C235" s="24" t="s">
        <v>162</v>
      </c>
      <c r="D235" s="6">
        <v>90</v>
      </c>
      <c r="E235" s="24" t="s">
        <v>655</v>
      </c>
      <c r="F235" s="24" t="s">
        <v>19</v>
      </c>
      <c r="G235" s="24" t="s">
        <v>672</v>
      </c>
      <c r="H235" s="24" t="s">
        <v>673</v>
      </c>
      <c r="I235" s="5">
        <v>11760</v>
      </c>
      <c r="L235" s="5">
        <v>11760</v>
      </c>
      <c r="M235" s="5">
        <v>1260</v>
      </c>
      <c r="N235" s="5">
        <v>10500</v>
      </c>
    </row>
    <row r="236" spans="1:14">
      <c r="A236" s="24" t="s">
        <v>674</v>
      </c>
      <c r="B236" s="24" t="s">
        <v>637</v>
      </c>
      <c r="C236" s="24" t="s">
        <v>162</v>
      </c>
      <c r="D236" s="6">
        <v>90</v>
      </c>
      <c r="E236" s="24" t="s">
        <v>655</v>
      </c>
      <c r="F236" s="24" t="s">
        <v>19</v>
      </c>
      <c r="G236" s="24" t="s">
        <v>672</v>
      </c>
      <c r="H236" s="24" t="s">
        <v>673</v>
      </c>
      <c r="I236" s="5">
        <v>11760</v>
      </c>
      <c r="L236" s="5">
        <v>11760</v>
      </c>
      <c r="M236" s="5">
        <v>1260</v>
      </c>
      <c r="N236" s="5">
        <v>10500</v>
      </c>
    </row>
    <row r="237" spans="1:14">
      <c r="A237" s="24" t="s">
        <v>675</v>
      </c>
      <c r="B237" s="24" t="s">
        <v>637</v>
      </c>
      <c r="C237" s="24" t="s">
        <v>162</v>
      </c>
      <c r="D237" s="6">
        <v>90</v>
      </c>
      <c r="E237" s="24" t="s">
        <v>655</v>
      </c>
      <c r="F237" s="24" t="s">
        <v>423</v>
      </c>
      <c r="G237" s="24" t="s">
        <v>424</v>
      </c>
      <c r="H237" s="24" t="s">
        <v>676</v>
      </c>
      <c r="I237" s="5">
        <v>88200</v>
      </c>
      <c r="L237" s="5">
        <v>88200</v>
      </c>
      <c r="M237" s="5">
        <v>9450</v>
      </c>
      <c r="N237" s="5">
        <v>78750</v>
      </c>
    </row>
    <row r="238" spans="1:14">
      <c r="A238" s="24" t="s">
        <v>677</v>
      </c>
      <c r="B238" s="24" t="s">
        <v>637</v>
      </c>
      <c r="C238" s="24" t="s">
        <v>151</v>
      </c>
      <c r="D238" s="6">
        <v>60</v>
      </c>
      <c r="E238" s="24" t="s">
        <v>659</v>
      </c>
      <c r="F238" s="24" t="s">
        <v>19</v>
      </c>
      <c r="G238" s="24" t="s">
        <v>678</v>
      </c>
      <c r="H238" s="24" t="s">
        <v>679</v>
      </c>
      <c r="I238" s="5">
        <v>162500</v>
      </c>
      <c r="L238" s="5">
        <v>162500</v>
      </c>
      <c r="M238" s="5">
        <v>17410.71</v>
      </c>
      <c r="N238" s="5">
        <v>145089.29</v>
      </c>
    </row>
    <row r="239" spans="1:14">
      <c r="A239" s="24" t="s">
        <v>680</v>
      </c>
      <c r="B239" s="24" t="s">
        <v>637</v>
      </c>
      <c r="C239" s="24" t="s">
        <v>681</v>
      </c>
      <c r="D239" s="6">
        <v>0</v>
      </c>
      <c r="E239" s="24" t="s">
        <v>637</v>
      </c>
      <c r="F239" s="24" t="s">
        <v>46</v>
      </c>
      <c r="G239" s="24" t="s">
        <v>682</v>
      </c>
      <c r="H239" s="24" t="s">
        <v>683</v>
      </c>
      <c r="I239" s="5">
        <v>7455</v>
      </c>
      <c r="L239" s="5">
        <v>7455</v>
      </c>
      <c r="M239" s="7">
        <v>798.75</v>
      </c>
      <c r="N239" s="5">
        <v>6656.25</v>
      </c>
    </row>
    <row r="240" spans="1:14">
      <c r="A240" s="24" t="s">
        <v>684</v>
      </c>
      <c r="B240" s="24" t="s">
        <v>637</v>
      </c>
      <c r="C240" s="24" t="s">
        <v>681</v>
      </c>
      <c r="D240" s="6">
        <v>0</v>
      </c>
      <c r="E240" s="24" t="s">
        <v>637</v>
      </c>
      <c r="F240" s="24" t="s">
        <v>46</v>
      </c>
      <c r="G240" s="24" t="s">
        <v>682</v>
      </c>
      <c r="H240" s="24" t="s">
        <v>685</v>
      </c>
      <c r="I240" s="5">
        <v>8452</v>
      </c>
      <c r="L240" s="5">
        <v>8452</v>
      </c>
      <c r="M240" s="7">
        <v>905.57</v>
      </c>
      <c r="N240" s="5">
        <v>7546.43</v>
      </c>
    </row>
    <row r="241" spans="1:14">
      <c r="A241" s="24" t="s">
        <v>686</v>
      </c>
      <c r="B241" s="24" t="s">
        <v>637</v>
      </c>
      <c r="C241" s="24" t="s">
        <v>73</v>
      </c>
      <c r="D241" s="6">
        <v>30</v>
      </c>
      <c r="E241" s="24" t="s">
        <v>638</v>
      </c>
      <c r="F241" s="24" t="s">
        <v>19</v>
      </c>
      <c r="G241" s="24" t="s">
        <v>267</v>
      </c>
      <c r="H241" s="24" t="s">
        <v>687</v>
      </c>
      <c r="I241" s="5">
        <v>223360</v>
      </c>
      <c r="K241" s="5">
        <v>14000</v>
      </c>
      <c r="L241" s="5">
        <v>237360</v>
      </c>
      <c r="M241" s="5">
        <v>25431.43</v>
      </c>
      <c r="N241" s="5">
        <v>211928.57</v>
      </c>
    </row>
    <row r="242" spans="1:14">
      <c r="A242" s="24" t="s">
        <v>688</v>
      </c>
      <c r="B242" s="24" t="s">
        <v>689</v>
      </c>
      <c r="C242" s="24" t="s">
        <v>60</v>
      </c>
      <c r="D242" s="6">
        <v>0</v>
      </c>
      <c r="E242" s="24" t="s">
        <v>689</v>
      </c>
      <c r="F242" s="24" t="s">
        <v>56</v>
      </c>
      <c r="G242" s="24" t="s">
        <v>293</v>
      </c>
      <c r="H242" s="24" t="s">
        <v>690</v>
      </c>
      <c r="I242" s="5">
        <v>34500</v>
      </c>
      <c r="L242" s="5">
        <v>34500</v>
      </c>
      <c r="M242" s="5">
        <v>3696.43</v>
      </c>
      <c r="N242" s="5">
        <v>30803.57</v>
      </c>
    </row>
    <row r="243" spans="1:14">
      <c r="A243" s="24" t="s">
        <v>691</v>
      </c>
      <c r="B243" s="24" t="s">
        <v>689</v>
      </c>
      <c r="C243" s="24" t="s">
        <v>151</v>
      </c>
      <c r="D243" s="6">
        <v>60</v>
      </c>
      <c r="E243" s="24" t="s">
        <v>692</v>
      </c>
      <c r="F243" s="24" t="s">
        <v>139</v>
      </c>
      <c r="G243" s="24" t="s">
        <v>264</v>
      </c>
      <c r="H243" s="24" t="s">
        <v>693</v>
      </c>
      <c r="I243" s="5">
        <v>29016</v>
      </c>
      <c r="L243" s="5">
        <v>29016</v>
      </c>
      <c r="M243" s="5">
        <v>3108.86</v>
      </c>
      <c r="N243" s="5">
        <v>25907.14</v>
      </c>
    </row>
    <row r="244" spans="1:14">
      <c r="A244" s="24" t="s">
        <v>694</v>
      </c>
      <c r="B244" s="24" t="s">
        <v>689</v>
      </c>
      <c r="C244" s="24" t="s">
        <v>151</v>
      </c>
      <c r="D244" s="6">
        <v>60</v>
      </c>
      <c r="E244" s="24" t="s">
        <v>692</v>
      </c>
      <c r="F244" s="24" t="s">
        <v>139</v>
      </c>
      <c r="G244" s="24" t="s">
        <v>264</v>
      </c>
      <c r="H244" s="24" t="s">
        <v>695</v>
      </c>
      <c r="I244" s="5">
        <v>2768</v>
      </c>
      <c r="L244" s="5">
        <v>2768</v>
      </c>
      <c r="M244" s="7">
        <v>296.57</v>
      </c>
      <c r="N244" s="5">
        <v>2471.4299999999998</v>
      </c>
    </row>
    <row r="245" spans="1:14">
      <c r="A245" s="24" t="s">
        <v>696</v>
      </c>
      <c r="B245" s="24" t="s">
        <v>689</v>
      </c>
      <c r="C245" s="24" t="s">
        <v>34</v>
      </c>
      <c r="D245" s="6">
        <v>60</v>
      </c>
      <c r="E245" s="24" t="s">
        <v>692</v>
      </c>
      <c r="F245" s="24" t="s">
        <v>69</v>
      </c>
      <c r="G245" s="24" t="s">
        <v>697</v>
      </c>
      <c r="H245" s="24" t="s">
        <v>698</v>
      </c>
      <c r="I245" s="5">
        <v>167725</v>
      </c>
      <c r="L245" s="5">
        <v>167725</v>
      </c>
      <c r="M245" s="5">
        <v>17970.54</v>
      </c>
      <c r="N245" s="5">
        <v>149754.46</v>
      </c>
    </row>
    <row r="246" spans="1:14">
      <c r="A246" s="24" t="s">
        <v>699</v>
      </c>
      <c r="B246" s="24" t="s">
        <v>689</v>
      </c>
      <c r="C246" s="24" t="s">
        <v>60</v>
      </c>
      <c r="D246" s="6">
        <v>0</v>
      </c>
      <c r="E246" s="24" t="s">
        <v>689</v>
      </c>
      <c r="F246" s="24" t="s">
        <v>56</v>
      </c>
      <c r="G246" s="24" t="s">
        <v>196</v>
      </c>
      <c r="H246" s="24" t="s">
        <v>700</v>
      </c>
      <c r="I246" s="5">
        <v>321457</v>
      </c>
      <c r="L246" s="5">
        <v>321457</v>
      </c>
      <c r="M246" s="5">
        <v>34441.82</v>
      </c>
      <c r="N246" s="5">
        <v>287015.18</v>
      </c>
    </row>
    <row r="247" spans="1:14">
      <c r="A247" s="24" t="s">
        <v>701</v>
      </c>
      <c r="B247" s="24" t="s">
        <v>689</v>
      </c>
      <c r="C247" s="24" t="s">
        <v>60</v>
      </c>
      <c r="D247" s="6">
        <v>0</v>
      </c>
      <c r="E247" s="24" t="s">
        <v>689</v>
      </c>
      <c r="F247" s="24" t="s">
        <v>56</v>
      </c>
      <c r="G247" s="24" t="s">
        <v>196</v>
      </c>
      <c r="H247" s="24" t="s">
        <v>702</v>
      </c>
      <c r="I247" s="5">
        <v>168063</v>
      </c>
      <c r="L247" s="5">
        <v>168063</v>
      </c>
      <c r="M247" s="5">
        <v>18006.75</v>
      </c>
      <c r="N247" s="5">
        <v>150056.25</v>
      </c>
    </row>
    <row r="248" spans="1:14">
      <c r="A248" s="24" t="s">
        <v>703</v>
      </c>
      <c r="B248" s="24" t="s">
        <v>689</v>
      </c>
      <c r="C248" s="24" t="s">
        <v>73</v>
      </c>
      <c r="D248" s="6">
        <v>30</v>
      </c>
      <c r="E248" s="24" t="s">
        <v>704</v>
      </c>
      <c r="F248" s="24" t="s">
        <v>270</v>
      </c>
      <c r="G248" s="24" t="s">
        <v>705</v>
      </c>
      <c r="H248" s="24" t="s">
        <v>706</v>
      </c>
      <c r="I248" s="5">
        <v>88200</v>
      </c>
      <c r="L248" s="5">
        <v>88200</v>
      </c>
      <c r="M248" s="5">
        <v>9450</v>
      </c>
      <c r="N248" s="5">
        <v>78750</v>
      </c>
    </row>
    <row r="249" spans="1:14">
      <c r="A249" s="24" t="s">
        <v>707</v>
      </c>
      <c r="B249" s="24" t="s">
        <v>689</v>
      </c>
      <c r="C249" s="24" t="s">
        <v>104</v>
      </c>
      <c r="D249" s="6">
        <v>0</v>
      </c>
      <c r="E249" s="24" t="s">
        <v>689</v>
      </c>
      <c r="F249" s="24" t="s">
        <v>69</v>
      </c>
      <c r="G249" s="24" t="s">
        <v>277</v>
      </c>
      <c r="H249" s="24" t="s">
        <v>708</v>
      </c>
      <c r="I249" s="5">
        <v>191660</v>
      </c>
      <c r="L249" s="5">
        <v>191660</v>
      </c>
      <c r="M249" s="5">
        <v>20535</v>
      </c>
      <c r="N249" s="5">
        <v>171125</v>
      </c>
    </row>
    <row r="250" spans="1:14">
      <c r="A250" s="24" t="s">
        <v>709</v>
      </c>
      <c r="B250" s="24" t="s">
        <v>689</v>
      </c>
      <c r="C250" s="24" t="s">
        <v>34</v>
      </c>
      <c r="D250" s="6">
        <v>60</v>
      </c>
      <c r="E250" s="24" t="s">
        <v>692</v>
      </c>
      <c r="F250" s="24" t="s">
        <v>30</v>
      </c>
      <c r="G250" s="24" t="s">
        <v>201</v>
      </c>
      <c r="H250" s="24" t="s">
        <v>710</v>
      </c>
      <c r="I250" s="5">
        <v>9540</v>
      </c>
      <c r="L250" s="5">
        <v>9540</v>
      </c>
      <c r="M250" s="5">
        <v>1022.14</v>
      </c>
      <c r="N250" s="5">
        <v>8517.86</v>
      </c>
    </row>
    <row r="251" spans="1:14">
      <c r="A251" s="24" t="s">
        <v>711</v>
      </c>
      <c r="B251" s="24" t="s">
        <v>689</v>
      </c>
      <c r="C251" s="24" t="s">
        <v>104</v>
      </c>
      <c r="D251" s="6">
        <v>0</v>
      </c>
      <c r="E251" s="24" t="s">
        <v>689</v>
      </c>
      <c r="F251" s="24" t="s">
        <v>30</v>
      </c>
      <c r="G251" s="24" t="s">
        <v>712</v>
      </c>
      <c r="H251" s="24" t="s">
        <v>713</v>
      </c>
      <c r="I251" s="5">
        <v>397768</v>
      </c>
      <c r="L251" s="5">
        <v>397768</v>
      </c>
      <c r="M251" s="5">
        <v>42618</v>
      </c>
      <c r="N251" s="5">
        <v>355150</v>
      </c>
    </row>
    <row r="252" spans="1:14">
      <c r="A252" s="24" t="s">
        <v>714</v>
      </c>
      <c r="B252" s="24" t="s">
        <v>689</v>
      </c>
      <c r="C252" s="24" t="s">
        <v>104</v>
      </c>
      <c r="D252" s="6">
        <v>0</v>
      </c>
      <c r="E252" s="24" t="s">
        <v>689</v>
      </c>
      <c r="F252" s="24" t="s">
        <v>30</v>
      </c>
      <c r="G252" s="24" t="s">
        <v>712</v>
      </c>
      <c r="H252" s="24" t="s">
        <v>715</v>
      </c>
      <c r="I252" s="5">
        <v>38400</v>
      </c>
      <c r="L252" s="5">
        <v>38400</v>
      </c>
      <c r="M252" s="5">
        <v>4114.29</v>
      </c>
      <c r="N252" s="5">
        <v>34285.71</v>
      </c>
    </row>
    <row r="253" spans="1:14">
      <c r="A253" s="24" t="s">
        <v>716</v>
      </c>
      <c r="B253" s="24" t="s">
        <v>689</v>
      </c>
      <c r="C253" s="24" t="s">
        <v>104</v>
      </c>
      <c r="D253" s="6">
        <v>0</v>
      </c>
      <c r="E253" s="24" t="s">
        <v>689</v>
      </c>
      <c r="F253" s="24" t="s">
        <v>30</v>
      </c>
      <c r="G253" s="24" t="s">
        <v>712</v>
      </c>
      <c r="H253" s="24" t="s">
        <v>717</v>
      </c>
      <c r="I253" s="5">
        <v>47488</v>
      </c>
      <c r="L253" s="5">
        <v>47488</v>
      </c>
      <c r="M253" s="5">
        <v>5088</v>
      </c>
      <c r="N253" s="5">
        <v>42400</v>
      </c>
    </row>
    <row r="254" spans="1:14">
      <c r="A254" s="24" t="s">
        <v>718</v>
      </c>
      <c r="B254" s="24" t="s">
        <v>689</v>
      </c>
      <c r="C254" s="24" t="s">
        <v>60</v>
      </c>
      <c r="D254" s="6">
        <v>0</v>
      </c>
      <c r="E254" s="24" t="s">
        <v>689</v>
      </c>
      <c r="F254" s="24" t="s">
        <v>56</v>
      </c>
      <c r="G254" s="24" t="s">
        <v>196</v>
      </c>
      <c r="H254" s="24" t="s">
        <v>719</v>
      </c>
      <c r="I254" s="5">
        <v>86505</v>
      </c>
      <c r="L254" s="5">
        <v>86505</v>
      </c>
      <c r="M254" s="5">
        <v>9268.39</v>
      </c>
      <c r="N254" s="5">
        <v>77236.61</v>
      </c>
    </row>
    <row r="255" spans="1:14">
      <c r="A255" s="24" t="s">
        <v>720</v>
      </c>
      <c r="B255" s="24" t="s">
        <v>689</v>
      </c>
      <c r="C255" s="24" t="s">
        <v>23</v>
      </c>
      <c r="D255" s="6">
        <v>30</v>
      </c>
      <c r="E255" s="24" t="s">
        <v>704</v>
      </c>
      <c r="F255" s="24" t="s">
        <v>180</v>
      </c>
      <c r="G255" s="24" t="s">
        <v>224</v>
      </c>
      <c r="H255" s="24" t="s">
        <v>721</v>
      </c>
      <c r="I255" s="5">
        <v>22900</v>
      </c>
      <c r="L255" s="5">
        <v>22900</v>
      </c>
      <c r="M255" s="5">
        <v>2453.5700000000002</v>
      </c>
      <c r="N255" s="5">
        <v>20446.43</v>
      </c>
    </row>
    <row r="256" spans="1:14">
      <c r="A256" s="24" t="s">
        <v>722</v>
      </c>
      <c r="B256" s="24" t="s">
        <v>689</v>
      </c>
      <c r="C256" s="24" t="s">
        <v>23</v>
      </c>
      <c r="D256" s="6">
        <v>30</v>
      </c>
      <c r="E256" s="24" t="s">
        <v>704</v>
      </c>
      <c r="F256" s="24" t="s">
        <v>180</v>
      </c>
      <c r="G256" s="24" t="s">
        <v>224</v>
      </c>
      <c r="H256" s="24" t="s">
        <v>723</v>
      </c>
      <c r="I256" s="5">
        <v>57200</v>
      </c>
      <c r="L256" s="5">
        <v>57200</v>
      </c>
      <c r="M256" s="5">
        <v>6128.57</v>
      </c>
      <c r="N256" s="5">
        <v>51071.43</v>
      </c>
    </row>
    <row r="257" spans="1:14">
      <c r="A257" s="24" t="s">
        <v>724</v>
      </c>
      <c r="B257" s="24" t="s">
        <v>689</v>
      </c>
      <c r="C257" s="24" t="s">
        <v>23</v>
      </c>
      <c r="D257" s="6">
        <v>30</v>
      </c>
      <c r="E257" s="24" t="s">
        <v>704</v>
      </c>
      <c r="F257" s="24" t="s">
        <v>180</v>
      </c>
      <c r="G257" s="24" t="s">
        <v>224</v>
      </c>
      <c r="H257" s="24" t="s">
        <v>725</v>
      </c>
      <c r="I257" s="5">
        <v>22900</v>
      </c>
      <c r="L257" s="5">
        <v>22900</v>
      </c>
      <c r="M257" s="5">
        <v>2453.5700000000002</v>
      </c>
      <c r="N257" s="5">
        <v>20446.43</v>
      </c>
    </row>
    <row r="258" spans="1:14">
      <c r="A258" s="24" t="s">
        <v>726</v>
      </c>
      <c r="B258" s="24" t="s">
        <v>689</v>
      </c>
      <c r="C258" s="24" t="s">
        <v>151</v>
      </c>
      <c r="D258" s="6">
        <v>60</v>
      </c>
      <c r="E258" s="24" t="s">
        <v>692</v>
      </c>
      <c r="F258" s="24" t="s">
        <v>727</v>
      </c>
      <c r="G258" s="24" t="s">
        <v>728</v>
      </c>
      <c r="H258" s="24" t="s">
        <v>729</v>
      </c>
      <c r="I258" s="5">
        <v>113168</v>
      </c>
      <c r="L258" s="5">
        <v>113168</v>
      </c>
      <c r="M258" s="5">
        <v>12125.14</v>
      </c>
      <c r="N258" s="5">
        <v>101042.86</v>
      </c>
    </row>
    <row r="259" spans="1:14">
      <c r="A259" s="24" t="s">
        <v>730</v>
      </c>
      <c r="B259" s="24" t="s">
        <v>689</v>
      </c>
      <c r="C259" s="24" t="s">
        <v>151</v>
      </c>
      <c r="D259" s="6">
        <v>60</v>
      </c>
      <c r="E259" s="24" t="s">
        <v>692</v>
      </c>
      <c r="F259" s="24" t="s">
        <v>727</v>
      </c>
      <c r="G259" s="24" t="s">
        <v>728</v>
      </c>
      <c r="H259" s="24" t="s">
        <v>731</v>
      </c>
      <c r="I259" s="5">
        <v>686000</v>
      </c>
      <c r="L259" s="5">
        <v>686000</v>
      </c>
      <c r="M259" s="5">
        <v>73500</v>
      </c>
      <c r="N259" s="5">
        <v>612500</v>
      </c>
    </row>
    <row r="260" spans="1:14">
      <c r="A260" s="24" t="s">
        <v>732</v>
      </c>
      <c r="B260" s="24" t="s">
        <v>689</v>
      </c>
      <c r="C260" s="24" t="s">
        <v>151</v>
      </c>
      <c r="D260" s="6">
        <v>60</v>
      </c>
      <c r="E260" s="24" t="s">
        <v>692</v>
      </c>
      <c r="F260" s="24" t="s">
        <v>727</v>
      </c>
      <c r="G260" s="24" t="s">
        <v>728</v>
      </c>
      <c r="H260" s="24" t="s">
        <v>733</v>
      </c>
      <c r="I260" s="5">
        <v>313000</v>
      </c>
      <c r="L260" s="5">
        <v>313000</v>
      </c>
      <c r="M260" s="5">
        <v>33535.71</v>
      </c>
      <c r="N260" s="5">
        <v>279464.28999999998</v>
      </c>
    </row>
    <row r="261" spans="1:14">
      <c r="A261" s="24" t="s">
        <v>734</v>
      </c>
      <c r="B261" s="24" t="s">
        <v>689</v>
      </c>
      <c r="C261" s="24" t="s">
        <v>151</v>
      </c>
      <c r="D261" s="6">
        <v>60</v>
      </c>
      <c r="E261" s="24" t="s">
        <v>692</v>
      </c>
      <c r="F261" s="24" t="s">
        <v>727</v>
      </c>
      <c r="G261" s="24" t="s">
        <v>728</v>
      </c>
      <c r="H261" s="24" t="s">
        <v>735</v>
      </c>
      <c r="I261" s="5">
        <v>111830</v>
      </c>
      <c r="L261" s="5">
        <v>111830</v>
      </c>
      <c r="M261" s="5">
        <v>11981.79</v>
      </c>
      <c r="N261" s="5">
        <v>99848.21</v>
      </c>
    </row>
    <row r="262" spans="1:14">
      <c r="A262" s="24" t="s">
        <v>736</v>
      </c>
      <c r="B262" s="24" t="s">
        <v>689</v>
      </c>
      <c r="C262" s="24" t="s">
        <v>151</v>
      </c>
      <c r="D262" s="6">
        <v>60</v>
      </c>
      <c r="E262" s="24" t="s">
        <v>692</v>
      </c>
      <c r="F262" s="24" t="s">
        <v>727</v>
      </c>
      <c r="G262" s="24" t="s">
        <v>728</v>
      </c>
      <c r="H262" s="24" t="s">
        <v>737</v>
      </c>
      <c r="I262" s="5">
        <v>313000</v>
      </c>
      <c r="L262" s="5">
        <v>313000</v>
      </c>
      <c r="M262" s="5">
        <v>33535.71</v>
      </c>
      <c r="N262" s="5">
        <v>279464.28999999998</v>
      </c>
    </row>
    <row r="263" spans="1:14">
      <c r="A263" s="24" t="s">
        <v>738</v>
      </c>
      <c r="B263" s="24" t="s">
        <v>689</v>
      </c>
      <c r="C263" s="24" t="s">
        <v>60</v>
      </c>
      <c r="D263" s="6">
        <v>0</v>
      </c>
      <c r="E263" s="24" t="s">
        <v>689</v>
      </c>
      <c r="F263" s="24" t="s">
        <v>56</v>
      </c>
      <c r="G263" s="24" t="s">
        <v>546</v>
      </c>
      <c r="H263" s="24" t="s">
        <v>739</v>
      </c>
      <c r="I263" s="5">
        <v>46363.6</v>
      </c>
      <c r="L263" s="5">
        <v>46363.6</v>
      </c>
      <c r="M263" s="5">
        <v>4967.53</v>
      </c>
      <c r="N263" s="5">
        <v>41396.07</v>
      </c>
    </row>
    <row r="264" spans="1:14">
      <c r="A264" s="24" t="s">
        <v>740</v>
      </c>
      <c r="B264" s="24" t="s">
        <v>689</v>
      </c>
      <c r="C264" s="24" t="s">
        <v>104</v>
      </c>
      <c r="D264" s="6">
        <v>0</v>
      </c>
      <c r="E264" s="24" t="s">
        <v>689</v>
      </c>
      <c r="F264" s="24" t="s">
        <v>30</v>
      </c>
      <c r="G264" s="24" t="s">
        <v>490</v>
      </c>
      <c r="H264" s="24" t="s">
        <v>741</v>
      </c>
      <c r="I264" s="5">
        <v>770100</v>
      </c>
      <c r="L264" s="5">
        <v>770100</v>
      </c>
      <c r="M264" s="5">
        <v>82510.710000000006</v>
      </c>
      <c r="N264" s="5">
        <v>687589.29</v>
      </c>
    </row>
    <row r="265" spans="1:14">
      <c r="A265" s="24" t="s">
        <v>742</v>
      </c>
      <c r="B265" s="24" t="s">
        <v>689</v>
      </c>
      <c r="C265" s="24" t="s">
        <v>29</v>
      </c>
      <c r="D265" s="6">
        <v>0</v>
      </c>
      <c r="E265" s="24" t="s">
        <v>689</v>
      </c>
      <c r="F265" s="24" t="s">
        <v>30</v>
      </c>
      <c r="G265" s="24" t="s">
        <v>218</v>
      </c>
      <c r="H265" s="24" t="s">
        <v>743</v>
      </c>
      <c r="I265" s="5">
        <v>22936</v>
      </c>
      <c r="J265" s="4">
        <v>-688.08</v>
      </c>
      <c r="L265" s="5">
        <v>22247.919999999998</v>
      </c>
      <c r="M265" s="5">
        <v>2383.71</v>
      </c>
      <c r="N265" s="5">
        <v>19864.21</v>
      </c>
    </row>
    <row r="266" spans="1:14">
      <c r="A266" s="24" t="s">
        <v>744</v>
      </c>
      <c r="B266" s="24" t="s">
        <v>689</v>
      </c>
      <c r="C266" s="24" t="s">
        <v>29</v>
      </c>
      <c r="D266" s="6">
        <v>0</v>
      </c>
      <c r="E266" s="24" t="s">
        <v>689</v>
      </c>
      <c r="F266" s="24" t="s">
        <v>30</v>
      </c>
      <c r="G266" s="24" t="s">
        <v>218</v>
      </c>
      <c r="H266" s="24" t="s">
        <v>745</v>
      </c>
      <c r="I266" s="5">
        <v>61692</v>
      </c>
      <c r="J266" s="4">
        <v>-1850.76</v>
      </c>
      <c r="L266" s="5">
        <v>59841.24</v>
      </c>
      <c r="M266" s="5">
        <v>6411.56</v>
      </c>
      <c r="N266" s="5">
        <v>53429.68</v>
      </c>
    </row>
    <row r="267" spans="1:14">
      <c r="A267" s="24" t="s">
        <v>746</v>
      </c>
      <c r="B267" s="24" t="s">
        <v>689</v>
      </c>
      <c r="C267" s="24" t="s">
        <v>151</v>
      </c>
      <c r="D267" s="6">
        <v>60</v>
      </c>
      <c r="E267" s="24" t="s">
        <v>692</v>
      </c>
      <c r="F267" s="24" t="s">
        <v>727</v>
      </c>
      <c r="G267" s="24" t="s">
        <v>728</v>
      </c>
      <c r="H267" s="24" t="s">
        <v>747</v>
      </c>
      <c r="I267" s="5">
        <v>408480</v>
      </c>
      <c r="L267" s="5">
        <v>408480</v>
      </c>
      <c r="M267" s="5">
        <v>43765.71</v>
      </c>
      <c r="N267" s="5">
        <v>364714.29</v>
      </c>
    </row>
    <row r="268" spans="1:14">
      <c r="A268" s="24" t="s">
        <v>748</v>
      </c>
      <c r="B268" s="24" t="s">
        <v>689</v>
      </c>
      <c r="C268" s="24" t="s">
        <v>151</v>
      </c>
      <c r="D268" s="6">
        <v>60</v>
      </c>
      <c r="E268" s="24" t="s">
        <v>692</v>
      </c>
      <c r="F268" s="24" t="s">
        <v>727</v>
      </c>
      <c r="G268" s="24" t="s">
        <v>728</v>
      </c>
      <c r="H268" s="24" t="s">
        <v>749</v>
      </c>
      <c r="I268" s="5">
        <v>250400</v>
      </c>
      <c r="L268" s="5">
        <v>250400</v>
      </c>
      <c r="M268" s="5">
        <v>26828.57</v>
      </c>
      <c r="N268" s="5">
        <v>223571.43</v>
      </c>
    </row>
    <row r="269" spans="1:14">
      <c r="A269" s="24" t="s">
        <v>750</v>
      </c>
      <c r="B269" s="24" t="s">
        <v>689</v>
      </c>
      <c r="C269" s="24" t="s">
        <v>162</v>
      </c>
      <c r="D269" s="6">
        <v>90</v>
      </c>
      <c r="E269" s="24" t="s">
        <v>751</v>
      </c>
      <c r="F269" s="24" t="s">
        <v>36</v>
      </c>
      <c r="G269" s="24" t="s">
        <v>193</v>
      </c>
      <c r="H269" s="24" t="s">
        <v>752</v>
      </c>
      <c r="I269" s="5">
        <v>8216</v>
      </c>
      <c r="L269" s="5">
        <v>8216</v>
      </c>
      <c r="M269" s="7">
        <v>880.29</v>
      </c>
      <c r="N269" s="5">
        <v>7335.71</v>
      </c>
    </row>
    <row r="270" spans="1:14">
      <c r="A270" s="24" t="s">
        <v>753</v>
      </c>
      <c r="B270" s="24" t="s">
        <v>689</v>
      </c>
      <c r="C270" s="24" t="s">
        <v>162</v>
      </c>
      <c r="D270" s="6">
        <v>90</v>
      </c>
      <c r="E270" s="24" t="s">
        <v>751</v>
      </c>
      <c r="F270" s="24" t="s">
        <v>36</v>
      </c>
      <c r="G270" s="24" t="s">
        <v>754</v>
      </c>
      <c r="H270" s="24" t="s">
        <v>755</v>
      </c>
      <c r="I270" s="5">
        <v>18780</v>
      </c>
      <c r="L270" s="5">
        <v>18780</v>
      </c>
      <c r="M270" s="5">
        <v>2012.14</v>
      </c>
      <c r="N270" s="5">
        <v>16767.86</v>
      </c>
    </row>
    <row r="271" spans="1:14">
      <c r="A271" s="24" t="s">
        <v>756</v>
      </c>
      <c r="B271" s="24" t="s">
        <v>689</v>
      </c>
      <c r="C271" s="24" t="s">
        <v>68</v>
      </c>
      <c r="D271" s="6">
        <v>60</v>
      </c>
      <c r="E271" s="24" t="s">
        <v>692</v>
      </c>
      <c r="F271" s="24" t="s">
        <v>69</v>
      </c>
      <c r="G271" s="24" t="s">
        <v>70</v>
      </c>
      <c r="H271" s="24" t="s">
        <v>757</v>
      </c>
      <c r="I271" s="5">
        <v>2419200</v>
      </c>
      <c r="L271" s="5">
        <v>2419200</v>
      </c>
      <c r="M271" s="5">
        <v>259200</v>
      </c>
      <c r="N271" s="5">
        <v>2160000</v>
      </c>
    </row>
    <row r="272" spans="1:14">
      <c r="A272" s="24" t="s">
        <v>758</v>
      </c>
      <c r="B272" s="24" t="s">
        <v>689</v>
      </c>
      <c r="C272" s="24" t="s">
        <v>237</v>
      </c>
      <c r="D272" s="6">
        <v>60</v>
      </c>
      <c r="E272" s="24" t="s">
        <v>692</v>
      </c>
      <c r="F272" s="24" t="s">
        <v>759</v>
      </c>
      <c r="G272" s="24" t="s">
        <v>760</v>
      </c>
      <c r="H272" s="24" t="s">
        <v>761</v>
      </c>
      <c r="I272" s="5">
        <v>89550</v>
      </c>
      <c r="L272" s="5">
        <v>89550</v>
      </c>
      <c r="M272" s="5">
        <v>9594.64</v>
      </c>
      <c r="N272" s="5">
        <v>79955.360000000001</v>
      </c>
    </row>
    <row r="273" spans="1:14">
      <c r="A273" s="24" t="s">
        <v>762</v>
      </c>
      <c r="B273" s="24" t="s">
        <v>689</v>
      </c>
      <c r="C273" s="24" t="s">
        <v>146</v>
      </c>
      <c r="D273" s="6">
        <v>90</v>
      </c>
      <c r="E273" s="24" t="s">
        <v>751</v>
      </c>
      <c r="F273" s="24" t="s">
        <v>759</v>
      </c>
      <c r="G273" s="24" t="s">
        <v>763</v>
      </c>
      <c r="H273" s="24" t="s">
        <v>764</v>
      </c>
      <c r="I273" s="5">
        <v>49500</v>
      </c>
      <c r="L273" s="5">
        <v>49500</v>
      </c>
      <c r="M273" s="5">
        <v>5303.57</v>
      </c>
      <c r="N273" s="5">
        <v>44196.43</v>
      </c>
    </row>
    <row r="274" spans="1:14">
      <c r="A274" s="24" t="s">
        <v>765</v>
      </c>
      <c r="B274" s="24" t="s">
        <v>689</v>
      </c>
      <c r="C274" s="24" t="s">
        <v>146</v>
      </c>
      <c r="D274" s="6">
        <v>90</v>
      </c>
      <c r="E274" s="24" t="s">
        <v>751</v>
      </c>
      <c r="F274" s="24" t="s">
        <v>759</v>
      </c>
      <c r="G274" s="24" t="s">
        <v>766</v>
      </c>
      <c r="H274" s="24" t="s">
        <v>767</v>
      </c>
      <c r="I274" s="5">
        <v>89550</v>
      </c>
      <c r="L274" s="5">
        <v>89550</v>
      </c>
      <c r="M274" s="5">
        <v>9594.64</v>
      </c>
      <c r="N274" s="5">
        <v>79955.360000000001</v>
      </c>
    </row>
    <row r="275" spans="1:14">
      <c r="A275" s="24" t="s">
        <v>768</v>
      </c>
      <c r="B275" s="24" t="s">
        <v>769</v>
      </c>
      <c r="C275" s="24" t="s">
        <v>237</v>
      </c>
      <c r="D275" s="6">
        <v>60</v>
      </c>
      <c r="E275" s="24" t="s">
        <v>770</v>
      </c>
      <c r="F275" s="24" t="s">
        <v>69</v>
      </c>
      <c r="G275" s="24" t="s">
        <v>303</v>
      </c>
      <c r="H275" s="24" t="s">
        <v>771</v>
      </c>
      <c r="I275" s="5">
        <v>113650</v>
      </c>
      <c r="L275" s="5">
        <v>113650</v>
      </c>
      <c r="M275" s="5">
        <v>12176.79</v>
      </c>
      <c r="N275" s="5">
        <v>101473.21</v>
      </c>
    </row>
    <row r="276" spans="1:14">
      <c r="A276" s="24" t="s">
        <v>772</v>
      </c>
      <c r="B276" s="24" t="s">
        <v>769</v>
      </c>
      <c r="C276" s="24" t="s">
        <v>237</v>
      </c>
      <c r="D276" s="6">
        <v>60</v>
      </c>
      <c r="E276" s="24" t="s">
        <v>770</v>
      </c>
      <c r="F276" s="24" t="s">
        <v>69</v>
      </c>
      <c r="G276" s="24" t="s">
        <v>303</v>
      </c>
      <c r="H276" s="24" t="s">
        <v>773</v>
      </c>
      <c r="I276" s="5">
        <v>113650</v>
      </c>
      <c r="L276" s="5">
        <v>113650</v>
      </c>
      <c r="M276" s="5">
        <v>12176.79</v>
      </c>
      <c r="N276" s="5">
        <v>101473.21</v>
      </c>
    </row>
    <row r="277" spans="1:14">
      <c r="A277" s="24" t="s">
        <v>774</v>
      </c>
      <c r="B277" s="24" t="s">
        <v>769</v>
      </c>
      <c r="C277" s="24" t="s">
        <v>237</v>
      </c>
      <c r="D277" s="6">
        <v>60</v>
      </c>
      <c r="E277" s="24" t="s">
        <v>770</v>
      </c>
      <c r="F277" s="24" t="s">
        <v>69</v>
      </c>
      <c r="G277" s="24" t="s">
        <v>303</v>
      </c>
      <c r="H277" s="24" t="s">
        <v>775</v>
      </c>
      <c r="I277" s="5">
        <v>154053</v>
      </c>
      <c r="L277" s="5">
        <v>154053</v>
      </c>
      <c r="M277" s="5">
        <v>16505.68</v>
      </c>
      <c r="N277" s="5">
        <v>137547.32</v>
      </c>
    </row>
    <row r="278" spans="1:14">
      <c r="A278" s="24" t="s">
        <v>776</v>
      </c>
      <c r="B278" s="24" t="s">
        <v>769</v>
      </c>
      <c r="C278" s="24" t="s">
        <v>60</v>
      </c>
      <c r="D278" s="6">
        <v>0</v>
      </c>
      <c r="E278" s="24" t="s">
        <v>769</v>
      </c>
      <c r="F278" s="24" t="s">
        <v>30</v>
      </c>
      <c r="G278" s="24" t="s">
        <v>184</v>
      </c>
      <c r="H278" s="24" t="s">
        <v>777</v>
      </c>
      <c r="I278" s="5">
        <v>205000</v>
      </c>
      <c r="L278" s="5">
        <v>205000</v>
      </c>
      <c r="M278" s="5">
        <v>21964.29</v>
      </c>
      <c r="N278" s="5">
        <v>183035.71</v>
      </c>
    </row>
    <row r="279" spans="1:14">
      <c r="A279" s="24" t="s">
        <v>778</v>
      </c>
      <c r="B279" s="24" t="s">
        <v>769</v>
      </c>
      <c r="C279" s="24" t="s">
        <v>779</v>
      </c>
      <c r="D279" s="6">
        <v>0</v>
      </c>
      <c r="E279" s="24" t="s">
        <v>769</v>
      </c>
      <c r="F279" s="24" t="s">
        <v>69</v>
      </c>
      <c r="G279" s="24" t="s">
        <v>780</v>
      </c>
      <c r="H279" s="24" t="s">
        <v>781</v>
      </c>
      <c r="I279" s="5">
        <v>443290</v>
      </c>
      <c r="L279" s="5">
        <v>443290</v>
      </c>
      <c r="M279" s="5">
        <v>47495.360000000001</v>
      </c>
      <c r="N279" s="5">
        <v>395794.64</v>
      </c>
    </row>
    <row r="280" spans="1:14">
      <c r="A280" s="24" t="s">
        <v>782</v>
      </c>
      <c r="B280" s="24" t="s">
        <v>769</v>
      </c>
      <c r="C280" s="24" t="s">
        <v>779</v>
      </c>
      <c r="D280" s="6">
        <v>0</v>
      </c>
      <c r="E280" s="24" t="s">
        <v>769</v>
      </c>
      <c r="F280" s="24" t="s">
        <v>69</v>
      </c>
      <c r="G280" s="24" t="s">
        <v>780</v>
      </c>
      <c r="H280" s="24" t="s">
        <v>783</v>
      </c>
      <c r="I280" s="5">
        <v>353465</v>
      </c>
      <c r="L280" s="5">
        <v>353465</v>
      </c>
      <c r="M280" s="5">
        <v>37871.25</v>
      </c>
      <c r="N280" s="5">
        <v>315593.75</v>
      </c>
    </row>
    <row r="281" spans="1:14">
      <c r="A281" s="24" t="s">
        <v>784</v>
      </c>
      <c r="B281" s="24" t="s">
        <v>769</v>
      </c>
      <c r="C281" s="24" t="s">
        <v>779</v>
      </c>
      <c r="D281" s="6">
        <v>0</v>
      </c>
      <c r="E281" s="24" t="s">
        <v>769</v>
      </c>
      <c r="F281" s="24" t="s">
        <v>69</v>
      </c>
      <c r="G281" s="24" t="s">
        <v>780</v>
      </c>
      <c r="H281" s="24" t="s">
        <v>785</v>
      </c>
      <c r="I281" s="5">
        <v>94498</v>
      </c>
      <c r="L281" s="5">
        <v>94498</v>
      </c>
      <c r="M281" s="5">
        <v>10124.790000000001</v>
      </c>
      <c r="N281" s="5">
        <v>84373.21</v>
      </c>
    </row>
    <row r="282" spans="1:14">
      <c r="A282" s="24" t="s">
        <v>786</v>
      </c>
      <c r="B282" s="24" t="s">
        <v>769</v>
      </c>
      <c r="C282" s="24" t="s">
        <v>658</v>
      </c>
      <c r="D282" s="6">
        <v>60</v>
      </c>
      <c r="E282" s="24" t="s">
        <v>770</v>
      </c>
      <c r="F282" s="24" t="s">
        <v>46</v>
      </c>
      <c r="G282" s="24" t="s">
        <v>787</v>
      </c>
      <c r="H282" s="24" t="s">
        <v>788</v>
      </c>
      <c r="I282" s="5">
        <v>94080</v>
      </c>
      <c r="L282" s="5">
        <v>94080</v>
      </c>
      <c r="M282" s="5">
        <v>10080</v>
      </c>
      <c r="N282" s="5">
        <v>84000</v>
      </c>
    </row>
    <row r="283" spans="1:14">
      <c r="A283" s="24" t="s">
        <v>789</v>
      </c>
      <c r="B283" s="24" t="s">
        <v>769</v>
      </c>
      <c r="C283" s="24" t="s">
        <v>60</v>
      </c>
      <c r="D283" s="6">
        <v>0</v>
      </c>
      <c r="E283" s="24" t="s">
        <v>769</v>
      </c>
      <c r="F283" s="24" t="s">
        <v>56</v>
      </c>
      <c r="G283" s="24" t="s">
        <v>790</v>
      </c>
      <c r="H283" s="24" t="s">
        <v>791</v>
      </c>
      <c r="I283" s="5">
        <v>53782.400000000001</v>
      </c>
      <c r="L283" s="5">
        <v>53782.400000000001</v>
      </c>
      <c r="M283" s="5">
        <v>5762.4</v>
      </c>
      <c r="N283" s="5">
        <v>48020</v>
      </c>
    </row>
    <row r="284" spans="1:14">
      <c r="A284" s="24" t="s">
        <v>792</v>
      </c>
      <c r="B284" s="24" t="s">
        <v>769</v>
      </c>
      <c r="C284" s="24" t="s">
        <v>34</v>
      </c>
      <c r="D284" s="6">
        <v>60</v>
      </c>
      <c r="E284" s="24" t="s">
        <v>770</v>
      </c>
      <c r="F284" s="24" t="s">
        <v>625</v>
      </c>
      <c r="G284" s="24" t="s">
        <v>793</v>
      </c>
      <c r="H284" s="24" t="s">
        <v>794</v>
      </c>
      <c r="I284" s="5">
        <v>48003</v>
      </c>
      <c r="L284" s="5">
        <v>48003</v>
      </c>
      <c r="M284" s="5">
        <v>5143.18</v>
      </c>
      <c r="N284" s="5">
        <v>42859.82</v>
      </c>
    </row>
    <row r="285" spans="1:14">
      <c r="A285" s="24" t="s">
        <v>795</v>
      </c>
      <c r="B285" s="24" t="s">
        <v>769</v>
      </c>
      <c r="C285" s="24" t="s">
        <v>60</v>
      </c>
      <c r="D285" s="6">
        <v>0</v>
      </c>
      <c r="E285" s="24" t="s">
        <v>769</v>
      </c>
      <c r="F285" s="24" t="s">
        <v>46</v>
      </c>
      <c r="G285" s="24" t="s">
        <v>796</v>
      </c>
      <c r="H285" s="24" t="s">
        <v>797</v>
      </c>
      <c r="I285" s="5">
        <v>4580</v>
      </c>
      <c r="L285" s="5">
        <v>4580</v>
      </c>
      <c r="M285" s="7">
        <v>490.71</v>
      </c>
      <c r="N285" s="5">
        <v>4089.29</v>
      </c>
    </row>
    <row r="286" spans="1:14">
      <c r="A286" s="24" t="s">
        <v>798</v>
      </c>
      <c r="B286" s="24" t="s">
        <v>769</v>
      </c>
      <c r="C286" s="24" t="s">
        <v>29</v>
      </c>
      <c r="D286" s="6">
        <v>0</v>
      </c>
      <c r="E286" s="24" t="s">
        <v>769</v>
      </c>
      <c r="F286" s="24" t="s">
        <v>30</v>
      </c>
      <c r="G286" s="24" t="s">
        <v>155</v>
      </c>
      <c r="H286" s="24" t="s">
        <v>799</v>
      </c>
      <c r="I286" s="5">
        <v>103537</v>
      </c>
      <c r="L286" s="5">
        <v>103537</v>
      </c>
      <c r="M286" s="5">
        <v>11093.25</v>
      </c>
      <c r="N286" s="5">
        <v>92443.75</v>
      </c>
    </row>
    <row r="287" spans="1:14">
      <c r="A287" s="24" t="s">
        <v>800</v>
      </c>
      <c r="B287" s="24" t="s">
        <v>769</v>
      </c>
      <c r="C287" s="24" t="s">
        <v>29</v>
      </c>
      <c r="D287" s="6">
        <v>0</v>
      </c>
      <c r="E287" s="24" t="s">
        <v>769</v>
      </c>
      <c r="F287" s="24" t="s">
        <v>30</v>
      </c>
      <c r="G287" s="24" t="s">
        <v>155</v>
      </c>
      <c r="H287" s="24" t="s">
        <v>801</v>
      </c>
      <c r="I287" s="5">
        <v>58800</v>
      </c>
      <c r="L287" s="5">
        <v>58800</v>
      </c>
      <c r="M287" s="5">
        <v>6300</v>
      </c>
      <c r="N287" s="5">
        <v>52500</v>
      </c>
    </row>
    <row r="288" spans="1:14">
      <c r="A288" s="24" t="s">
        <v>802</v>
      </c>
      <c r="B288" s="24" t="s">
        <v>769</v>
      </c>
      <c r="C288" s="24" t="s">
        <v>29</v>
      </c>
      <c r="D288" s="6">
        <v>0</v>
      </c>
      <c r="E288" s="24" t="s">
        <v>769</v>
      </c>
      <c r="F288" s="24" t="s">
        <v>30</v>
      </c>
      <c r="G288" s="24" t="s">
        <v>155</v>
      </c>
      <c r="H288" s="24" t="s">
        <v>803</v>
      </c>
      <c r="I288" s="5">
        <v>8400</v>
      </c>
      <c r="L288" s="5">
        <v>8400</v>
      </c>
      <c r="M288" s="7">
        <v>900</v>
      </c>
      <c r="N288" s="5">
        <v>7500</v>
      </c>
    </row>
    <row r="289" spans="1:14">
      <c r="A289" s="24" t="s">
        <v>804</v>
      </c>
      <c r="B289" s="24" t="s">
        <v>769</v>
      </c>
      <c r="C289" s="24" t="s">
        <v>73</v>
      </c>
      <c r="D289" s="6">
        <v>30</v>
      </c>
      <c r="E289" s="24" t="s">
        <v>805</v>
      </c>
      <c r="F289" s="24" t="s">
        <v>139</v>
      </c>
      <c r="G289" s="24" t="s">
        <v>806</v>
      </c>
      <c r="H289" s="24" t="s">
        <v>807</v>
      </c>
      <c r="I289" s="5">
        <v>146000</v>
      </c>
      <c r="L289" s="5">
        <v>146000</v>
      </c>
      <c r="M289" s="5">
        <v>15642.86</v>
      </c>
      <c r="N289" s="5">
        <v>130357.14</v>
      </c>
    </row>
    <row r="290" spans="1:14">
      <c r="A290" s="24" t="s">
        <v>808</v>
      </c>
      <c r="B290" s="24" t="s">
        <v>769</v>
      </c>
      <c r="C290" s="24" t="s">
        <v>18</v>
      </c>
      <c r="D290" s="6">
        <v>0</v>
      </c>
      <c r="E290" s="24" t="s">
        <v>769</v>
      </c>
      <c r="F290" s="24" t="s">
        <v>329</v>
      </c>
      <c r="G290" s="24" t="s">
        <v>809</v>
      </c>
      <c r="H290" s="24" t="s">
        <v>810</v>
      </c>
      <c r="I290" s="5">
        <v>65238</v>
      </c>
      <c r="J290" s="4">
        <v>-1304.76</v>
      </c>
      <c r="L290" s="5">
        <v>63933.24</v>
      </c>
      <c r="M290" s="5">
        <v>6849.99</v>
      </c>
      <c r="N290" s="5">
        <v>57083.25</v>
      </c>
    </row>
    <row r="291" spans="1:14">
      <c r="A291" s="24" t="s">
        <v>811</v>
      </c>
      <c r="B291" s="24" t="s">
        <v>769</v>
      </c>
      <c r="C291" s="24" t="s">
        <v>73</v>
      </c>
      <c r="D291" s="6">
        <v>30</v>
      </c>
      <c r="E291" s="24" t="s">
        <v>805</v>
      </c>
      <c r="F291" s="24" t="s">
        <v>56</v>
      </c>
      <c r="G291" s="24" t="s">
        <v>812</v>
      </c>
      <c r="H291" s="24" t="s">
        <v>813</v>
      </c>
      <c r="I291" s="5">
        <v>966395</v>
      </c>
      <c r="L291" s="5">
        <v>966395</v>
      </c>
      <c r="M291" s="5">
        <v>103542.32</v>
      </c>
      <c r="N291" s="5">
        <v>862852.68</v>
      </c>
    </row>
    <row r="292" spans="1:14">
      <c r="A292" s="24" t="s">
        <v>814</v>
      </c>
      <c r="B292" s="24" t="s">
        <v>769</v>
      </c>
      <c r="C292" s="24" t="s">
        <v>162</v>
      </c>
      <c r="D292" s="6">
        <v>90</v>
      </c>
      <c r="E292" s="24" t="s">
        <v>815</v>
      </c>
      <c r="F292" s="24" t="s">
        <v>46</v>
      </c>
      <c r="G292" s="24" t="s">
        <v>816</v>
      </c>
      <c r="H292" s="24" t="s">
        <v>817</v>
      </c>
      <c r="I292" s="5">
        <v>38020</v>
      </c>
      <c r="L292" s="5">
        <v>38020</v>
      </c>
      <c r="M292" s="5">
        <v>4073.57</v>
      </c>
      <c r="N292" s="5">
        <v>33946.43</v>
      </c>
    </row>
    <row r="293" spans="1:14">
      <c r="A293" s="24" t="s">
        <v>818</v>
      </c>
      <c r="B293" s="24" t="s">
        <v>769</v>
      </c>
      <c r="C293" s="24" t="s">
        <v>104</v>
      </c>
      <c r="D293" s="6">
        <v>0</v>
      </c>
      <c r="E293" s="24" t="s">
        <v>769</v>
      </c>
      <c r="F293" s="24" t="s">
        <v>69</v>
      </c>
      <c r="G293" s="24" t="s">
        <v>277</v>
      </c>
      <c r="H293" s="24" t="s">
        <v>819</v>
      </c>
      <c r="I293" s="5">
        <v>2179150</v>
      </c>
      <c r="L293" s="5">
        <v>2179150</v>
      </c>
      <c r="M293" s="5">
        <v>233480.36</v>
      </c>
      <c r="N293" s="5">
        <v>1945669.64</v>
      </c>
    </row>
    <row r="294" spans="1:14">
      <c r="A294" s="24" t="s">
        <v>820</v>
      </c>
      <c r="B294" s="24" t="s">
        <v>769</v>
      </c>
      <c r="C294" s="24" t="s">
        <v>237</v>
      </c>
      <c r="D294" s="6">
        <v>60</v>
      </c>
      <c r="E294" s="24" t="s">
        <v>770</v>
      </c>
      <c r="F294" s="24" t="s">
        <v>139</v>
      </c>
      <c r="G294" s="24" t="s">
        <v>821</v>
      </c>
      <c r="H294" s="24" t="s">
        <v>822</v>
      </c>
      <c r="I294" s="5">
        <v>94096</v>
      </c>
      <c r="L294" s="5">
        <v>94096</v>
      </c>
      <c r="M294" s="5">
        <v>10081.709999999999</v>
      </c>
      <c r="N294" s="5">
        <v>84014.29</v>
      </c>
    </row>
    <row r="295" spans="1:14">
      <c r="A295" s="24" t="s">
        <v>823</v>
      </c>
      <c r="B295" s="24" t="s">
        <v>769</v>
      </c>
      <c r="C295" s="24" t="s">
        <v>60</v>
      </c>
      <c r="D295" s="6">
        <v>0</v>
      </c>
      <c r="E295" s="24" t="s">
        <v>769</v>
      </c>
      <c r="F295" s="24" t="s">
        <v>50</v>
      </c>
      <c r="G295" s="24" t="s">
        <v>824</v>
      </c>
      <c r="H295" s="24" t="s">
        <v>825</v>
      </c>
      <c r="I295" s="5">
        <v>300075</v>
      </c>
      <c r="L295" s="5">
        <v>300075</v>
      </c>
      <c r="M295" s="5">
        <v>32150.89</v>
      </c>
      <c r="N295" s="5">
        <v>267924.11</v>
      </c>
    </row>
    <row r="296" spans="1:14">
      <c r="A296" s="24" t="s">
        <v>826</v>
      </c>
      <c r="B296" s="24" t="s">
        <v>769</v>
      </c>
      <c r="C296" s="24" t="s">
        <v>237</v>
      </c>
      <c r="D296" s="6">
        <v>60</v>
      </c>
      <c r="E296" s="24" t="s">
        <v>770</v>
      </c>
      <c r="F296" s="24" t="s">
        <v>139</v>
      </c>
      <c r="G296" s="24" t="s">
        <v>821</v>
      </c>
      <c r="H296" s="24" t="s">
        <v>827</v>
      </c>
      <c r="I296" s="5">
        <v>91154</v>
      </c>
      <c r="L296" s="5">
        <v>91154</v>
      </c>
      <c r="M296" s="5">
        <v>9766.5</v>
      </c>
      <c r="N296" s="5">
        <v>81387.5</v>
      </c>
    </row>
    <row r="297" spans="1:14">
      <c r="A297" s="24" t="s">
        <v>828</v>
      </c>
      <c r="B297" s="24" t="s">
        <v>769</v>
      </c>
      <c r="C297" s="24" t="s">
        <v>60</v>
      </c>
      <c r="D297" s="6">
        <v>0</v>
      </c>
      <c r="E297" s="24" t="s">
        <v>769</v>
      </c>
      <c r="F297" s="24" t="s">
        <v>50</v>
      </c>
      <c r="G297" s="24" t="s">
        <v>824</v>
      </c>
      <c r="H297" s="24" t="s">
        <v>829</v>
      </c>
      <c r="I297" s="5">
        <v>56749</v>
      </c>
      <c r="L297" s="5">
        <v>56749</v>
      </c>
      <c r="M297" s="5">
        <v>6080.25</v>
      </c>
      <c r="N297" s="5">
        <v>50668.75</v>
      </c>
    </row>
    <row r="298" spans="1:14">
      <c r="A298" s="24" t="s">
        <v>830</v>
      </c>
      <c r="B298" s="24" t="s">
        <v>769</v>
      </c>
      <c r="C298" s="24" t="s">
        <v>237</v>
      </c>
      <c r="D298" s="6">
        <v>60</v>
      </c>
      <c r="E298" s="24" t="s">
        <v>770</v>
      </c>
      <c r="F298" s="24" t="s">
        <v>139</v>
      </c>
      <c r="G298" s="24" t="s">
        <v>821</v>
      </c>
      <c r="H298" s="24" t="s">
        <v>831</v>
      </c>
      <c r="I298" s="5">
        <v>16800</v>
      </c>
      <c r="L298" s="5">
        <v>16800</v>
      </c>
      <c r="M298" s="5">
        <v>1800</v>
      </c>
      <c r="N298" s="5">
        <v>15000</v>
      </c>
    </row>
    <row r="299" spans="1:14">
      <c r="A299" s="24" t="s">
        <v>832</v>
      </c>
      <c r="B299" s="24" t="s">
        <v>769</v>
      </c>
      <c r="C299" s="24" t="s">
        <v>237</v>
      </c>
      <c r="D299" s="6">
        <v>60</v>
      </c>
      <c r="E299" s="24" t="s">
        <v>770</v>
      </c>
      <c r="F299" s="24" t="s">
        <v>139</v>
      </c>
      <c r="G299" s="24" t="s">
        <v>821</v>
      </c>
      <c r="H299" s="24" t="s">
        <v>833</v>
      </c>
      <c r="I299" s="5">
        <v>14406</v>
      </c>
      <c r="L299" s="5">
        <v>14406</v>
      </c>
      <c r="M299" s="5">
        <v>1543.5</v>
      </c>
      <c r="N299" s="5">
        <v>12862.5</v>
      </c>
    </row>
    <row r="300" spans="1:14">
      <c r="A300" s="24" t="s">
        <v>834</v>
      </c>
      <c r="B300" s="24" t="s">
        <v>769</v>
      </c>
      <c r="C300" s="24" t="s">
        <v>237</v>
      </c>
      <c r="D300" s="6">
        <v>60</v>
      </c>
      <c r="E300" s="24" t="s">
        <v>770</v>
      </c>
      <c r="F300" s="24" t="s">
        <v>139</v>
      </c>
      <c r="G300" s="24" t="s">
        <v>821</v>
      </c>
      <c r="H300" s="24" t="s">
        <v>835</v>
      </c>
      <c r="I300" s="5">
        <v>14002</v>
      </c>
      <c r="L300" s="5">
        <v>14002</v>
      </c>
      <c r="M300" s="5">
        <v>1500.21</v>
      </c>
      <c r="N300" s="5">
        <v>12501.79</v>
      </c>
    </row>
    <row r="301" spans="1:14">
      <c r="A301" s="24" t="s">
        <v>836</v>
      </c>
      <c r="B301" s="24" t="s">
        <v>769</v>
      </c>
      <c r="C301" s="24" t="s">
        <v>237</v>
      </c>
      <c r="D301" s="6">
        <v>60</v>
      </c>
      <c r="E301" s="24" t="s">
        <v>770</v>
      </c>
      <c r="F301" s="24" t="s">
        <v>139</v>
      </c>
      <c r="G301" s="24" t="s">
        <v>821</v>
      </c>
      <c r="H301" s="24" t="s">
        <v>837</v>
      </c>
      <c r="I301" s="5">
        <v>68892</v>
      </c>
      <c r="L301" s="5">
        <v>68892</v>
      </c>
      <c r="M301" s="5">
        <v>7381.29</v>
      </c>
      <c r="N301" s="5">
        <v>61510.71</v>
      </c>
    </row>
    <row r="302" spans="1:14">
      <c r="A302" s="24" t="s">
        <v>838</v>
      </c>
      <c r="B302" s="24" t="s">
        <v>769</v>
      </c>
      <c r="C302" s="24" t="s">
        <v>237</v>
      </c>
      <c r="D302" s="6">
        <v>60</v>
      </c>
      <c r="E302" s="24" t="s">
        <v>770</v>
      </c>
      <c r="F302" s="24" t="s">
        <v>139</v>
      </c>
      <c r="G302" s="24" t="s">
        <v>821</v>
      </c>
      <c r="H302" s="24" t="s">
        <v>839</v>
      </c>
      <c r="I302" s="5">
        <v>7840</v>
      </c>
      <c r="L302" s="5">
        <v>7840</v>
      </c>
      <c r="M302" s="7">
        <v>840</v>
      </c>
      <c r="N302" s="5">
        <v>7000</v>
      </c>
    </row>
    <row r="303" spans="1:14">
      <c r="A303" s="24" t="s">
        <v>840</v>
      </c>
      <c r="B303" s="24" t="s">
        <v>769</v>
      </c>
      <c r="C303" s="24" t="s">
        <v>60</v>
      </c>
      <c r="D303" s="6">
        <v>0</v>
      </c>
      <c r="E303" s="24" t="s">
        <v>769</v>
      </c>
      <c r="F303" s="24" t="s">
        <v>56</v>
      </c>
      <c r="G303" s="24" t="s">
        <v>841</v>
      </c>
      <c r="H303" s="24" t="s">
        <v>842</v>
      </c>
      <c r="I303" s="5">
        <v>1117</v>
      </c>
      <c r="L303" s="5">
        <v>1117</v>
      </c>
      <c r="M303" s="7">
        <v>119.68</v>
      </c>
      <c r="N303" s="7">
        <v>997.32</v>
      </c>
    </row>
    <row r="304" spans="1:14">
      <c r="A304" s="24" t="s">
        <v>843</v>
      </c>
      <c r="B304" s="24" t="s">
        <v>769</v>
      </c>
      <c r="C304" s="24" t="s">
        <v>104</v>
      </c>
      <c r="D304" s="6">
        <v>0</v>
      </c>
      <c r="E304" s="24" t="s">
        <v>769</v>
      </c>
      <c r="F304" s="24" t="s">
        <v>30</v>
      </c>
      <c r="G304" s="24" t="s">
        <v>490</v>
      </c>
      <c r="H304" s="24" t="s">
        <v>844</v>
      </c>
      <c r="I304" s="5">
        <v>302472</v>
      </c>
      <c r="L304" s="5">
        <v>302472</v>
      </c>
      <c r="M304" s="5">
        <v>32407.71</v>
      </c>
      <c r="N304" s="5">
        <v>270064.28999999998</v>
      </c>
    </row>
    <row r="305" spans="1:14">
      <c r="A305" s="24" t="s">
        <v>845</v>
      </c>
      <c r="B305" s="24" t="s">
        <v>769</v>
      </c>
      <c r="C305" s="24" t="s">
        <v>73</v>
      </c>
      <c r="D305" s="6">
        <v>30</v>
      </c>
      <c r="E305" s="24" t="s">
        <v>805</v>
      </c>
      <c r="F305" s="24" t="s">
        <v>56</v>
      </c>
      <c r="G305" s="24" t="s">
        <v>846</v>
      </c>
      <c r="H305" s="24" t="s">
        <v>847</v>
      </c>
      <c r="I305" s="5">
        <v>360296</v>
      </c>
      <c r="L305" s="5">
        <v>360296</v>
      </c>
      <c r="M305" s="5">
        <v>38603.14</v>
      </c>
      <c r="N305" s="5">
        <v>321692.86</v>
      </c>
    </row>
    <row r="306" spans="1:14">
      <c r="A306" s="24" t="s">
        <v>848</v>
      </c>
      <c r="B306" s="24" t="s">
        <v>769</v>
      </c>
      <c r="C306" s="24" t="s">
        <v>73</v>
      </c>
      <c r="D306" s="6">
        <v>30</v>
      </c>
      <c r="E306" s="24" t="s">
        <v>805</v>
      </c>
      <c r="F306" s="24" t="s">
        <v>56</v>
      </c>
      <c r="G306" s="24" t="s">
        <v>812</v>
      </c>
      <c r="H306" s="24" t="s">
        <v>849</v>
      </c>
      <c r="I306" s="5">
        <v>127702</v>
      </c>
      <c r="L306" s="5">
        <v>127702</v>
      </c>
      <c r="M306" s="5">
        <v>13682.36</v>
      </c>
      <c r="N306" s="5">
        <v>114019.64</v>
      </c>
    </row>
    <row r="307" spans="1:14">
      <c r="A307" s="24" t="s">
        <v>850</v>
      </c>
      <c r="B307" s="24" t="s">
        <v>769</v>
      </c>
      <c r="C307" s="24" t="s">
        <v>68</v>
      </c>
      <c r="D307" s="6">
        <v>60</v>
      </c>
      <c r="E307" s="24" t="s">
        <v>770</v>
      </c>
      <c r="F307" s="24" t="s">
        <v>69</v>
      </c>
      <c r="G307" s="24" t="s">
        <v>70</v>
      </c>
      <c r="H307" s="24" t="s">
        <v>851</v>
      </c>
      <c r="I307" s="5">
        <v>1209600</v>
      </c>
      <c r="L307" s="5">
        <v>1209600</v>
      </c>
      <c r="M307" s="5">
        <v>129600</v>
      </c>
      <c r="N307" s="5">
        <v>1080000</v>
      </c>
    </row>
    <row r="308" spans="1:14">
      <c r="A308" s="24" t="s">
        <v>852</v>
      </c>
      <c r="B308" s="24" t="s">
        <v>769</v>
      </c>
      <c r="C308" s="24" t="s">
        <v>162</v>
      </c>
      <c r="D308" s="6">
        <v>90</v>
      </c>
      <c r="E308" s="24" t="s">
        <v>815</v>
      </c>
      <c r="F308" s="24" t="s">
        <v>69</v>
      </c>
      <c r="G308" s="24" t="s">
        <v>853</v>
      </c>
      <c r="H308" s="24" t="s">
        <v>854</v>
      </c>
      <c r="I308" s="5">
        <v>586795</v>
      </c>
      <c r="L308" s="5">
        <v>586795</v>
      </c>
      <c r="M308" s="5">
        <v>62870.89</v>
      </c>
      <c r="N308" s="5">
        <v>523924.11</v>
      </c>
    </row>
    <row r="309" spans="1:14">
      <c r="A309" s="24" t="s">
        <v>855</v>
      </c>
      <c r="B309" s="24" t="s">
        <v>769</v>
      </c>
      <c r="C309" s="24" t="s">
        <v>68</v>
      </c>
      <c r="D309" s="6">
        <v>60</v>
      </c>
      <c r="E309" s="24" t="s">
        <v>770</v>
      </c>
      <c r="F309" s="24" t="s">
        <v>856</v>
      </c>
      <c r="G309" s="24" t="s">
        <v>857</v>
      </c>
      <c r="H309" s="24" t="s">
        <v>858</v>
      </c>
      <c r="I309" s="5">
        <v>84296</v>
      </c>
      <c r="L309" s="5">
        <v>84296</v>
      </c>
      <c r="M309" s="5">
        <v>9031.7099999999991</v>
      </c>
      <c r="N309" s="5">
        <v>75264.289999999994</v>
      </c>
    </row>
    <row r="310" spans="1:14">
      <c r="A310" s="24" t="s">
        <v>859</v>
      </c>
      <c r="B310" s="24" t="s">
        <v>769</v>
      </c>
      <c r="C310" s="24" t="s">
        <v>29</v>
      </c>
      <c r="D310" s="6">
        <v>0</v>
      </c>
      <c r="E310" s="24" t="s">
        <v>769</v>
      </c>
      <c r="F310" s="24" t="s">
        <v>30</v>
      </c>
      <c r="G310" s="24" t="s">
        <v>31</v>
      </c>
      <c r="H310" s="24" t="s">
        <v>860</v>
      </c>
      <c r="I310" s="5">
        <v>26190</v>
      </c>
      <c r="L310" s="5">
        <v>26190</v>
      </c>
      <c r="M310" s="5">
        <v>2806.07</v>
      </c>
      <c r="N310" s="5">
        <v>23383.93</v>
      </c>
    </row>
    <row r="311" spans="1:14">
      <c r="A311" s="24" t="s">
        <v>861</v>
      </c>
      <c r="B311" s="24" t="s">
        <v>769</v>
      </c>
      <c r="C311" s="24" t="s">
        <v>29</v>
      </c>
      <c r="D311" s="6">
        <v>0</v>
      </c>
      <c r="E311" s="24" t="s">
        <v>769</v>
      </c>
      <c r="F311" s="24" t="s">
        <v>30</v>
      </c>
      <c r="G311" s="24" t="s">
        <v>31</v>
      </c>
      <c r="H311" s="24" t="s">
        <v>862</v>
      </c>
      <c r="I311" s="5">
        <v>81120</v>
      </c>
      <c r="L311" s="5">
        <v>81120</v>
      </c>
      <c r="M311" s="5">
        <v>8691.43</v>
      </c>
      <c r="N311" s="5">
        <v>72428.570000000007</v>
      </c>
    </row>
    <row r="312" spans="1:14">
      <c r="A312" s="24" t="s">
        <v>863</v>
      </c>
      <c r="B312" s="24" t="s">
        <v>769</v>
      </c>
      <c r="C312" s="24" t="s">
        <v>29</v>
      </c>
      <c r="D312" s="6">
        <v>0</v>
      </c>
      <c r="E312" s="24" t="s">
        <v>769</v>
      </c>
      <c r="F312" s="24" t="s">
        <v>30</v>
      </c>
      <c r="G312" s="24" t="s">
        <v>31</v>
      </c>
      <c r="H312" s="24" t="s">
        <v>864</v>
      </c>
      <c r="I312" s="5">
        <v>13320</v>
      </c>
      <c r="L312" s="5">
        <v>13320</v>
      </c>
      <c r="M312" s="5">
        <v>1427.14</v>
      </c>
      <c r="N312" s="5">
        <v>11892.86</v>
      </c>
    </row>
    <row r="313" spans="1:14">
      <c r="A313" s="24" t="s">
        <v>865</v>
      </c>
      <c r="B313" s="24" t="s">
        <v>866</v>
      </c>
      <c r="C313" s="24" t="s">
        <v>94</v>
      </c>
      <c r="D313" s="6">
        <v>0</v>
      </c>
      <c r="E313" s="24" t="s">
        <v>866</v>
      </c>
      <c r="F313" s="24" t="s">
        <v>46</v>
      </c>
      <c r="G313" s="24" t="s">
        <v>95</v>
      </c>
      <c r="H313" s="24" t="s">
        <v>867</v>
      </c>
      <c r="I313" s="5">
        <v>289520</v>
      </c>
      <c r="L313" s="5">
        <v>289520</v>
      </c>
      <c r="M313" s="5">
        <v>31020</v>
      </c>
      <c r="N313" s="5">
        <v>258500</v>
      </c>
    </row>
    <row r="314" spans="1:14">
      <c r="A314" s="24" t="s">
        <v>868</v>
      </c>
      <c r="B314" s="24" t="s">
        <v>866</v>
      </c>
      <c r="C314" s="24" t="s">
        <v>98</v>
      </c>
      <c r="D314" s="6">
        <v>0</v>
      </c>
      <c r="E314" s="24" t="s">
        <v>866</v>
      </c>
      <c r="F314" s="24" t="s">
        <v>69</v>
      </c>
      <c r="G314" s="24" t="s">
        <v>99</v>
      </c>
      <c r="H314" s="24" t="s">
        <v>869</v>
      </c>
      <c r="I314" s="5">
        <v>256700</v>
      </c>
      <c r="J314" s="4">
        <v>-7701</v>
      </c>
      <c r="L314" s="5">
        <v>248999</v>
      </c>
      <c r="M314" s="5">
        <v>26678.46</v>
      </c>
      <c r="N314" s="5">
        <v>222320.54</v>
      </c>
    </row>
    <row r="315" spans="1:14">
      <c r="A315" s="24" t="s">
        <v>870</v>
      </c>
      <c r="B315" s="24" t="s">
        <v>866</v>
      </c>
      <c r="C315" s="24" t="s">
        <v>104</v>
      </c>
      <c r="D315" s="6">
        <v>0</v>
      </c>
      <c r="E315" s="24" t="s">
        <v>866</v>
      </c>
      <c r="F315" s="24" t="s">
        <v>46</v>
      </c>
      <c r="G315" s="24" t="s">
        <v>392</v>
      </c>
      <c r="H315" s="24" t="s">
        <v>871</v>
      </c>
      <c r="I315" s="5">
        <v>340975</v>
      </c>
      <c r="L315" s="5">
        <v>340975</v>
      </c>
      <c r="M315" s="5">
        <v>36533.040000000001</v>
      </c>
      <c r="N315" s="5">
        <v>304441.96000000002</v>
      </c>
    </row>
    <row r="316" spans="1:14">
      <c r="A316" s="24" t="s">
        <v>872</v>
      </c>
      <c r="B316" s="24" t="s">
        <v>866</v>
      </c>
      <c r="C316" s="24" t="s">
        <v>176</v>
      </c>
      <c r="D316" s="6">
        <v>60</v>
      </c>
      <c r="E316" s="24" t="s">
        <v>873</v>
      </c>
      <c r="F316" s="24" t="s">
        <v>69</v>
      </c>
      <c r="G316" s="24" t="s">
        <v>177</v>
      </c>
      <c r="H316" s="24" t="s">
        <v>874</v>
      </c>
      <c r="I316" s="5">
        <v>480000</v>
      </c>
      <c r="L316" s="5">
        <v>480000</v>
      </c>
      <c r="M316" s="5">
        <v>51428.57</v>
      </c>
      <c r="N316" s="5">
        <v>428571.43</v>
      </c>
    </row>
    <row r="317" spans="1:14">
      <c r="A317" s="24" t="s">
        <v>875</v>
      </c>
      <c r="B317" s="24" t="s">
        <v>866</v>
      </c>
      <c r="C317" s="24" t="s">
        <v>176</v>
      </c>
      <c r="D317" s="6">
        <v>60</v>
      </c>
      <c r="E317" s="24" t="s">
        <v>873</v>
      </c>
      <c r="F317" s="24" t="s">
        <v>69</v>
      </c>
      <c r="G317" s="24" t="s">
        <v>177</v>
      </c>
      <c r="H317" s="24" t="s">
        <v>876</v>
      </c>
      <c r="I317" s="5">
        <v>72000</v>
      </c>
      <c r="L317" s="5">
        <v>72000</v>
      </c>
      <c r="M317" s="5">
        <v>7714.29</v>
      </c>
      <c r="N317" s="5">
        <v>64285.71</v>
      </c>
    </row>
    <row r="318" spans="1:14">
      <c r="A318" s="24" t="s">
        <v>877</v>
      </c>
      <c r="B318" s="24" t="s">
        <v>866</v>
      </c>
      <c r="C318" s="24" t="s">
        <v>176</v>
      </c>
      <c r="D318" s="6">
        <v>60</v>
      </c>
      <c r="E318" s="24" t="s">
        <v>873</v>
      </c>
      <c r="F318" s="24" t="s">
        <v>69</v>
      </c>
      <c r="G318" s="24" t="s">
        <v>177</v>
      </c>
      <c r="H318" s="24" t="s">
        <v>878</v>
      </c>
      <c r="I318" s="5">
        <v>96000</v>
      </c>
      <c r="L318" s="5">
        <v>96000</v>
      </c>
      <c r="M318" s="5">
        <v>10285.709999999999</v>
      </c>
      <c r="N318" s="5">
        <v>85714.29</v>
      </c>
    </row>
    <row r="319" spans="1:14">
      <c r="A319" s="24" t="s">
        <v>879</v>
      </c>
      <c r="B319" s="24" t="s">
        <v>866</v>
      </c>
      <c r="C319" s="24" t="s">
        <v>369</v>
      </c>
      <c r="D319" s="6">
        <v>30</v>
      </c>
      <c r="E319" s="24" t="s">
        <v>880</v>
      </c>
      <c r="F319" s="24" t="s">
        <v>139</v>
      </c>
      <c r="G319" s="24" t="s">
        <v>371</v>
      </c>
      <c r="H319" s="24" t="s">
        <v>881</v>
      </c>
      <c r="I319" s="5">
        <v>128240</v>
      </c>
      <c r="L319" s="5">
        <v>128240</v>
      </c>
      <c r="M319" s="5">
        <v>13740</v>
      </c>
      <c r="N319" s="5">
        <v>114500</v>
      </c>
    </row>
    <row r="320" spans="1:14">
      <c r="A320" s="24" t="s">
        <v>882</v>
      </c>
      <c r="B320" s="24" t="s">
        <v>866</v>
      </c>
      <c r="C320" s="24" t="s">
        <v>60</v>
      </c>
      <c r="D320" s="6">
        <v>0</v>
      </c>
      <c r="E320" s="24" t="s">
        <v>866</v>
      </c>
      <c r="F320" s="24" t="s">
        <v>56</v>
      </c>
      <c r="G320" s="24" t="s">
        <v>196</v>
      </c>
      <c r="H320" s="24" t="s">
        <v>883</v>
      </c>
      <c r="I320" s="5">
        <v>4000</v>
      </c>
      <c r="L320" s="5">
        <v>4000</v>
      </c>
      <c r="M320" s="7">
        <v>428.57</v>
      </c>
      <c r="N320" s="5">
        <v>3571.43</v>
      </c>
    </row>
    <row r="321" spans="1:14">
      <c r="A321" s="24" t="s">
        <v>884</v>
      </c>
      <c r="B321" s="24" t="s">
        <v>866</v>
      </c>
      <c r="C321" s="24" t="s">
        <v>146</v>
      </c>
      <c r="D321" s="6">
        <v>90</v>
      </c>
      <c r="E321" s="24" t="s">
        <v>885</v>
      </c>
      <c r="F321" s="24" t="s">
        <v>69</v>
      </c>
      <c r="G321" s="24" t="s">
        <v>886</v>
      </c>
      <c r="H321" s="24" t="s">
        <v>887</v>
      </c>
      <c r="I321" s="5">
        <v>169280</v>
      </c>
      <c r="L321" s="5">
        <v>169280</v>
      </c>
      <c r="M321" s="5">
        <v>18137.14</v>
      </c>
      <c r="N321" s="5">
        <v>151142.85999999999</v>
      </c>
    </row>
    <row r="322" spans="1:14">
      <c r="A322" s="24" t="s">
        <v>888</v>
      </c>
      <c r="B322" s="24" t="s">
        <v>866</v>
      </c>
      <c r="C322" s="24" t="s">
        <v>68</v>
      </c>
      <c r="D322" s="6">
        <v>60</v>
      </c>
      <c r="E322" s="24" t="s">
        <v>873</v>
      </c>
      <c r="F322" s="24" t="s">
        <v>69</v>
      </c>
      <c r="G322" s="24" t="s">
        <v>574</v>
      </c>
      <c r="H322" s="24" t="s">
        <v>889</v>
      </c>
      <c r="I322" s="5">
        <v>2539560</v>
      </c>
      <c r="L322" s="5">
        <v>2539560</v>
      </c>
      <c r="M322" s="5">
        <v>272095.71000000002</v>
      </c>
      <c r="N322" s="5">
        <v>2267464.29</v>
      </c>
    </row>
    <row r="323" spans="1:14">
      <c r="A323" s="24" t="s">
        <v>890</v>
      </c>
      <c r="B323" s="24" t="s">
        <v>866</v>
      </c>
      <c r="C323" s="24" t="s">
        <v>73</v>
      </c>
      <c r="D323" s="6">
        <v>30</v>
      </c>
      <c r="E323" s="24" t="s">
        <v>880</v>
      </c>
      <c r="F323" s="24" t="s">
        <v>270</v>
      </c>
      <c r="G323" s="24" t="s">
        <v>891</v>
      </c>
      <c r="H323" s="24" t="s">
        <v>892</v>
      </c>
      <c r="I323" s="5">
        <v>528502</v>
      </c>
      <c r="L323" s="5">
        <v>528502</v>
      </c>
      <c r="M323" s="5">
        <v>56625.21</v>
      </c>
      <c r="N323" s="5">
        <v>471876.79</v>
      </c>
    </row>
    <row r="324" spans="1:14">
      <c r="A324" s="24" t="s">
        <v>893</v>
      </c>
      <c r="B324" s="24" t="s">
        <v>866</v>
      </c>
      <c r="C324" s="24" t="s">
        <v>146</v>
      </c>
      <c r="D324" s="6">
        <v>90</v>
      </c>
      <c r="E324" s="24" t="s">
        <v>885</v>
      </c>
      <c r="F324" s="24" t="s">
        <v>30</v>
      </c>
      <c r="G324" s="24" t="s">
        <v>384</v>
      </c>
      <c r="H324" s="24" t="s">
        <v>894</v>
      </c>
      <c r="I324" s="5">
        <v>1315800</v>
      </c>
      <c r="L324" s="5">
        <v>1315800</v>
      </c>
      <c r="M324" s="5">
        <v>140978.57</v>
      </c>
      <c r="N324" s="5">
        <v>1174821.43</v>
      </c>
    </row>
    <row r="325" spans="1:14">
      <c r="A325" s="24" t="s">
        <v>895</v>
      </c>
      <c r="B325" s="24" t="s">
        <v>866</v>
      </c>
      <c r="C325" s="24" t="s">
        <v>60</v>
      </c>
      <c r="D325" s="6">
        <v>0</v>
      </c>
      <c r="E325" s="24" t="s">
        <v>866</v>
      </c>
      <c r="F325" s="24" t="s">
        <v>56</v>
      </c>
      <c r="G325" s="24" t="s">
        <v>196</v>
      </c>
      <c r="H325" s="24" t="s">
        <v>896</v>
      </c>
      <c r="I325" s="5">
        <v>313966</v>
      </c>
      <c r="L325" s="5">
        <v>313966</v>
      </c>
      <c r="M325" s="5">
        <v>33639.21</v>
      </c>
      <c r="N325" s="5">
        <v>280326.78999999998</v>
      </c>
    </row>
    <row r="326" spans="1:14">
      <c r="A326" s="24" t="s">
        <v>897</v>
      </c>
      <c r="B326" s="24" t="s">
        <v>866</v>
      </c>
      <c r="C326" s="24" t="s">
        <v>60</v>
      </c>
      <c r="D326" s="6">
        <v>0</v>
      </c>
      <c r="E326" s="24" t="s">
        <v>866</v>
      </c>
      <c r="F326" s="24" t="s">
        <v>56</v>
      </c>
      <c r="G326" s="24" t="s">
        <v>196</v>
      </c>
      <c r="H326" s="24" t="s">
        <v>898</v>
      </c>
      <c r="I326" s="5">
        <v>81908</v>
      </c>
      <c r="L326" s="5">
        <v>81908</v>
      </c>
      <c r="M326" s="5">
        <v>8775.86</v>
      </c>
      <c r="N326" s="5">
        <v>73132.14</v>
      </c>
    </row>
    <row r="327" spans="1:14">
      <c r="A327" s="24" t="s">
        <v>899</v>
      </c>
      <c r="B327" s="24" t="s">
        <v>866</v>
      </c>
      <c r="C327" s="24" t="s">
        <v>162</v>
      </c>
      <c r="D327" s="6">
        <v>90</v>
      </c>
      <c r="E327" s="24" t="s">
        <v>885</v>
      </c>
      <c r="F327" s="24" t="s">
        <v>36</v>
      </c>
      <c r="G327" s="24" t="s">
        <v>193</v>
      </c>
      <c r="H327" s="24" t="s">
        <v>900</v>
      </c>
      <c r="I327" s="5">
        <v>37150</v>
      </c>
      <c r="L327" s="5">
        <v>37150</v>
      </c>
      <c r="M327" s="5">
        <v>3980.36</v>
      </c>
      <c r="N327" s="5">
        <v>33169.64</v>
      </c>
    </row>
    <row r="328" spans="1:14">
      <c r="A328" s="24" t="s">
        <v>901</v>
      </c>
      <c r="B328" s="24" t="s">
        <v>866</v>
      </c>
      <c r="C328" s="24" t="s">
        <v>162</v>
      </c>
      <c r="D328" s="6">
        <v>90</v>
      </c>
      <c r="E328" s="24" t="s">
        <v>885</v>
      </c>
      <c r="F328" s="24" t="s">
        <v>36</v>
      </c>
      <c r="G328" s="24" t="s">
        <v>193</v>
      </c>
      <c r="H328" s="24" t="s">
        <v>902</v>
      </c>
      <c r="I328" s="5">
        <v>51430</v>
      </c>
      <c r="L328" s="5">
        <v>51430</v>
      </c>
      <c r="M328" s="5">
        <v>5510.36</v>
      </c>
      <c r="N328" s="5">
        <v>45919.64</v>
      </c>
    </row>
    <row r="329" spans="1:14">
      <c r="A329" s="24" t="s">
        <v>903</v>
      </c>
      <c r="B329" s="24" t="s">
        <v>866</v>
      </c>
      <c r="C329" s="24" t="s">
        <v>162</v>
      </c>
      <c r="D329" s="6">
        <v>90</v>
      </c>
      <c r="E329" s="24" t="s">
        <v>885</v>
      </c>
      <c r="F329" s="24" t="s">
        <v>204</v>
      </c>
      <c r="G329" s="24" t="s">
        <v>904</v>
      </c>
      <c r="H329" s="24" t="s">
        <v>905</v>
      </c>
      <c r="I329" s="5">
        <v>80432</v>
      </c>
      <c r="L329" s="5">
        <v>80432</v>
      </c>
      <c r="M329" s="5">
        <v>8617.7099999999991</v>
      </c>
      <c r="N329" s="5">
        <v>71814.289999999994</v>
      </c>
    </row>
    <row r="330" spans="1:14">
      <c r="A330" s="24" t="s">
        <v>906</v>
      </c>
      <c r="B330" s="24" t="s">
        <v>866</v>
      </c>
      <c r="C330" s="24" t="s">
        <v>146</v>
      </c>
      <c r="D330" s="6">
        <v>90</v>
      </c>
      <c r="E330" s="24" t="s">
        <v>885</v>
      </c>
      <c r="F330" s="24" t="s">
        <v>25</v>
      </c>
      <c r="G330" s="24" t="s">
        <v>907</v>
      </c>
      <c r="H330" s="24" t="s">
        <v>908</v>
      </c>
      <c r="I330" s="5">
        <v>133902</v>
      </c>
      <c r="L330" s="5">
        <v>133902</v>
      </c>
      <c r="M330" s="5">
        <v>14346.64</v>
      </c>
      <c r="N330" s="5">
        <v>119555.36</v>
      </c>
    </row>
    <row r="331" spans="1:14">
      <c r="A331" s="24" t="s">
        <v>909</v>
      </c>
      <c r="B331" s="24" t="s">
        <v>866</v>
      </c>
      <c r="C331" s="24" t="s">
        <v>60</v>
      </c>
      <c r="D331" s="6">
        <v>0</v>
      </c>
      <c r="E331" s="24" t="s">
        <v>866</v>
      </c>
      <c r="F331" s="24" t="s">
        <v>105</v>
      </c>
      <c r="G331" s="24" t="s">
        <v>910</v>
      </c>
      <c r="H331" s="24" t="s">
        <v>911</v>
      </c>
      <c r="I331" s="5">
        <v>8800</v>
      </c>
      <c r="L331" s="5">
        <v>8800</v>
      </c>
      <c r="M331" s="7">
        <v>942.86</v>
      </c>
      <c r="N331" s="5">
        <v>7857.14</v>
      </c>
    </row>
    <row r="332" spans="1:14">
      <c r="A332" s="24" t="s">
        <v>912</v>
      </c>
      <c r="B332" s="24" t="s">
        <v>866</v>
      </c>
      <c r="C332" s="24" t="s">
        <v>29</v>
      </c>
      <c r="D332" s="6">
        <v>0</v>
      </c>
      <c r="E332" s="24" t="s">
        <v>866</v>
      </c>
      <c r="F332" s="24" t="s">
        <v>30</v>
      </c>
      <c r="G332" s="24" t="s">
        <v>218</v>
      </c>
      <c r="H332" s="24" t="s">
        <v>913</v>
      </c>
      <c r="I332" s="5">
        <v>32004</v>
      </c>
      <c r="J332" s="4">
        <v>-960.12</v>
      </c>
      <c r="L332" s="5">
        <v>31043.88</v>
      </c>
      <c r="M332" s="5">
        <v>3326.13</v>
      </c>
      <c r="N332" s="5">
        <v>27717.75</v>
      </c>
    </row>
    <row r="333" spans="1:14">
      <c r="A333" s="24" t="s">
        <v>914</v>
      </c>
      <c r="B333" s="24" t="s">
        <v>915</v>
      </c>
      <c r="C333" s="24" t="s">
        <v>73</v>
      </c>
      <c r="D333" s="6">
        <v>30</v>
      </c>
      <c r="E333" s="24" t="s">
        <v>916</v>
      </c>
      <c r="F333" s="24" t="s">
        <v>56</v>
      </c>
      <c r="G333" s="24" t="s">
        <v>812</v>
      </c>
      <c r="H333" s="24" t="s">
        <v>849</v>
      </c>
      <c r="I333" s="5">
        <v>127702</v>
      </c>
      <c r="L333" s="5">
        <v>127702</v>
      </c>
      <c r="M333" s="5">
        <v>13682.36</v>
      </c>
      <c r="N333" s="5">
        <v>114019.64</v>
      </c>
    </row>
    <row r="334" spans="1:14">
      <c r="A334" s="24" t="s">
        <v>917</v>
      </c>
      <c r="B334" s="24" t="s">
        <v>915</v>
      </c>
      <c r="C334" s="24" t="s">
        <v>151</v>
      </c>
      <c r="D334" s="6">
        <v>60</v>
      </c>
      <c r="E334" s="24" t="s">
        <v>918</v>
      </c>
      <c r="F334" s="24" t="s">
        <v>30</v>
      </c>
      <c r="G334" s="24" t="s">
        <v>614</v>
      </c>
      <c r="H334" s="24" t="s">
        <v>919</v>
      </c>
      <c r="I334" s="5">
        <v>48720</v>
      </c>
      <c r="L334" s="5">
        <v>48720</v>
      </c>
      <c r="M334" s="5">
        <v>5220</v>
      </c>
      <c r="N334" s="5">
        <v>43500</v>
      </c>
    </row>
    <row r="335" spans="1:14">
      <c r="A335" s="24" t="s">
        <v>920</v>
      </c>
      <c r="B335" s="24" t="s">
        <v>915</v>
      </c>
      <c r="C335" s="24" t="s">
        <v>73</v>
      </c>
      <c r="D335" s="6">
        <v>30</v>
      </c>
      <c r="E335" s="24" t="s">
        <v>916</v>
      </c>
      <c r="F335" s="24" t="s">
        <v>139</v>
      </c>
      <c r="G335" s="24" t="s">
        <v>921</v>
      </c>
      <c r="H335" s="24" t="s">
        <v>922</v>
      </c>
      <c r="I335" s="5">
        <v>348834</v>
      </c>
      <c r="L335" s="5">
        <v>348834</v>
      </c>
      <c r="M335" s="5">
        <v>37375.07</v>
      </c>
      <c r="N335" s="5">
        <v>311458.93</v>
      </c>
    </row>
    <row r="336" spans="1:14">
      <c r="A336" s="24" t="s">
        <v>923</v>
      </c>
      <c r="B336" s="24" t="s">
        <v>915</v>
      </c>
      <c r="C336" s="24" t="s">
        <v>146</v>
      </c>
      <c r="D336" s="6">
        <v>90</v>
      </c>
      <c r="E336" s="24" t="s">
        <v>924</v>
      </c>
      <c r="F336" s="24" t="s">
        <v>759</v>
      </c>
      <c r="G336" s="24" t="s">
        <v>766</v>
      </c>
      <c r="H336" s="24" t="s">
        <v>925</v>
      </c>
      <c r="I336" s="5">
        <v>242361</v>
      </c>
      <c r="L336" s="5">
        <v>242361</v>
      </c>
      <c r="M336" s="5">
        <v>25967.25</v>
      </c>
      <c r="N336" s="5">
        <v>216393.75</v>
      </c>
    </row>
    <row r="337" spans="1:14">
      <c r="A337" s="24" t="s">
        <v>926</v>
      </c>
      <c r="B337" s="24" t="s">
        <v>915</v>
      </c>
      <c r="C337" s="24" t="s">
        <v>73</v>
      </c>
      <c r="D337" s="6">
        <v>30</v>
      </c>
      <c r="E337" s="24" t="s">
        <v>916</v>
      </c>
      <c r="F337" s="24" t="s">
        <v>19</v>
      </c>
      <c r="G337" s="24" t="s">
        <v>267</v>
      </c>
      <c r="H337" s="24" t="s">
        <v>927</v>
      </c>
      <c r="I337" s="5">
        <v>7952</v>
      </c>
      <c r="L337" s="5">
        <v>7952</v>
      </c>
      <c r="M337" s="7">
        <v>852</v>
      </c>
      <c r="N337" s="5">
        <v>7100</v>
      </c>
    </row>
    <row r="338" spans="1:14">
      <c r="A338" s="24" t="s">
        <v>928</v>
      </c>
      <c r="B338" s="24" t="s">
        <v>915</v>
      </c>
      <c r="C338" s="24" t="s">
        <v>73</v>
      </c>
      <c r="D338" s="6">
        <v>30</v>
      </c>
      <c r="E338" s="24" t="s">
        <v>916</v>
      </c>
      <c r="F338" s="24" t="s">
        <v>19</v>
      </c>
      <c r="G338" s="24" t="s">
        <v>267</v>
      </c>
      <c r="H338" s="24" t="s">
        <v>929</v>
      </c>
      <c r="I338" s="5">
        <v>19890</v>
      </c>
      <c r="L338" s="5">
        <v>19890</v>
      </c>
      <c r="M338" s="5">
        <v>2131.0700000000002</v>
      </c>
      <c r="N338" s="5">
        <v>17758.93</v>
      </c>
    </row>
    <row r="339" spans="1:14">
      <c r="A339" s="24" t="s">
        <v>930</v>
      </c>
      <c r="B339" s="24" t="s">
        <v>915</v>
      </c>
      <c r="C339" s="24" t="s">
        <v>73</v>
      </c>
      <c r="D339" s="6">
        <v>30</v>
      </c>
      <c r="E339" s="24" t="s">
        <v>916</v>
      </c>
      <c r="F339" s="24" t="s">
        <v>19</v>
      </c>
      <c r="G339" s="24" t="s">
        <v>267</v>
      </c>
      <c r="H339" s="24" t="s">
        <v>931</v>
      </c>
      <c r="I339" s="5">
        <v>9180</v>
      </c>
      <c r="L339" s="5">
        <v>9180</v>
      </c>
      <c r="M339" s="7">
        <v>983.57</v>
      </c>
      <c r="N339" s="5">
        <v>8196.43</v>
      </c>
    </row>
    <row r="340" spans="1:14">
      <c r="A340" s="24" t="s">
        <v>932</v>
      </c>
      <c r="B340" s="24" t="s">
        <v>915</v>
      </c>
      <c r="C340" s="24" t="s">
        <v>73</v>
      </c>
      <c r="D340" s="6">
        <v>30</v>
      </c>
      <c r="E340" s="24" t="s">
        <v>916</v>
      </c>
      <c r="F340" s="24" t="s">
        <v>19</v>
      </c>
      <c r="G340" s="24" t="s">
        <v>267</v>
      </c>
      <c r="H340" s="24" t="s">
        <v>933</v>
      </c>
      <c r="I340" s="5">
        <v>8274</v>
      </c>
      <c r="L340" s="5">
        <v>8274</v>
      </c>
      <c r="M340" s="7">
        <v>886.5</v>
      </c>
      <c r="N340" s="5">
        <v>7387.5</v>
      </c>
    </row>
    <row r="341" spans="1:14">
      <c r="A341" s="24" t="s">
        <v>934</v>
      </c>
      <c r="B341" s="24" t="s">
        <v>915</v>
      </c>
      <c r="C341" s="24" t="s">
        <v>237</v>
      </c>
      <c r="D341" s="6">
        <v>60</v>
      </c>
      <c r="E341" s="24" t="s">
        <v>918</v>
      </c>
      <c r="F341" s="24" t="s">
        <v>180</v>
      </c>
      <c r="G341" s="24" t="s">
        <v>238</v>
      </c>
      <c r="H341" s="24" t="s">
        <v>935</v>
      </c>
      <c r="I341" s="5">
        <v>151350</v>
      </c>
      <c r="L341" s="5">
        <v>151350</v>
      </c>
      <c r="M341" s="5">
        <v>16216.07</v>
      </c>
      <c r="N341" s="5">
        <v>135133.93</v>
      </c>
    </row>
    <row r="342" spans="1:14">
      <c r="A342" s="24" t="s">
        <v>936</v>
      </c>
      <c r="B342" s="24" t="s">
        <v>915</v>
      </c>
      <c r="C342" s="24" t="s">
        <v>54</v>
      </c>
      <c r="D342" s="6">
        <v>90</v>
      </c>
      <c r="E342" s="24" t="s">
        <v>924</v>
      </c>
      <c r="F342" s="24" t="s">
        <v>19</v>
      </c>
      <c r="G342" s="24" t="s">
        <v>937</v>
      </c>
      <c r="H342" s="24" t="s">
        <v>938</v>
      </c>
      <c r="I342" s="5">
        <v>430000</v>
      </c>
      <c r="L342" s="5">
        <v>430000</v>
      </c>
      <c r="M342" s="5">
        <v>46071.43</v>
      </c>
      <c r="N342" s="5">
        <v>383928.57</v>
      </c>
    </row>
    <row r="343" spans="1:14">
      <c r="A343" s="24" t="s">
        <v>939</v>
      </c>
      <c r="B343" s="24" t="s">
        <v>915</v>
      </c>
      <c r="C343" s="24" t="s">
        <v>34</v>
      </c>
      <c r="D343" s="6">
        <v>60</v>
      </c>
      <c r="E343" s="24" t="s">
        <v>918</v>
      </c>
      <c r="F343" s="24" t="s">
        <v>19</v>
      </c>
      <c r="G343" s="24" t="s">
        <v>940</v>
      </c>
      <c r="H343" s="24" t="s">
        <v>941</v>
      </c>
      <c r="I343" s="5">
        <v>19604</v>
      </c>
      <c r="L343" s="5">
        <v>19604</v>
      </c>
      <c r="M343" s="5">
        <v>2100.4299999999998</v>
      </c>
      <c r="N343" s="5">
        <v>17503.57</v>
      </c>
    </row>
    <row r="344" spans="1:14">
      <c r="A344" s="24" t="s">
        <v>942</v>
      </c>
      <c r="B344" s="24" t="s">
        <v>915</v>
      </c>
      <c r="C344" s="24" t="s">
        <v>104</v>
      </c>
      <c r="D344" s="6">
        <v>0</v>
      </c>
      <c r="E344" s="24" t="s">
        <v>915</v>
      </c>
      <c r="F344" s="24" t="s">
        <v>25</v>
      </c>
      <c r="G344" s="24" t="s">
        <v>943</v>
      </c>
      <c r="H344" s="24" t="s">
        <v>944</v>
      </c>
      <c r="I344" s="5">
        <v>7500</v>
      </c>
      <c r="L344" s="5">
        <v>7500</v>
      </c>
      <c r="N344" s="5">
        <v>7500</v>
      </c>
    </row>
    <row r="345" spans="1:14">
      <c r="A345" s="24" t="s">
        <v>945</v>
      </c>
      <c r="B345" s="24" t="s">
        <v>915</v>
      </c>
      <c r="C345" s="24" t="s">
        <v>162</v>
      </c>
      <c r="D345" s="6">
        <v>90</v>
      </c>
      <c r="E345" s="24" t="s">
        <v>924</v>
      </c>
      <c r="F345" s="24" t="s">
        <v>204</v>
      </c>
      <c r="G345" s="24" t="s">
        <v>904</v>
      </c>
      <c r="H345" s="24" t="s">
        <v>946</v>
      </c>
      <c r="I345" s="5">
        <v>41100</v>
      </c>
      <c r="L345" s="5">
        <v>41100</v>
      </c>
      <c r="M345" s="5">
        <v>4403.57</v>
      </c>
      <c r="N345" s="5">
        <v>36696.43</v>
      </c>
    </row>
    <row r="346" spans="1:14">
      <c r="A346" s="24" t="s">
        <v>947</v>
      </c>
      <c r="B346" s="24" t="s">
        <v>915</v>
      </c>
      <c r="C346" s="24" t="s">
        <v>34</v>
      </c>
      <c r="D346" s="6">
        <v>60</v>
      </c>
      <c r="E346" s="24" t="s">
        <v>918</v>
      </c>
      <c r="F346" s="24" t="s">
        <v>30</v>
      </c>
      <c r="G346" s="24" t="s">
        <v>201</v>
      </c>
      <c r="H346" s="24" t="s">
        <v>948</v>
      </c>
      <c r="I346" s="5">
        <v>14400</v>
      </c>
      <c r="L346" s="5">
        <v>14400</v>
      </c>
      <c r="M346" s="5">
        <v>1542.86</v>
      </c>
      <c r="N346" s="5">
        <v>12857.14</v>
      </c>
    </row>
    <row r="347" spans="1:14">
      <c r="A347" s="24" t="s">
        <v>949</v>
      </c>
      <c r="B347" s="24" t="s">
        <v>915</v>
      </c>
      <c r="C347" s="24" t="s">
        <v>60</v>
      </c>
      <c r="D347" s="6">
        <v>0</v>
      </c>
      <c r="E347" s="24" t="s">
        <v>915</v>
      </c>
      <c r="F347" s="24" t="s">
        <v>56</v>
      </c>
      <c r="G347" s="24" t="s">
        <v>190</v>
      </c>
      <c r="H347" s="24" t="s">
        <v>950</v>
      </c>
      <c r="I347" s="5">
        <v>27760</v>
      </c>
      <c r="L347" s="5">
        <v>27760</v>
      </c>
      <c r="M347" s="5">
        <v>2974.29</v>
      </c>
      <c r="N347" s="5">
        <v>24785.71</v>
      </c>
    </row>
    <row r="348" spans="1:14">
      <c r="A348" s="24" t="s">
        <v>951</v>
      </c>
      <c r="B348" s="24" t="s">
        <v>915</v>
      </c>
      <c r="C348" s="24" t="s">
        <v>151</v>
      </c>
      <c r="D348" s="6">
        <v>60</v>
      </c>
      <c r="E348" s="24" t="s">
        <v>918</v>
      </c>
      <c r="F348" s="24" t="s">
        <v>139</v>
      </c>
      <c r="G348" s="24" t="s">
        <v>264</v>
      </c>
      <c r="H348" s="24" t="s">
        <v>952</v>
      </c>
      <c r="I348" s="5">
        <v>13520</v>
      </c>
      <c r="L348" s="5">
        <v>13520</v>
      </c>
      <c r="M348" s="5">
        <v>1448.57</v>
      </c>
      <c r="N348" s="5">
        <v>12071.43</v>
      </c>
    </row>
    <row r="349" spans="1:14">
      <c r="A349" s="24" t="s">
        <v>953</v>
      </c>
      <c r="B349" s="24" t="s">
        <v>915</v>
      </c>
      <c r="C349" s="24" t="s">
        <v>29</v>
      </c>
      <c r="D349" s="6">
        <v>0</v>
      </c>
      <c r="E349" s="24" t="s">
        <v>915</v>
      </c>
      <c r="F349" s="24" t="s">
        <v>30</v>
      </c>
      <c r="G349" s="24" t="s">
        <v>31</v>
      </c>
      <c r="H349" s="24" t="s">
        <v>954</v>
      </c>
      <c r="I349" s="5">
        <v>5460</v>
      </c>
      <c r="L349" s="5">
        <v>5460</v>
      </c>
      <c r="M349" s="7">
        <v>585</v>
      </c>
      <c r="N349" s="5">
        <v>4875</v>
      </c>
    </row>
    <row r="350" spans="1:14">
      <c r="A350" s="24" t="s">
        <v>955</v>
      </c>
      <c r="B350" s="24" t="s">
        <v>915</v>
      </c>
      <c r="C350" s="24" t="s">
        <v>29</v>
      </c>
      <c r="D350" s="6">
        <v>0</v>
      </c>
      <c r="E350" s="24" t="s">
        <v>915</v>
      </c>
      <c r="F350" s="24" t="s">
        <v>30</v>
      </c>
      <c r="G350" s="24" t="s">
        <v>31</v>
      </c>
      <c r="H350" s="24" t="s">
        <v>956</v>
      </c>
      <c r="I350" s="5">
        <v>13144</v>
      </c>
      <c r="L350" s="5">
        <v>13144</v>
      </c>
      <c r="M350" s="5">
        <v>1408.29</v>
      </c>
      <c r="N350" s="5">
        <v>11735.71</v>
      </c>
    </row>
    <row r="351" spans="1:14">
      <c r="A351" s="24" t="s">
        <v>957</v>
      </c>
      <c r="B351" s="24" t="s">
        <v>915</v>
      </c>
      <c r="C351" s="24" t="s">
        <v>60</v>
      </c>
      <c r="D351" s="6">
        <v>0</v>
      </c>
      <c r="E351" s="24" t="s">
        <v>915</v>
      </c>
      <c r="F351" s="24" t="s">
        <v>139</v>
      </c>
      <c r="G351" s="24" t="s">
        <v>958</v>
      </c>
      <c r="H351" s="24" t="s">
        <v>959</v>
      </c>
      <c r="I351" s="5">
        <v>588000</v>
      </c>
      <c r="J351" s="4">
        <v>-17640</v>
      </c>
      <c r="L351" s="5">
        <v>570360</v>
      </c>
      <c r="M351" s="5">
        <v>61110</v>
      </c>
      <c r="N351" s="5">
        <v>509250</v>
      </c>
    </row>
    <row r="352" spans="1:14">
      <c r="A352" s="24" t="s">
        <v>960</v>
      </c>
      <c r="B352" s="24" t="s">
        <v>915</v>
      </c>
      <c r="C352" s="24" t="s">
        <v>60</v>
      </c>
      <c r="D352" s="6">
        <v>0</v>
      </c>
      <c r="E352" s="24" t="s">
        <v>915</v>
      </c>
      <c r="F352" s="24" t="s">
        <v>139</v>
      </c>
      <c r="G352" s="24" t="s">
        <v>958</v>
      </c>
      <c r="H352" s="24" t="s">
        <v>961</v>
      </c>
      <c r="I352" s="5">
        <v>395135</v>
      </c>
      <c r="J352" s="4">
        <v>-11854.05</v>
      </c>
      <c r="L352" s="5">
        <v>383280.95</v>
      </c>
      <c r="M352" s="5">
        <v>41065.82</v>
      </c>
      <c r="N352" s="5">
        <v>342215.13</v>
      </c>
    </row>
    <row r="353" spans="1:14">
      <c r="A353" s="24" t="s">
        <v>962</v>
      </c>
      <c r="B353" s="24" t="s">
        <v>915</v>
      </c>
      <c r="C353" s="24" t="s">
        <v>162</v>
      </c>
      <c r="D353" s="6">
        <v>90</v>
      </c>
      <c r="E353" s="24" t="s">
        <v>924</v>
      </c>
      <c r="F353" s="24" t="s">
        <v>36</v>
      </c>
      <c r="G353" s="24" t="s">
        <v>754</v>
      </c>
      <c r="H353" s="24" t="s">
        <v>963</v>
      </c>
      <c r="I353" s="5">
        <v>150500</v>
      </c>
      <c r="L353" s="5">
        <v>150500</v>
      </c>
      <c r="M353" s="5">
        <v>16125</v>
      </c>
      <c r="N353" s="5">
        <v>134375</v>
      </c>
    </row>
    <row r="354" spans="1:14">
      <c r="A354" s="24" t="s">
        <v>964</v>
      </c>
      <c r="B354" s="24" t="s">
        <v>915</v>
      </c>
      <c r="C354" s="24" t="s">
        <v>18</v>
      </c>
      <c r="D354" s="6">
        <v>0</v>
      </c>
      <c r="E354" s="24" t="s">
        <v>915</v>
      </c>
      <c r="F354" s="24" t="s">
        <v>180</v>
      </c>
      <c r="G354" s="24" t="s">
        <v>319</v>
      </c>
      <c r="H354" s="24" t="s">
        <v>965</v>
      </c>
      <c r="I354" s="5">
        <v>88000</v>
      </c>
      <c r="L354" s="5">
        <v>88000</v>
      </c>
      <c r="M354" s="5">
        <v>9428.57</v>
      </c>
      <c r="N354" s="5">
        <v>78571.429999999993</v>
      </c>
    </row>
    <row r="355" spans="1:14">
      <c r="A355" s="24" t="s">
        <v>966</v>
      </c>
      <c r="B355" s="24" t="s">
        <v>915</v>
      </c>
      <c r="C355" s="24" t="s">
        <v>18</v>
      </c>
      <c r="D355" s="6">
        <v>0</v>
      </c>
      <c r="E355" s="24" t="s">
        <v>915</v>
      </c>
      <c r="F355" s="24" t="s">
        <v>180</v>
      </c>
      <c r="G355" s="24" t="s">
        <v>319</v>
      </c>
      <c r="H355" s="24" t="s">
        <v>967</v>
      </c>
      <c r="I355" s="5">
        <v>241500</v>
      </c>
      <c r="L355" s="5">
        <v>241500</v>
      </c>
      <c r="M355" s="5">
        <v>25875</v>
      </c>
      <c r="N355" s="5">
        <v>215625</v>
      </c>
    </row>
    <row r="356" spans="1:14">
      <c r="A356" s="24" t="s">
        <v>968</v>
      </c>
      <c r="B356" s="24" t="s">
        <v>915</v>
      </c>
      <c r="C356" s="24" t="s">
        <v>779</v>
      </c>
      <c r="D356" s="6">
        <v>0</v>
      </c>
      <c r="E356" s="24" t="s">
        <v>915</v>
      </c>
      <c r="F356" s="24" t="s">
        <v>69</v>
      </c>
      <c r="G356" s="24" t="s">
        <v>780</v>
      </c>
      <c r="H356" s="24" t="s">
        <v>969</v>
      </c>
      <c r="I356" s="5">
        <v>600900</v>
      </c>
      <c r="L356" s="5">
        <v>600900</v>
      </c>
      <c r="M356" s="5">
        <v>64382.14</v>
      </c>
      <c r="N356" s="5">
        <v>536517.86</v>
      </c>
    </row>
    <row r="357" spans="1:14">
      <c r="A357" s="24" t="s">
        <v>970</v>
      </c>
      <c r="B357" s="24" t="s">
        <v>971</v>
      </c>
      <c r="C357" s="24" t="s">
        <v>972</v>
      </c>
      <c r="D357" s="6">
        <v>15</v>
      </c>
      <c r="E357" s="24" t="s">
        <v>296</v>
      </c>
      <c r="F357" s="24" t="s">
        <v>30</v>
      </c>
      <c r="G357" s="24" t="s">
        <v>973</v>
      </c>
      <c r="H357" s="24" t="s">
        <v>974</v>
      </c>
      <c r="I357" s="5">
        <v>45600</v>
      </c>
      <c r="L357" s="5">
        <v>45600</v>
      </c>
      <c r="M357" s="5">
        <v>4885.71</v>
      </c>
      <c r="N357" s="5">
        <v>40714.29</v>
      </c>
    </row>
    <row r="358" spans="1:14">
      <c r="A358" s="24" t="s">
        <v>975</v>
      </c>
      <c r="B358" s="24" t="s">
        <v>971</v>
      </c>
      <c r="C358" s="24" t="s">
        <v>98</v>
      </c>
      <c r="D358" s="6">
        <v>0</v>
      </c>
      <c r="E358" s="24" t="s">
        <v>971</v>
      </c>
      <c r="F358" s="24" t="s">
        <v>139</v>
      </c>
      <c r="G358" s="24" t="s">
        <v>976</v>
      </c>
      <c r="H358" s="24" t="s">
        <v>977</v>
      </c>
      <c r="I358" s="5">
        <v>221591</v>
      </c>
      <c r="L358" s="5">
        <v>221591</v>
      </c>
      <c r="M358" s="5">
        <v>23741.89</v>
      </c>
      <c r="N358" s="5">
        <v>197849.11</v>
      </c>
    </row>
    <row r="359" spans="1:14">
      <c r="A359" s="24" t="s">
        <v>978</v>
      </c>
      <c r="B359" s="24" t="s">
        <v>971</v>
      </c>
      <c r="C359" s="24" t="s">
        <v>18</v>
      </c>
      <c r="D359" s="6">
        <v>0</v>
      </c>
      <c r="E359" s="24" t="s">
        <v>971</v>
      </c>
      <c r="F359" s="24" t="s">
        <v>270</v>
      </c>
      <c r="G359" s="24" t="s">
        <v>979</v>
      </c>
      <c r="H359" s="24" t="s">
        <v>980</v>
      </c>
      <c r="I359" s="5">
        <v>515828.54</v>
      </c>
      <c r="L359" s="5">
        <v>515828.54</v>
      </c>
      <c r="M359" s="5">
        <v>55267.34</v>
      </c>
      <c r="N359" s="5">
        <v>460561.2</v>
      </c>
    </row>
    <row r="360" spans="1:14">
      <c r="A360" s="24" t="s">
        <v>981</v>
      </c>
      <c r="B360" s="24" t="s">
        <v>971</v>
      </c>
      <c r="C360" s="24" t="s">
        <v>18</v>
      </c>
      <c r="D360" s="6">
        <v>0</v>
      </c>
      <c r="E360" s="24" t="s">
        <v>971</v>
      </c>
      <c r="F360" s="24" t="s">
        <v>270</v>
      </c>
      <c r="G360" s="24" t="s">
        <v>979</v>
      </c>
      <c r="H360" s="24" t="s">
        <v>982</v>
      </c>
      <c r="I360" s="5">
        <v>951330</v>
      </c>
      <c r="L360" s="5">
        <v>951330</v>
      </c>
      <c r="M360" s="5">
        <v>101928.21</v>
      </c>
      <c r="N360" s="5">
        <v>849401.79</v>
      </c>
    </row>
    <row r="361" spans="1:14">
      <c r="A361" s="24" t="s">
        <v>983</v>
      </c>
      <c r="B361" s="24" t="s">
        <v>971</v>
      </c>
      <c r="C361" s="24" t="s">
        <v>60</v>
      </c>
      <c r="D361" s="6">
        <v>0</v>
      </c>
      <c r="E361" s="24" t="s">
        <v>971</v>
      </c>
      <c r="F361" s="24" t="s">
        <v>56</v>
      </c>
      <c r="G361" s="24" t="s">
        <v>190</v>
      </c>
      <c r="H361" s="24" t="s">
        <v>984</v>
      </c>
      <c r="I361" s="5">
        <v>2489.9</v>
      </c>
      <c r="L361" s="5">
        <v>2489.9</v>
      </c>
      <c r="M361" s="7">
        <v>266.77</v>
      </c>
      <c r="N361" s="5">
        <v>2223.13</v>
      </c>
    </row>
    <row r="362" spans="1:14">
      <c r="A362" s="24" t="s">
        <v>985</v>
      </c>
      <c r="B362" s="24" t="s">
        <v>971</v>
      </c>
      <c r="C362" s="24" t="s">
        <v>162</v>
      </c>
      <c r="D362" s="6">
        <v>90</v>
      </c>
      <c r="E362" s="24" t="s">
        <v>986</v>
      </c>
      <c r="F362" s="24" t="s">
        <v>759</v>
      </c>
      <c r="G362" s="24" t="s">
        <v>763</v>
      </c>
      <c r="H362" s="24" t="s">
        <v>987</v>
      </c>
      <c r="I362" s="5">
        <v>20070</v>
      </c>
      <c r="L362" s="5">
        <v>20070</v>
      </c>
      <c r="M362" s="5">
        <v>2150.36</v>
      </c>
      <c r="N362" s="5">
        <v>17919.64</v>
      </c>
    </row>
    <row r="363" spans="1:14">
      <c r="A363" s="24" t="s">
        <v>988</v>
      </c>
      <c r="B363" s="24" t="s">
        <v>971</v>
      </c>
      <c r="C363" s="24" t="s">
        <v>162</v>
      </c>
      <c r="D363" s="6">
        <v>90</v>
      </c>
      <c r="E363" s="24" t="s">
        <v>986</v>
      </c>
      <c r="F363" s="24" t="s">
        <v>759</v>
      </c>
      <c r="G363" s="24" t="s">
        <v>763</v>
      </c>
      <c r="H363" s="24" t="s">
        <v>989</v>
      </c>
      <c r="I363" s="5">
        <v>781060</v>
      </c>
      <c r="L363" s="5">
        <v>781060</v>
      </c>
      <c r="M363" s="5">
        <v>83685</v>
      </c>
      <c r="N363" s="5">
        <v>697375</v>
      </c>
    </row>
    <row r="364" spans="1:14">
      <c r="A364" s="24" t="s">
        <v>990</v>
      </c>
      <c r="B364" s="24" t="s">
        <v>971</v>
      </c>
      <c r="C364" s="24" t="s">
        <v>151</v>
      </c>
      <c r="D364" s="6">
        <v>60</v>
      </c>
      <c r="E364" s="24" t="s">
        <v>991</v>
      </c>
      <c r="F364" s="24" t="s">
        <v>69</v>
      </c>
      <c r="G364" s="24" t="s">
        <v>70</v>
      </c>
      <c r="H364" s="24" t="s">
        <v>992</v>
      </c>
      <c r="I364" s="5">
        <v>58800</v>
      </c>
      <c r="L364" s="5">
        <v>58800</v>
      </c>
      <c r="M364" s="5">
        <v>6300</v>
      </c>
      <c r="N364" s="5">
        <v>52500</v>
      </c>
    </row>
    <row r="365" spans="1:14">
      <c r="A365" s="24" t="s">
        <v>993</v>
      </c>
      <c r="B365" s="24" t="s">
        <v>971</v>
      </c>
      <c r="C365" s="24" t="s">
        <v>29</v>
      </c>
      <c r="D365" s="6">
        <v>0</v>
      </c>
      <c r="E365" s="24" t="s">
        <v>971</v>
      </c>
      <c r="F365" s="24" t="s">
        <v>139</v>
      </c>
      <c r="G365" s="24" t="s">
        <v>140</v>
      </c>
      <c r="H365" s="24" t="s">
        <v>994</v>
      </c>
      <c r="I365" s="5">
        <v>109780</v>
      </c>
      <c r="L365" s="5">
        <v>109780</v>
      </c>
      <c r="M365" s="5">
        <v>11762.14</v>
      </c>
      <c r="N365" s="5">
        <v>98017.86</v>
      </c>
    </row>
    <row r="366" spans="1:14">
      <c r="A366" s="24" t="s">
        <v>995</v>
      </c>
      <c r="B366" s="24" t="s">
        <v>971</v>
      </c>
      <c r="C366" s="24" t="s">
        <v>60</v>
      </c>
      <c r="D366" s="6">
        <v>0</v>
      </c>
      <c r="E366" s="24" t="s">
        <v>971</v>
      </c>
      <c r="F366" s="24" t="s">
        <v>56</v>
      </c>
      <c r="G366" s="24" t="s">
        <v>996</v>
      </c>
      <c r="H366" s="24" t="s">
        <v>997</v>
      </c>
      <c r="I366" s="5">
        <v>233990</v>
      </c>
      <c r="L366" s="5">
        <v>233990</v>
      </c>
      <c r="M366" s="5">
        <v>25070.36</v>
      </c>
      <c r="N366" s="5">
        <v>208919.64</v>
      </c>
    </row>
    <row r="367" spans="1:14">
      <c r="A367" s="24" t="s">
        <v>998</v>
      </c>
      <c r="B367" s="24" t="s">
        <v>971</v>
      </c>
      <c r="C367" s="24" t="s">
        <v>146</v>
      </c>
      <c r="D367" s="6">
        <v>90</v>
      </c>
      <c r="E367" s="24" t="s">
        <v>986</v>
      </c>
      <c r="F367" s="24" t="s">
        <v>36</v>
      </c>
      <c r="G367" s="24" t="s">
        <v>754</v>
      </c>
      <c r="H367" s="24" t="s">
        <v>999</v>
      </c>
      <c r="I367" s="5">
        <v>752500</v>
      </c>
      <c r="L367" s="5">
        <v>752500</v>
      </c>
      <c r="M367" s="5">
        <v>80625</v>
      </c>
      <c r="N367" s="5">
        <v>671875</v>
      </c>
    </row>
    <row r="368" spans="1:14">
      <c r="A368" s="24" t="s">
        <v>1000</v>
      </c>
      <c r="B368" s="24" t="s">
        <v>971</v>
      </c>
      <c r="C368" s="24" t="s">
        <v>34</v>
      </c>
      <c r="D368" s="6">
        <v>60</v>
      </c>
      <c r="E368" s="24" t="s">
        <v>991</v>
      </c>
      <c r="F368" s="24" t="s">
        <v>19</v>
      </c>
      <c r="G368" s="24" t="s">
        <v>287</v>
      </c>
      <c r="H368" s="24" t="s">
        <v>1001</v>
      </c>
      <c r="I368" s="5">
        <v>25200</v>
      </c>
      <c r="L368" s="5">
        <v>25200</v>
      </c>
      <c r="M368" s="5">
        <v>2700</v>
      </c>
      <c r="N368" s="5">
        <v>22500</v>
      </c>
    </row>
    <row r="369" spans="1:14">
      <c r="A369" s="24" t="s">
        <v>1002</v>
      </c>
      <c r="B369" s="24" t="s">
        <v>971</v>
      </c>
      <c r="C369" s="24" t="s">
        <v>60</v>
      </c>
      <c r="D369" s="6">
        <v>0</v>
      </c>
      <c r="E369" s="24" t="s">
        <v>971</v>
      </c>
      <c r="F369" s="24" t="s">
        <v>56</v>
      </c>
      <c r="G369" s="24" t="s">
        <v>1003</v>
      </c>
      <c r="H369" s="24" t="s">
        <v>1004</v>
      </c>
      <c r="I369" s="5">
        <v>1328544</v>
      </c>
      <c r="L369" s="5">
        <v>1328544</v>
      </c>
      <c r="M369" s="5">
        <v>142344</v>
      </c>
      <c r="N369" s="5">
        <v>1186200</v>
      </c>
    </row>
    <row r="370" spans="1:14">
      <c r="A370" s="24" t="s">
        <v>1005</v>
      </c>
      <c r="B370" s="24" t="s">
        <v>971</v>
      </c>
      <c r="C370" s="24" t="s">
        <v>60</v>
      </c>
      <c r="D370" s="6">
        <v>0</v>
      </c>
      <c r="E370" s="24" t="s">
        <v>971</v>
      </c>
      <c r="F370" s="24" t="s">
        <v>56</v>
      </c>
      <c r="G370" s="24" t="s">
        <v>1006</v>
      </c>
      <c r="H370" s="24" t="s">
        <v>1007</v>
      </c>
      <c r="I370" s="5">
        <v>78544</v>
      </c>
      <c r="L370" s="5">
        <v>78544</v>
      </c>
      <c r="M370" s="5">
        <v>8415.43</v>
      </c>
      <c r="N370" s="5">
        <v>70128.570000000007</v>
      </c>
    </row>
    <row r="371" spans="1:14">
      <c r="A371" s="24" t="s">
        <v>1008</v>
      </c>
      <c r="B371" s="24" t="s">
        <v>971</v>
      </c>
      <c r="C371" s="24" t="s">
        <v>104</v>
      </c>
      <c r="D371" s="6">
        <v>0</v>
      </c>
      <c r="E371" s="24" t="s">
        <v>971</v>
      </c>
      <c r="F371" s="24" t="s">
        <v>105</v>
      </c>
      <c r="G371" s="24" t="s">
        <v>274</v>
      </c>
      <c r="H371" s="24" t="s">
        <v>1009</v>
      </c>
      <c r="I371" s="5">
        <v>148747</v>
      </c>
      <c r="J371" s="4">
        <v>-2974.94</v>
      </c>
      <c r="L371" s="5">
        <v>145772.06</v>
      </c>
      <c r="M371" s="5">
        <v>15618.44</v>
      </c>
      <c r="N371" s="5">
        <v>130153.62</v>
      </c>
    </row>
    <row r="372" spans="1:14">
      <c r="A372" s="24" t="s">
        <v>1010</v>
      </c>
      <c r="B372" s="24" t="s">
        <v>971</v>
      </c>
      <c r="C372" s="24" t="s">
        <v>1011</v>
      </c>
      <c r="D372" s="6">
        <v>60</v>
      </c>
      <c r="E372" s="24" t="s">
        <v>991</v>
      </c>
      <c r="F372" s="24" t="s">
        <v>56</v>
      </c>
      <c r="G372" s="24" t="s">
        <v>1012</v>
      </c>
      <c r="H372" s="24" t="s">
        <v>1013</v>
      </c>
      <c r="I372" s="5">
        <v>168032</v>
      </c>
      <c r="L372" s="5">
        <v>168032</v>
      </c>
      <c r="M372" s="5">
        <v>18003.43</v>
      </c>
      <c r="N372" s="5">
        <v>150028.57</v>
      </c>
    </row>
    <row r="373" spans="1:14">
      <c r="A373" s="24" t="s">
        <v>1014</v>
      </c>
      <c r="B373" s="24" t="s">
        <v>971</v>
      </c>
      <c r="C373" s="24" t="s">
        <v>146</v>
      </c>
      <c r="D373" s="6">
        <v>90</v>
      </c>
      <c r="E373" s="24" t="s">
        <v>986</v>
      </c>
      <c r="F373" s="24" t="s">
        <v>69</v>
      </c>
      <c r="G373" s="24" t="s">
        <v>663</v>
      </c>
      <c r="H373" s="24" t="s">
        <v>1015</v>
      </c>
      <c r="I373" s="5">
        <v>367567.2</v>
      </c>
      <c r="L373" s="5">
        <v>367567.2</v>
      </c>
      <c r="M373" s="5">
        <v>39382.199999999997</v>
      </c>
      <c r="N373" s="5">
        <v>328185</v>
      </c>
    </row>
    <row r="374" spans="1:14">
      <c r="A374" s="24" t="s">
        <v>1016</v>
      </c>
      <c r="B374" s="24" t="s">
        <v>971</v>
      </c>
      <c r="C374" s="24" t="s">
        <v>1011</v>
      </c>
      <c r="D374" s="6">
        <v>60</v>
      </c>
      <c r="E374" s="24" t="s">
        <v>991</v>
      </c>
      <c r="F374" s="24" t="s">
        <v>56</v>
      </c>
      <c r="G374" s="24" t="s">
        <v>1012</v>
      </c>
      <c r="H374" s="24" t="s">
        <v>1017</v>
      </c>
      <c r="I374" s="5">
        <v>135474</v>
      </c>
      <c r="L374" s="5">
        <v>135474</v>
      </c>
      <c r="M374" s="5">
        <v>14515.07</v>
      </c>
      <c r="N374" s="5">
        <v>120958.93</v>
      </c>
    </row>
    <row r="375" spans="1:14">
      <c r="A375" s="24" t="s">
        <v>1018</v>
      </c>
      <c r="B375" s="24" t="s">
        <v>971</v>
      </c>
      <c r="C375" s="24" t="s">
        <v>1011</v>
      </c>
      <c r="D375" s="6">
        <v>60</v>
      </c>
      <c r="E375" s="24" t="s">
        <v>991</v>
      </c>
      <c r="F375" s="24" t="s">
        <v>56</v>
      </c>
      <c r="G375" s="24" t="s">
        <v>1012</v>
      </c>
      <c r="H375" s="24" t="s">
        <v>1019</v>
      </c>
      <c r="I375" s="5">
        <v>75614</v>
      </c>
      <c r="L375" s="5">
        <v>75614</v>
      </c>
      <c r="M375" s="5">
        <v>8101.5</v>
      </c>
      <c r="N375" s="5">
        <v>67512.5</v>
      </c>
    </row>
    <row r="376" spans="1:14">
      <c r="A376" s="24" t="s">
        <v>1020</v>
      </c>
      <c r="B376" s="24" t="s">
        <v>971</v>
      </c>
      <c r="C376" s="24" t="s">
        <v>1011</v>
      </c>
      <c r="D376" s="6">
        <v>60</v>
      </c>
      <c r="E376" s="24" t="s">
        <v>991</v>
      </c>
      <c r="F376" s="24" t="s">
        <v>56</v>
      </c>
      <c r="G376" s="24" t="s">
        <v>1012</v>
      </c>
      <c r="H376" s="24" t="s">
        <v>1021</v>
      </c>
      <c r="I376" s="5">
        <v>168032</v>
      </c>
      <c r="L376" s="5">
        <v>168032</v>
      </c>
      <c r="M376" s="5">
        <v>18003.43</v>
      </c>
      <c r="N376" s="5">
        <v>150028.57</v>
      </c>
    </row>
    <row r="377" spans="1:14">
      <c r="A377" s="24" t="s">
        <v>1022</v>
      </c>
      <c r="B377" s="24" t="s">
        <v>971</v>
      </c>
      <c r="C377" s="24" t="s">
        <v>162</v>
      </c>
      <c r="D377" s="6">
        <v>90</v>
      </c>
      <c r="E377" s="24" t="s">
        <v>986</v>
      </c>
      <c r="F377" s="24" t="s">
        <v>19</v>
      </c>
      <c r="G377" s="24" t="s">
        <v>543</v>
      </c>
      <c r="H377" s="24" t="s">
        <v>1023</v>
      </c>
      <c r="I377" s="5">
        <v>386992</v>
      </c>
      <c r="L377" s="5">
        <v>386992</v>
      </c>
      <c r="M377" s="5">
        <v>41463.43</v>
      </c>
      <c r="N377" s="5">
        <v>345528.57</v>
      </c>
    </row>
    <row r="378" spans="1:14">
      <c r="A378" s="24" t="s">
        <v>1024</v>
      </c>
      <c r="B378" s="24" t="s">
        <v>971</v>
      </c>
      <c r="C378" s="24" t="s">
        <v>151</v>
      </c>
      <c r="D378" s="6">
        <v>60</v>
      </c>
      <c r="E378" s="24" t="s">
        <v>991</v>
      </c>
      <c r="F378" s="24" t="s">
        <v>69</v>
      </c>
      <c r="G378" s="24" t="s">
        <v>1025</v>
      </c>
      <c r="H378" s="24" t="s">
        <v>1026</v>
      </c>
      <c r="I378" s="5">
        <v>28145</v>
      </c>
      <c r="L378" s="5">
        <v>28145</v>
      </c>
      <c r="M378" s="5">
        <v>3015.54</v>
      </c>
      <c r="N378" s="5">
        <v>25129.46</v>
      </c>
    </row>
    <row r="379" spans="1:14">
      <c r="A379" s="24" t="s">
        <v>1027</v>
      </c>
      <c r="B379" s="24" t="s">
        <v>971</v>
      </c>
      <c r="C379" s="24" t="s">
        <v>151</v>
      </c>
      <c r="D379" s="6">
        <v>60</v>
      </c>
      <c r="E379" s="24" t="s">
        <v>991</v>
      </c>
      <c r="F379" s="24" t="s">
        <v>69</v>
      </c>
      <c r="G379" s="24" t="s">
        <v>1025</v>
      </c>
      <c r="H379" s="24" t="s">
        <v>1028</v>
      </c>
      <c r="I379" s="5">
        <v>54780</v>
      </c>
      <c r="L379" s="5">
        <v>54780</v>
      </c>
      <c r="M379" s="5">
        <v>5869.29</v>
      </c>
      <c r="N379" s="5">
        <v>48910.71</v>
      </c>
    </row>
    <row r="380" spans="1:14">
      <c r="A380" s="24" t="s">
        <v>1029</v>
      </c>
      <c r="B380" s="24" t="s">
        <v>971</v>
      </c>
      <c r="C380" s="24" t="s">
        <v>151</v>
      </c>
      <c r="D380" s="6">
        <v>60</v>
      </c>
      <c r="E380" s="24" t="s">
        <v>991</v>
      </c>
      <c r="F380" s="24" t="s">
        <v>69</v>
      </c>
      <c r="G380" s="24" t="s">
        <v>1025</v>
      </c>
      <c r="H380" s="24" t="s">
        <v>1030</v>
      </c>
      <c r="I380" s="5">
        <v>21925</v>
      </c>
      <c r="L380" s="5">
        <v>21925</v>
      </c>
      <c r="M380" s="5">
        <v>2349.11</v>
      </c>
      <c r="N380" s="5">
        <v>19575.89</v>
      </c>
    </row>
    <row r="381" spans="1:14">
      <c r="A381" s="24" t="s">
        <v>1031</v>
      </c>
      <c r="B381" s="24" t="s">
        <v>971</v>
      </c>
      <c r="C381" s="24" t="s">
        <v>237</v>
      </c>
      <c r="D381" s="6">
        <v>60</v>
      </c>
      <c r="E381" s="24" t="s">
        <v>991</v>
      </c>
      <c r="F381" s="24" t="s">
        <v>69</v>
      </c>
      <c r="G381" s="24" t="s">
        <v>1025</v>
      </c>
      <c r="H381" s="24" t="s">
        <v>1032</v>
      </c>
      <c r="I381" s="5">
        <v>98130</v>
      </c>
      <c r="L381" s="5">
        <v>98130</v>
      </c>
      <c r="M381" s="5">
        <v>10513.93</v>
      </c>
      <c r="N381" s="5">
        <v>87616.07</v>
      </c>
    </row>
    <row r="382" spans="1:14">
      <c r="A382" s="24" t="s">
        <v>1033</v>
      </c>
      <c r="B382" s="24" t="s">
        <v>971</v>
      </c>
      <c r="C382" s="24" t="s">
        <v>60</v>
      </c>
      <c r="D382" s="6">
        <v>0</v>
      </c>
      <c r="E382" s="24" t="s">
        <v>971</v>
      </c>
      <c r="F382" s="24" t="s">
        <v>56</v>
      </c>
      <c r="G382" s="24" t="s">
        <v>190</v>
      </c>
      <c r="H382" s="24" t="s">
        <v>1034</v>
      </c>
      <c r="I382" s="5">
        <v>165070.72</v>
      </c>
      <c r="L382" s="5">
        <v>165070.72</v>
      </c>
      <c r="M382" s="5">
        <v>17686.150000000001</v>
      </c>
      <c r="N382" s="5">
        <v>147384.57</v>
      </c>
    </row>
    <row r="383" spans="1:14">
      <c r="A383" s="24" t="s">
        <v>1035</v>
      </c>
      <c r="B383" s="24" t="s">
        <v>971</v>
      </c>
      <c r="C383" s="24" t="s">
        <v>162</v>
      </c>
      <c r="D383" s="6">
        <v>90</v>
      </c>
      <c r="E383" s="24" t="s">
        <v>986</v>
      </c>
      <c r="F383" s="24" t="s">
        <v>36</v>
      </c>
      <c r="G383" s="24" t="s">
        <v>193</v>
      </c>
      <c r="H383" s="24" t="s">
        <v>1036</v>
      </c>
      <c r="I383" s="5">
        <v>69000</v>
      </c>
      <c r="L383" s="5">
        <v>69000</v>
      </c>
      <c r="M383" s="5">
        <v>7392.86</v>
      </c>
      <c r="N383" s="5">
        <v>61607.14</v>
      </c>
    </row>
    <row r="384" spans="1:14">
      <c r="A384" s="24" t="s">
        <v>1037</v>
      </c>
      <c r="B384" s="24" t="s">
        <v>971</v>
      </c>
      <c r="C384" s="24" t="s">
        <v>146</v>
      </c>
      <c r="D384" s="6">
        <v>90</v>
      </c>
      <c r="E384" s="24" t="s">
        <v>986</v>
      </c>
      <c r="F384" s="24" t="s">
        <v>139</v>
      </c>
      <c r="G384" s="24" t="s">
        <v>1038</v>
      </c>
      <c r="H384" s="24" t="s">
        <v>1039</v>
      </c>
      <c r="I384" s="5">
        <v>297555</v>
      </c>
      <c r="L384" s="5">
        <v>297555</v>
      </c>
      <c r="M384" s="5">
        <v>31880.89</v>
      </c>
      <c r="N384" s="5">
        <v>265674.11</v>
      </c>
    </row>
    <row r="385" spans="1:14">
      <c r="A385" s="24" t="s">
        <v>1040</v>
      </c>
      <c r="B385" s="24" t="s">
        <v>971</v>
      </c>
      <c r="C385" s="24" t="s">
        <v>146</v>
      </c>
      <c r="D385" s="6">
        <v>90</v>
      </c>
      <c r="E385" s="24" t="s">
        <v>986</v>
      </c>
      <c r="F385" s="24" t="s">
        <v>139</v>
      </c>
      <c r="G385" s="24" t="s">
        <v>1038</v>
      </c>
      <c r="H385" s="24" t="s">
        <v>1041</v>
      </c>
      <c r="I385" s="5">
        <v>768251</v>
      </c>
      <c r="L385" s="5">
        <v>768251</v>
      </c>
      <c r="M385" s="5">
        <v>82312.61</v>
      </c>
      <c r="N385" s="5">
        <v>685938.39</v>
      </c>
    </row>
    <row r="386" spans="1:14">
      <c r="A386" s="24" t="s">
        <v>1042</v>
      </c>
      <c r="B386" s="24" t="s">
        <v>971</v>
      </c>
      <c r="C386" s="24" t="s">
        <v>94</v>
      </c>
      <c r="D386" s="6">
        <v>0</v>
      </c>
      <c r="E386" s="24" t="s">
        <v>971</v>
      </c>
      <c r="F386" s="24" t="s">
        <v>139</v>
      </c>
      <c r="G386" s="24" t="s">
        <v>1043</v>
      </c>
      <c r="H386" s="24" t="s">
        <v>1044</v>
      </c>
      <c r="I386" s="5">
        <v>166626.75</v>
      </c>
      <c r="L386" s="5">
        <v>166626.75</v>
      </c>
      <c r="M386" s="5">
        <v>17852.87</v>
      </c>
      <c r="N386" s="5">
        <v>148773.88</v>
      </c>
    </row>
    <row r="387" spans="1:14">
      <c r="A387" s="24" t="s">
        <v>1045</v>
      </c>
      <c r="B387" s="24" t="s">
        <v>971</v>
      </c>
      <c r="C387" s="24" t="s">
        <v>18</v>
      </c>
      <c r="D387" s="6">
        <v>0</v>
      </c>
      <c r="E387" s="24" t="s">
        <v>971</v>
      </c>
      <c r="F387" s="24" t="s">
        <v>56</v>
      </c>
      <c r="G387" s="24" t="s">
        <v>412</v>
      </c>
      <c r="H387" s="24" t="s">
        <v>1046</v>
      </c>
      <c r="I387" s="5">
        <v>965019</v>
      </c>
      <c r="J387" s="4">
        <v>-28950.57</v>
      </c>
      <c r="L387" s="5">
        <v>936068.43</v>
      </c>
      <c r="M387" s="5">
        <v>100293.05</v>
      </c>
      <c r="N387" s="5">
        <v>835775.38</v>
      </c>
    </row>
    <row r="388" spans="1:14">
      <c r="A388" s="24" t="s">
        <v>1047</v>
      </c>
      <c r="B388" s="24" t="s">
        <v>1048</v>
      </c>
      <c r="C388" s="24" t="s">
        <v>60</v>
      </c>
      <c r="D388" s="6">
        <v>0</v>
      </c>
      <c r="E388" s="24" t="s">
        <v>1048</v>
      </c>
      <c r="F388" s="24" t="s">
        <v>139</v>
      </c>
      <c r="G388" s="24" t="s">
        <v>449</v>
      </c>
      <c r="H388" s="24" t="s">
        <v>1049</v>
      </c>
      <c r="I388" s="5">
        <v>17072</v>
      </c>
      <c r="L388" s="5">
        <v>17072</v>
      </c>
      <c r="M388" s="5">
        <v>1829.14</v>
      </c>
      <c r="N388" s="5">
        <v>15242.86</v>
      </c>
    </row>
    <row r="389" spans="1:14">
      <c r="A389" s="24" t="s">
        <v>1050</v>
      </c>
      <c r="B389" s="24" t="s">
        <v>1048</v>
      </c>
      <c r="C389" s="24" t="s">
        <v>60</v>
      </c>
      <c r="D389" s="6">
        <v>0</v>
      </c>
      <c r="E389" s="24" t="s">
        <v>1048</v>
      </c>
      <c r="F389" s="24" t="s">
        <v>139</v>
      </c>
      <c r="G389" s="24" t="s">
        <v>449</v>
      </c>
      <c r="H389" s="24" t="s">
        <v>1051</v>
      </c>
      <c r="I389" s="5">
        <v>17020</v>
      </c>
      <c r="L389" s="5">
        <v>17020</v>
      </c>
      <c r="M389" s="5">
        <v>1823.57</v>
      </c>
      <c r="N389" s="5">
        <v>15196.43</v>
      </c>
    </row>
    <row r="390" spans="1:14">
      <c r="A390" s="24" t="s">
        <v>1052</v>
      </c>
      <c r="B390" s="24" t="s">
        <v>1048</v>
      </c>
      <c r="C390" s="24" t="s">
        <v>29</v>
      </c>
      <c r="D390" s="6">
        <v>0</v>
      </c>
      <c r="E390" s="24" t="s">
        <v>1048</v>
      </c>
      <c r="F390" s="24" t="s">
        <v>30</v>
      </c>
      <c r="G390" s="24" t="s">
        <v>31</v>
      </c>
      <c r="H390" s="24" t="s">
        <v>1053</v>
      </c>
      <c r="I390" s="5">
        <v>142620</v>
      </c>
      <c r="L390" s="5">
        <v>142620</v>
      </c>
      <c r="M390" s="5">
        <v>15280.71</v>
      </c>
      <c r="N390" s="5">
        <v>127339.29</v>
      </c>
    </row>
    <row r="391" spans="1:14">
      <c r="A391" s="24" t="s">
        <v>1054</v>
      </c>
      <c r="B391" s="24" t="s">
        <v>1048</v>
      </c>
      <c r="C391" s="24" t="s">
        <v>1055</v>
      </c>
      <c r="D391" s="6">
        <v>30</v>
      </c>
      <c r="E391" s="24" t="s">
        <v>1056</v>
      </c>
      <c r="F391" s="24" t="s">
        <v>56</v>
      </c>
      <c r="G391" s="24" t="s">
        <v>1057</v>
      </c>
      <c r="H391" s="24" t="s">
        <v>1058</v>
      </c>
      <c r="I391" s="5">
        <v>19740</v>
      </c>
      <c r="L391" s="5">
        <v>19740</v>
      </c>
      <c r="M391" s="5">
        <v>2115</v>
      </c>
      <c r="N391" s="5">
        <v>17625</v>
      </c>
    </row>
    <row r="392" spans="1:14">
      <c r="A392" s="24" t="s">
        <v>1059</v>
      </c>
      <c r="B392" s="24" t="s">
        <v>1048</v>
      </c>
      <c r="C392" s="24" t="s">
        <v>23</v>
      </c>
      <c r="D392" s="6">
        <v>30</v>
      </c>
      <c r="E392" s="24" t="s">
        <v>1056</v>
      </c>
      <c r="F392" s="24" t="s">
        <v>180</v>
      </c>
      <c r="G392" s="24" t="s">
        <v>224</v>
      </c>
      <c r="H392" s="24" t="s">
        <v>1060</v>
      </c>
      <c r="I392" s="5">
        <v>50400</v>
      </c>
      <c r="L392" s="5">
        <v>50400</v>
      </c>
      <c r="M392" s="5">
        <v>5400</v>
      </c>
      <c r="N392" s="5">
        <v>45000</v>
      </c>
    </row>
    <row r="393" spans="1:14">
      <c r="A393" s="24" t="s">
        <v>1061</v>
      </c>
      <c r="B393" s="24" t="s">
        <v>1048</v>
      </c>
      <c r="C393" s="24" t="s">
        <v>23</v>
      </c>
      <c r="D393" s="6">
        <v>30</v>
      </c>
      <c r="E393" s="24" t="s">
        <v>1056</v>
      </c>
      <c r="F393" s="24" t="s">
        <v>180</v>
      </c>
      <c r="G393" s="24" t="s">
        <v>224</v>
      </c>
      <c r="H393" s="24" t="s">
        <v>1062</v>
      </c>
      <c r="I393" s="5">
        <v>22900</v>
      </c>
      <c r="L393" s="5">
        <v>22900</v>
      </c>
      <c r="M393" s="5">
        <v>2453.5700000000002</v>
      </c>
      <c r="N393" s="5">
        <v>20446.43</v>
      </c>
    </row>
    <row r="394" spans="1:14">
      <c r="A394" s="24" t="s">
        <v>1063</v>
      </c>
      <c r="B394" s="24" t="s">
        <v>1048</v>
      </c>
      <c r="C394" s="24" t="s">
        <v>167</v>
      </c>
      <c r="D394" s="6">
        <v>90</v>
      </c>
      <c r="E394" s="24" t="s">
        <v>1064</v>
      </c>
      <c r="F394" s="24" t="s">
        <v>56</v>
      </c>
      <c r="G394" s="24" t="s">
        <v>190</v>
      </c>
      <c r="H394" s="24" t="s">
        <v>1065</v>
      </c>
      <c r="I394" s="5">
        <v>191136</v>
      </c>
      <c r="L394" s="5">
        <v>191136</v>
      </c>
      <c r="M394" s="5">
        <v>20478.86</v>
      </c>
      <c r="N394" s="5">
        <v>170657.14</v>
      </c>
    </row>
    <row r="395" spans="1:14">
      <c r="A395" s="24" t="s">
        <v>1066</v>
      </c>
      <c r="B395" s="24" t="s">
        <v>1048</v>
      </c>
      <c r="C395" s="24" t="s">
        <v>151</v>
      </c>
      <c r="D395" s="6">
        <v>60</v>
      </c>
      <c r="E395" s="24" t="s">
        <v>1067</v>
      </c>
      <c r="F395" s="24" t="s">
        <v>56</v>
      </c>
      <c r="G395" s="24" t="s">
        <v>152</v>
      </c>
      <c r="H395" s="24" t="s">
        <v>1068</v>
      </c>
      <c r="I395" s="5">
        <v>68700</v>
      </c>
      <c r="L395" s="5">
        <v>68700</v>
      </c>
      <c r="M395" s="5">
        <v>7360.71</v>
      </c>
      <c r="N395" s="5">
        <v>61339.29</v>
      </c>
    </row>
    <row r="396" spans="1:14">
      <c r="A396" s="24" t="s">
        <v>1069</v>
      </c>
      <c r="B396" s="24" t="s">
        <v>1048</v>
      </c>
      <c r="C396" s="24" t="s">
        <v>151</v>
      </c>
      <c r="D396" s="6">
        <v>60</v>
      </c>
      <c r="E396" s="24" t="s">
        <v>1067</v>
      </c>
      <c r="F396" s="24" t="s">
        <v>56</v>
      </c>
      <c r="G396" s="24" t="s">
        <v>152</v>
      </c>
      <c r="H396" s="24" t="s">
        <v>1070</v>
      </c>
      <c r="I396" s="5">
        <v>7841</v>
      </c>
      <c r="L396" s="5">
        <v>7841</v>
      </c>
      <c r="M396" s="7">
        <v>840.11</v>
      </c>
      <c r="N396" s="5">
        <v>7000.89</v>
      </c>
    </row>
    <row r="397" spans="1:14">
      <c r="A397" s="24" t="s">
        <v>1071</v>
      </c>
      <c r="B397" s="24" t="s">
        <v>1048</v>
      </c>
      <c r="C397" s="24" t="s">
        <v>60</v>
      </c>
      <c r="D397" s="6">
        <v>0</v>
      </c>
      <c r="E397" s="24" t="s">
        <v>1048</v>
      </c>
      <c r="F397" s="24" t="s">
        <v>46</v>
      </c>
      <c r="G397" s="24" t="s">
        <v>129</v>
      </c>
      <c r="H397" s="24" t="s">
        <v>1072</v>
      </c>
      <c r="I397" s="5">
        <v>67468</v>
      </c>
      <c r="J397" s="4">
        <v>-1349.36</v>
      </c>
      <c r="L397" s="5">
        <v>66118.64</v>
      </c>
      <c r="M397" s="5">
        <v>7084.14</v>
      </c>
      <c r="N397" s="5">
        <v>59034.5</v>
      </c>
    </row>
    <row r="398" spans="1:14">
      <c r="A398" s="24" t="s">
        <v>1073</v>
      </c>
      <c r="B398" s="24" t="s">
        <v>1048</v>
      </c>
      <c r="C398" s="24" t="s">
        <v>1074</v>
      </c>
      <c r="D398" s="6">
        <v>0</v>
      </c>
      <c r="E398" s="24" t="s">
        <v>1048</v>
      </c>
      <c r="F398" s="24" t="s">
        <v>56</v>
      </c>
      <c r="G398" s="24" t="s">
        <v>1075</v>
      </c>
      <c r="H398" s="24" t="s">
        <v>1076</v>
      </c>
      <c r="I398" s="5">
        <v>919820</v>
      </c>
      <c r="J398" s="4">
        <v>-18396.400000000001</v>
      </c>
      <c r="L398" s="5">
        <v>901423.6</v>
      </c>
      <c r="M398" s="5">
        <v>96581.1</v>
      </c>
      <c r="N398" s="5">
        <v>804842.5</v>
      </c>
    </row>
    <row r="399" spans="1:14">
      <c r="A399" s="24" t="s">
        <v>1077</v>
      </c>
      <c r="B399" s="24" t="s">
        <v>1048</v>
      </c>
      <c r="C399" s="24" t="s">
        <v>73</v>
      </c>
      <c r="D399" s="6">
        <v>30</v>
      </c>
      <c r="E399" s="24" t="s">
        <v>1056</v>
      </c>
      <c r="F399" s="24" t="s">
        <v>46</v>
      </c>
      <c r="G399" s="24" t="s">
        <v>1078</v>
      </c>
      <c r="H399" s="24" t="s">
        <v>1079</v>
      </c>
      <c r="I399" s="5">
        <v>138000</v>
      </c>
      <c r="L399" s="5">
        <v>138000</v>
      </c>
      <c r="M399" s="5">
        <v>14785.71</v>
      </c>
      <c r="N399" s="5">
        <v>123214.29</v>
      </c>
    </row>
    <row r="400" spans="1:14">
      <c r="A400" s="24" t="s">
        <v>1080</v>
      </c>
      <c r="B400" s="24" t="s">
        <v>1048</v>
      </c>
      <c r="C400" s="24" t="s">
        <v>73</v>
      </c>
      <c r="D400" s="6">
        <v>30</v>
      </c>
      <c r="E400" s="24" t="s">
        <v>1056</v>
      </c>
      <c r="F400" s="24" t="s">
        <v>46</v>
      </c>
      <c r="G400" s="24" t="s">
        <v>1078</v>
      </c>
      <c r="H400" s="24" t="s">
        <v>1081</v>
      </c>
      <c r="I400" s="5">
        <v>136000</v>
      </c>
      <c r="L400" s="5">
        <v>136000</v>
      </c>
      <c r="M400" s="5">
        <v>14571.43</v>
      </c>
      <c r="N400" s="5">
        <v>121428.57</v>
      </c>
    </row>
    <row r="401" spans="1:14">
      <c r="A401" s="24" t="s">
        <v>1082</v>
      </c>
      <c r="B401" s="24" t="s">
        <v>1048</v>
      </c>
      <c r="C401" s="24" t="s">
        <v>60</v>
      </c>
      <c r="D401" s="6">
        <v>0</v>
      </c>
      <c r="E401" s="24" t="s">
        <v>1048</v>
      </c>
      <c r="F401" s="24" t="s">
        <v>625</v>
      </c>
      <c r="G401" s="24" t="s">
        <v>1083</v>
      </c>
      <c r="H401" s="24" t="s">
        <v>1084</v>
      </c>
      <c r="I401" s="5">
        <v>94908</v>
      </c>
      <c r="J401" s="4">
        <v>-1898.16</v>
      </c>
      <c r="L401" s="5">
        <v>93009.84</v>
      </c>
      <c r="M401" s="5">
        <v>9965.34</v>
      </c>
      <c r="N401" s="5">
        <v>83044.5</v>
      </c>
    </row>
    <row r="402" spans="1:14">
      <c r="A402" s="24" t="s">
        <v>1085</v>
      </c>
      <c r="B402" s="24" t="s">
        <v>1048</v>
      </c>
      <c r="C402" s="24" t="s">
        <v>1074</v>
      </c>
      <c r="D402" s="6">
        <v>0</v>
      </c>
      <c r="E402" s="24" t="s">
        <v>1048</v>
      </c>
      <c r="F402" s="24" t="s">
        <v>56</v>
      </c>
      <c r="G402" s="24" t="s">
        <v>1075</v>
      </c>
      <c r="H402" s="24" t="s">
        <v>1076</v>
      </c>
      <c r="I402" s="5">
        <v>919820</v>
      </c>
      <c r="J402" s="4">
        <v>-18396.400000000001</v>
      </c>
      <c r="L402" s="5">
        <v>901423.6</v>
      </c>
      <c r="M402" s="5">
        <v>96581.1</v>
      </c>
      <c r="N402" s="5">
        <v>804842.5</v>
      </c>
    </row>
    <row r="403" spans="1:14">
      <c r="A403" s="24" t="s">
        <v>1086</v>
      </c>
      <c r="B403" s="24" t="s">
        <v>1048</v>
      </c>
      <c r="C403" s="24" t="s">
        <v>29</v>
      </c>
      <c r="D403" s="6">
        <v>0</v>
      </c>
      <c r="E403" s="24" t="s">
        <v>1048</v>
      </c>
      <c r="F403" s="24" t="s">
        <v>30</v>
      </c>
      <c r="G403" s="24" t="s">
        <v>31</v>
      </c>
      <c r="H403" s="24" t="s">
        <v>1087</v>
      </c>
      <c r="I403" s="5">
        <v>1840</v>
      </c>
      <c r="L403" s="5">
        <v>1840</v>
      </c>
      <c r="M403" s="7">
        <v>197.14</v>
      </c>
      <c r="N403" s="5">
        <v>1642.86</v>
      </c>
    </row>
    <row r="404" spans="1:14">
      <c r="A404" s="24" t="s">
        <v>1088</v>
      </c>
      <c r="B404" s="24" t="s">
        <v>1048</v>
      </c>
      <c r="C404" s="24" t="s">
        <v>29</v>
      </c>
      <c r="D404" s="6">
        <v>0</v>
      </c>
      <c r="E404" s="24" t="s">
        <v>1048</v>
      </c>
      <c r="F404" s="24" t="s">
        <v>30</v>
      </c>
      <c r="G404" s="24" t="s">
        <v>155</v>
      </c>
      <c r="H404" s="24" t="s">
        <v>1089</v>
      </c>
      <c r="I404" s="5">
        <v>39208</v>
      </c>
      <c r="L404" s="5">
        <v>39208</v>
      </c>
      <c r="M404" s="5">
        <v>4200.8599999999997</v>
      </c>
      <c r="N404" s="5">
        <v>35007.14</v>
      </c>
    </row>
    <row r="405" spans="1:14">
      <c r="A405" s="24" t="s">
        <v>1090</v>
      </c>
      <c r="B405" s="24" t="s">
        <v>1048</v>
      </c>
      <c r="C405" s="24" t="s">
        <v>29</v>
      </c>
      <c r="D405" s="6">
        <v>0</v>
      </c>
      <c r="E405" s="24" t="s">
        <v>1048</v>
      </c>
      <c r="F405" s="24" t="s">
        <v>30</v>
      </c>
      <c r="G405" s="24" t="s">
        <v>31</v>
      </c>
      <c r="H405" s="24" t="s">
        <v>1091</v>
      </c>
      <c r="I405" s="5">
        <v>244000</v>
      </c>
      <c r="L405" s="5">
        <v>244000</v>
      </c>
      <c r="M405" s="5">
        <v>26142.86</v>
      </c>
      <c r="N405" s="5">
        <v>217857.14</v>
      </c>
    </row>
    <row r="406" spans="1:14">
      <c r="A406" s="24" t="s">
        <v>1092</v>
      </c>
      <c r="B406" s="24" t="s">
        <v>1048</v>
      </c>
      <c r="C406" s="24" t="s">
        <v>60</v>
      </c>
      <c r="D406" s="6">
        <v>0</v>
      </c>
      <c r="E406" s="24" t="s">
        <v>1048</v>
      </c>
      <c r="F406" s="24" t="s">
        <v>1093</v>
      </c>
      <c r="G406" s="24" t="s">
        <v>1094</v>
      </c>
      <c r="H406" s="24" t="s">
        <v>1095</v>
      </c>
      <c r="I406" s="5">
        <v>220540</v>
      </c>
      <c r="L406" s="5">
        <v>220540</v>
      </c>
      <c r="M406" s="5">
        <v>23629.29</v>
      </c>
      <c r="N406" s="5">
        <v>196910.71</v>
      </c>
    </row>
    <row r="407" spans="1:14">
      <c r="A407" s="24" t="s">
        <v>1096</v>
      </c>
      <c r="B407" s="24" t="s">
        <v>1048</v>
      </c>
      <c r="C407" s="24" t="s">
        <v>60</v>
      </c>
      <c r="D407" s="6">
        <v>0</v>
      </c>
      <c r="E407" s="24" t="s">
        <v>1048</v>
      </c>
      <c r="F407" s="24" t="s">
        <v>139</v>
      </c>
      <c r="G407" s="24" t="s">
        <v>1097</v>
      </c>
      <c r="H407" s="24" t="s">
        <v>1098</v>
      </c>
      <c r="I407" s="5">
        <v>106000</v>
      </c>
      <c r="L407" s="5">
        <v>106000</v>
      </c>
      <c r="M407" s="5">
        <v>11357.14</v>
      </c>
      <c r="N407" s="5">
        <v>94642.86</v>
      </c>
    </row>
    <row r="408" spans="1:14">
      <c r="A408" s="24" t="s">
        <v>1099</v>
      </c>
      <c r="B408" s="24" t="s">
        <v>1048</v>
      </c>
      <c r="C408" s="24" t="s">
        <v>60</v>
      </c>
      <c r="D408" s="6">
        <v>0</v>
      </c>
      <c r="E408" s="24" t="s">
        <v>1048</v>
      </c>
      <c r="F408" s="24" t="s">
        <v>139</v>
      </c>
      <c r="G408" s="24" t="s">
        <v>1097</v>
      </c>
      <c r="H408" s="24" t="s">
        <v>1100</v>
      </c>
      <c r="I408" s="5">
        <v>265000</v>
      </c>
      <c r="L408" s="5">
        <v>265000</v>
      </c>
      <c r="M408" s="5">
        <v>28392.86</v>
      </c>
      <c r="N408" s="5">
        <v>236607.14</v>
      </c>
    </row>
    <row r="409" spans="1:14">
      <c r="A409" s="24" t="s">
        <v>1101</v>
      </c>
      <c r="B409" s="24" t="s">
        <v>1048</v>
      </c>
      <c r="C409" s="24" t="s">
        <v>1102</v>
      </c>
      <c r="D409" s="6">
        <v>60</v>
      </c>
      <c r="E409" s="24" t="s">
        <v>1067</v>
      </c>
      <c r="F409" s="24" t="s">
        <v>46</v>
      </c>
      <c r="G409" s="24" t="s">
        <v>787</v>
      </c>
      <c r="H409" s="24" t="s">
        <v>1103</v>
      </c>
      <c r="I409" s="5">
        <v>970898</v>
      </c>
      <c r="L409" s="5">
        <v>970898</v>
      </c>
      <c r="M409" s="5">
        <v>104024.79</v>
      </c>
      <c r="N409" s="5">
        <v>866873.21</v>
      </c>
    </row>
    <row r="410" spans="1:14">
      <c r="A410" s="24" t="s">
        <v>1104</v>
      </c>
      <c r="B410" s="24" t="s">
        <v>1048</v>
      </c>
      <c r="C410" s="24" t="s">
        <v>73</v>
      </c>
      <c r="D410" s="6">
        <v>30</v>
      </c>
      <c r="E410" s="24" t="s">
        <v>1056</v>
      </c>
      <c r="F410" s="24" t="s">
        <v>19</v>
      </c>
      <c r="G410" s="24" t="s">
        <v>267</v>
      </c>
      <c r="H410" s="24" t="s">
        <v>1105</v>
      </c>
      <c r="I410" s="5">
        <v>204680</v>
      </c>
      <c r="K410" s="5">
        <v>17000</v>
      </c>
      <c r="L410" s="5">
        <v>221680</v>
      </c>
      <c r="M410" s="5">
        <v>23751.43</v>
      </c>
      <c r="N410" s="5">
        <v>197928.57</v>
      </c>
    </row>
    <row r="411" spans="1:14">
      <c r="A411" s="24" t="s">
        <v>1106</v>
      </c>
      <c r="B411" s="24" t="s">
        <v>1048</v>
      </c>
      <c r="C411" s="24" t="s">
        <v>73</v>
      </c>
      <c r="D411" s="6">
        <v>30</v>
      </c>
      <c r="E411" s="24" t="s">
        <v>1056</v>
      </c>
      <c r="F411" s="24" t="s">
        <v>19</v>
      </c>
      <c r="G411" s="24" t="s">
        <v>267</v>
      </c>
      <c r="H411" s="24" t="s">
        <v>1107</v>
      </c>
      <c r="I411" s="5">
        <v>12040</v>
      </c>
      <c r="L411" s="5">
        <v>12040</v>
      </c>
      <c r="M411" s="5">
        <v>1290</v>
      </c>
      <c r="N411" s="5">
        <v>10750</v>
      </c>
    </row>
    <row r="412" spans="1:14">
      <c r="A412" s="24" t="s">
        <v>1108</v>
      </c>
      <c r="B412" s="24" t="s">
        <v>1048</v>
      </c>
      <c r="C412" s="24" t="s">
        <v>73</v>
      </c>
      <c r="D412" s="6">
        <v>30</v>
      </c>
      <c r="E412" s="24" t="s">
        <v>1056</v>
      </c>
      <c r="F412" s="24" t="s">
        <v>56</v>
      </c>
      <c r="G412" s="24" t="s">
        <v>1109</v>
      </c>
      <c r="H412" s="24" t="s">
        <v>1110</v>
      </c>
      <c r="I412" s="5">
        <v>812880</v>
      </c>
      <c r="L412" s="5">
        <v>812880</v>
      </c>
      <c r="M412" s="5">
        <v>87094.29</v>
      </c>
      <c r="N412" s="5">
        <v>725785.71</v>
      </c>
    </row>
    <row r="413" spans="1:14">
      <c r="A413" s="24" t="s">
        <v>1111</v>
      </c>
      <c r="B413" s="24" t="s">
        <v>1048</v>
      </c>
      <c r="C413" s="24" t="s">
        <v>73</v>
      </c>
      <c r="D413" s="6">
        <v>30</v>
      </c>
      <c r="E413" s="24" t="s">
        <v>1056</v>
      </c>
      <c r="F413" s="24" t="s">
        <v>56</v>
      </c>
      <c r="G413" s="24" t="s">
        <v>1109</v>
      </c>
      <c r="H413" s="24" t="s">
        <v>1112</v>
      </c>
      <c r="I413" s="5">
        <v>1129000</v>
      </c>
      <c r="L413" s="5">
        <v>1129000</v>
      </c>
      <c r="M413" s="5">
        <v>120964.29</v>
      </c>
      <c r="N413" s="5">
        <v>1008035.71</v>
      </c>
    </row>
    <row r="414" spans="1:14">
      <c r="A414" s="24" t="s">
        <v>1113</v>
      </c>
      <c r="B414" s="24" t="s">
        <v>1048</v>
      </c>
      <c r="C414" s="24" t="s">
        <v>73</v>
      </c>
      <c r="D414" s="6">
        <v>30</v>
      </c>
      <c r="E414" s="24" t="s">
        <v>1056</v>
      </c>
      <c r="F414" s="24" t="s">
        <v>105</v>
      </c>
      <c r="G414" s="24" t="s">
        <v>1114</v>
      </c>
      <c r="H414" s="24" t="s">
        <v>1115</v>
      </c>
      <c r="I414" s="5">
        <v>371089</v>
      </c>
      <c r="L414" s="5">
        <v>371089</v>
      </c>
      <c r="M414" s="5">
        <v>39759.54</v>
      </c>
      <c r="N414" s="5">
        <v>331329.46000000002</v>
      </c>
    </row>
    <row r="415" spans="1:14">
      <c r="A415" s="24" t="s">
        <v>1116</v>
      </c>
      <c r="B415" s="24" t="s">
        <v>1117</v>
      </c>
      <c r="C415" s="24" t="s">
        <v>333</v>
      </c>
      <c r="D415" s="6">
        <v>30</v>
      </c>
      <c r="E415" s="24" t="s">
        <v>1118</v>
      </c>
      <c r="F415" s="24" t="s">
        <v>270</v>
      </c>
      <c r="G415" s="24" t="s">
        <v>1119</v>
      </c>
      <c r="H415" s="24" t="s">
        <v>1120</v>
      </c>
      <c r="I415" s="5">
        <v>1585</v>
      </c>
      <c r="L415" s="5">
        <v>1585</v>
      </c>
      <c r="M415" s="7">
        <v>169.82</v>
      </c>
      <c r="N415" s="5">
        <v>1415.18</v>
      </c>
    </row>
    <row r="416" spans="1:14">
      <c r="A416" s="24" t="s">
        <v>1121</v>
      </c>
      <c r="B416" s="24" t="s">
        <v>1117</v>
      </c>
      <c r="C416" s="24" t="s">
        <v>18</v>
      </c>
      <c r="D416" s="6">
        <v>0</v>
      </c>
      <c r="E416" s="24" t="s">
        <v>1117</v>
      </c>
      <c r="F416" s="24" t="s">
        <v>46</v>
      </c>
      <c r="G416" s="24" t="s">
        <v>1122</v>
      </c>
      <c r="H416" s="24" t="s">
        <v>1123</v>
      </c>
      <c r="I416" s="5">
        <v>70950</v>
      </c>
      <c r="L416" s="5">
        <v>70950</v>
      </c>
      <c r="M416" s="5">
        <v>7601.79</v>
      </c>
      <c r="N416" s="5">
        <v>63348.21</v>
      </c>
    </row>
    <row r="417" spans="1:14">
      <c r="A417" s="24" t="s">
        <v>1124</v>
      </c>
      <c r="B417" s="24" t="s">
        <v>1117</v>
      </c>
      <c r="C417" s="24" t="s">
        <v>333</v>
      </c>
      <c r="D417" s="6">
        <v>30</v>
      </c>
      <c r="E417" s="24" t="s">
        <v>1118</v>
      </c>
      <c r="F417" s="24" t="s">
        <v>270</v>
      </c>
      <c r="G417" s="24" t="s">
        <v>1119</v>
      </c>
      <c r="H417" s="24" t="s">
        <v>1125</v>
      </c>
      <c r="I417" s="5">
        <v>95426</v>
      </c>
      <c r="L417" s="5">
        <v>95426</v>
      </c>
      <c r="M417" s="5">
        <v>10224.209999999999</v>
      </c>
      <c r="N417" s="5">
        <v>85201.79</v>
      </c>
    </row>
    <row r="418" spans="1:14">
      <c r="A418" s="24" t="s">
        <v>1126</v>
      </c>
      <c r="B418" s="24" t="s">
        <v>1117</v>
      </c>
      <c r="C418" s="24" t="s">
        <v>18</v>
      </c>
      <c r="D418" s="6">
        <v>0</v>
      </c>
      <c r="E418" s="24" t="s">
        <v>1117</v>
      </c>
      <c r="F418" s="24" t="s">
        <v>56</v>
      </c>
      <c r="G418" s="24" t="s">
        <v>1127</v>
      </c>
      <c r="H418" s="24" t="s">
        <v>1128</v>
      </c>
      <c r="I418" s="5">
        <v>124768</v>
      </c>
      <c r="J418" s="4">
        <v>-2495.36</v>
      </c>
      <c r="L418" s="5">
        <v>122272.64</v>
      </c>
      <c r="M418" s="5">
        <v>13100.64</v>
      </c>
      <c r="N418" s="5">
        <v>109172</v>
      </c>
    </row>
    <row r="419" spans="1:14">
      <c r="A419" s="24" t="s">
        <v>1129</v>
      </c>
      <c r="B419" s="24" t="s">
        <v>1117</v>
      </c>
      <c r="C419" s="24" t="s">
        <v>18</v>
      </c>
      <c r="D419" s="6">
        <v>0</v>
      </c>
      <c r="E419" s="24" t="s">
        <v>1117</v>
      </c>
      <c r="F419" s="24" t="s">
        <v>25</v>
      </c>
      <c r="G419" s="24" t="s">
        <v>1130</v>
      </c>
      <c r="H419" s="24" t="s">
        <v>1131</v>
      </c>
      <c r="I419" s="5">
        <v>104800</v>
      </c>
      <c r="L419" s="5">
        <v>104800</v>
      </c>
      <c r="M419" s="5">
        <v>11228.57</v>
      </c>
      <c r="N419" s="5">
        <v>93571.43</v>
      </c>
    </row>
    <row r="420" spans="1:14">
      <c r="A420" s="24" t="s">
        <v>1132</v>
      </c>
      <c r="B420" s="24" t="s">
        <v>1117</v>
      </c>
      <c r="C420" s="24" t="s">
        <v>333</v>
      </c>
      <c r="D420" s="6">
        <v>30</v>
      </c>
      <c r="E420" s="24" t="s">
        <v>1118</v>
      </c>
      <c r="F420" s="24" t="s">
        <v>270</v>
      </c>
      <c r="G420" s="24" t="s">
        <v>1119</v>
      </c>
      <c r="H420" s="24" t="s">
        <v>1133</v>
      </c>
      <c r="I420" s="5">
        <v>27400</v>
      </c>
      <c r="L420" s="5">
        <v>27400</v>
      </c>
      <c r="M420" s="5">
        <v>2935.71</v>
      </c>
      <c r="N420" s="5">
        <v>24464.29</v>
      </c>
    </row>
    <row r="421" spans="1:14">
      <c r="A421" s="24" t="s">
        <v>1134</v>
      </c>
      <c r="B421" s="24" t="s">
        <v>1117</v>
      </c>
      <c r="C421" s="24" t="s">
        <v>333</v>
      </c>
      <c r="D421" s="6">
        <v>30</v>
      </c>
      <c r="E421" s="24" t="s">
        <v>1118</v>
      </c>
      <c r="F421" s="24" t="s">
        <v>270</v>
      </c>
      <c r="G421" s="24" t="s">
        <v>334</v>
      </c>
      <c r="H421" s="24" t="s">
        <v>1135</v>
      </c>
      <c r="I421" s="5">
        <v>206180</v>
      </c>
      <c r="L421" s="5">
        <v>206180</v>
      </c>
      <c r="M421" s="5">
        <v>22090.71</v>
      </c>
      <c r="N421" s="5">
        <v>184089.29</v>
      </c>
    </row>
    <row r="422" spans="1:14">
      <c r="A422" s="24" t="s">
        <v>1136</v>
      </c>
      <c r="B422" s="24" t="s">
        <v>1117</v>
      </c>
      <c r="C422" s="24" t="s">
        <v>333</v>
      </c>
      <c r="D422" s="6">
        <v>30</v>
      </c>
      <c r="E422" s="24" t="s">
        <v>1118</v>
      </c>
      <c r="F422" s="24" t="s">
        <v>270</v>
      </c>
      <c r="G422" s="24" t="s">
        <v>337</v>
      </c>
      <c r="H422" s="24" t="s">
        <v>1137</v>
      </c>
      <c r="I422" s="5">
        <v>568880</v>
      </c>
      <c r="L422" s="5">
        <v>568880</v>
      </c>
      <c r="M422" s="5">
        <v>60951.43</v>
      </c>
      <c r="N422" s="5">
        <v>507928.57</v>
      </c>
    </row>
    <row r="423" spans="1:14">
      <c r="A423" s="24" t="s">
        <v>1138</v>
      </c>
      <c r="B423" s="24" t="s">
        <v>1117</v>
      </c>
      <c r="C423" s="24" t="s">
        <v>237</v>
      </c>
      <c r="D423" s="6">
        <v>60</v>
      </c>
      <c r="E423" s="24" t="s">
        <v>1139</v>
      </c>
      <c r="F423" s="24" t="s">
        <v>270</v>
      </c>
      <c r="G423" s="24" t="s">
        <v>337</v>
      </c>
      <c r="H423" s="24" t="s">
        <v>338</v>
      </c>
      <c r="I423" s="5">
        <v>143215</v>
      </c>
      <c r="L423" s="5">
        <v>143215</v>
      </c>
      <c r="M423" s="5">
        <v>15344.46</v>
      </c>
      <c r="N423" s="5">
        <v>127870.54</v>
      </c>
    </row>
    <row r="424" spans="1:14">
      <c r="A424" s="24" t="s">
        <v>1140</v>
      </c>
      <c r="B424" s="24" t="s">
        <v>1117</v>
      </c>
      <c r="C424" s="24" t="s">
        <v>60</v>
      </c>
      <c r="D424" s="6">
        <v>0</v>
      </c>
      <c r="E424" s="24" t="s">
        <v>1117</v>
      </c>
      <c r="F424" s="24" t="s">
        <v>1141</v>
      </c>
      <c r="G424" s="24" t="s">
        <v>1142</v>
      </c>
      <c r="H424" s="24" t="s">
        <v>1143</v>
      </c>
      <c r="I424" s="5">
        <v>403050.68</v>
      </c>
      <c r="L424" s="5">
        <v>403050.68</v>
      </c>
      <c r="M424" s="5">
        <v>43184</v>
      </c>
      <c r="N424" s="5">
        <v>359866.68</v>
      </c>
    </row>
    <row r="425" spans="1:14">
      <c r="A425" s="24" t="s">
        <v>1144</v>
      </c>
      <c r="B425" s="24" t="s">
        <v>1117</v>
      </c>
      <c r="C425" s="24" t="s">
        <v>60</v>
      </c>
      <c r="D425" s="6">
        <v>0</v>
      </c>
      <c r="E425" s="24" t="s">
        <v>1117</v>
      </c>
      <c r="F425" s="24" t="s">
        <v>1141</v>
      </c>
      <c r="G425" s="24" t="s">
        <v>1142</v>
      </c>
      <c r="H425" s="24" t="s">
        <v>1145</v>
      </c>
      <c r="I425" s="5">
        <v>107600</v>
      </c>
      <c r="L425" s="5">
        <v>107600</v>
      </c>
      <c r="M425" s="5">
        <v>11528.57</v>
      </c>
      <c r="N425" s="5">
        <v>96071.43</v>
      </c>
    </row>
    <row r="426" spans="1:14">
      <c r="A426" s="24" t="s">
        <v>1146</v>
      </c>
      <c r="B426" s="24" t="s">
        <v>1117</v>
      </c>
      <c r="C426" s="24" t="s">
        <v>151</v>
      </c>
      <c r="D426" s="6">
        <v>60</v>
      </c>
      <c r="E426" s="24" t="s">
        <v>1139</v>
      </c>
      <c r="F426" s="24" t="s">
        <v>69</v>
      </c>
      <c r="G426" s="24" t="s">
        <v>574</v>
      </c>
      <c r="H426" s="24" t="s">
        <v>1147</v>
      </c>
      <c r="I426" s="5">
        <v>528825</v>
      </c>
      <c r="L426" s="5">
        <v>528825</v>
      </c>
      <c r="M426" s="5">
        <v>56659.82</v>
      </c>
      <c r="N426" s="5">
        <v>472165.18</v>
      </c>
    </row>
    <row r="427" spans="1:14">
      <c r="A427" s="24" t="s">
        <v>1148</v>
      </c>
      <c r="B427" s="24" t="s">
        <v>1117</v>
      </c>
      <c r="C427" s="24" t="s">
        <v>23</v>
      </c>
      <c r="D427" s="6">
        <v>30</v>
      </c>
      <c r="E427" s="24" t="s">
        <v>1118</v>
      </c>
      <c r="F427" s="24" t="s">
        <v>30</v>
      </c>
      <c r="G427" s="24" t="s">
        <v>1149</v>
      </c>
      <c r="H427" s="24" t="s">
        <v>1150</v>
      </c>
      <c r="I427" s="5">
        <v>77750</v>
      </c>
      <c r="L427" s="5">
        <v>77750</v>
      </c>
      <c r="M427" s="5">
        <v>8330.36</v>
      </c>
      <c r="N427" s="5">
        <v>69419.64</v>
      </c>
    </row>
    <row r="428" spans="1:14">
      <c r="A428" s="24" t="s">
        <v>1151</v>
      </c>
      <c r="B428" s="24" t="s">
        <v>1117</v>
      </c>
      <c r="C428" s="24" t="s">
        <v>23</v>
      </c>
      <c r="D428" s="6">
        <v>30</v>
      </c>
      <c r="E428" s="24" t="s">
        <v>1118</v>
      </c>
      <c r="F428" s="24" t="s">
        <v>180</v>
      </c>
      <c r="G428" s="24" t="s">
        <v>224</v>
      </c>
      <c r="H428" s="24" t="s">
        <v>1152</v>
      </c>
      <c r="I428" s="5">
        <v>22900</v>
      </c>
      <c r="L428" s="5">
        <v>22900</v>
      </c>
      <c r="M428" s="5">
        <v>2453.5700000000002</v>
      </c>
      <c r="N428" s="5">
        <v>20446.43</v>
      </c>
    </row>
    <row r="429" spans="1:14">
      <c r="A429" s="24" t="s">
        <v>1153</v>
      </c>
      <c r="B429" s="24" t="s">
        <v>1117</v>
      </c>
      <c r="C429" s="24" t="s">
        <v>23</v>
      </c>
      <c r="D429" s="6">
        <v>30</v>
      </c>
      <c r="E429" s="24" t="s">
        <v>1118</v>
      </c>
      <c r="F429" s="24" t="s">
        <v>180</v>
      </c>
      <c r="G429" s="24" t="s">
        <v>224</v>
      </c>
      <c r="H429" s="24" t="s">
        <v>1154</v>
      </c>
      <c r="I429" s="5">
        <v>50400</v>
      </c>
      <c r="L429" s="5">
        <v>50400</v>
      </c>
      <c r="M429" s="5">
        <v>5400</v>
      </c>
      <c r="N429" s="5">
        <v>45000</v>
      </c>
    </row>
    <row r="430" spans="1:14">
      <c r="A430" s="24" t="s">
        <v>1155</v>
      </c>
      <c r="B430" s="24" t="s">
        <v>1117</v>
      </c>
      <c r="C430" s="24" t="s">
        <v>162</v>
      </c>
      <c r="D430" s="6">
        <v>90</v>
      </c>
      <c r="E430" s="24" t="s">
        <v>1156</v>
      </c>
      <c r="F430" s="24" t="s">
        <v>204</v>
      </c>
      <c r="G430" s="24" t="s">
        <v>1157</v>
      </c>
      <c r="H430" s="24" t="s">
        <v>1158</v>
      </c>
      <c r="I430" s="5">
        <v>58498</v>
      </c>
      <c r="L430" s="5">
        <v>58498</v>
      </c>
      <c r="M430" s="5">
        <v>6267.64</v>
      </c>
      <c r="N430" s="5">
        <v>52230.36</v>
      </c>
    </row>
    <row r="431" spans="1:14">
      <c r="A431" s="24" t="s">
        <v>1159</v>
      </c>
      <c r="B431" s="24" t="s">
        <v>1117</v>
      </c>
      <c r="C431" s="24" t="s">
        <v>162</v>
      </c>
      <c r="D431" s="6">
        <v>90</v>
      </c>
      <c r="E431" s="24" t="s">
        <v>1156</v>
      </c>
      <c r="F431" s="24" t="s">
        <v>204</v>
      </c>
      <c r="G431" s="24" t="s">
        <v>1157</v>
      </c>
      <c r="H431" s="24" t="s">
        <v>1160</v>
      </c>
      <c r="I431" s="5">
        <v>8304</v>
      </c>
      <c r="L431" s="5">
        <v>8304</v>
      </c>
      <c r="M431" s="7">
        <v>889.71</v>
      </c>
      <c r="N431" s="5">
        <v>7414.29</v>
      </c>
    </row>
    <row r="432" spans="1:14">
      <c r="A432" s="24" t="s">
        <v>1161</v>
      </c>
      <c r="B432" s="24" t="s">
        <v>1117</v>
      </c>
      <c r="C432" s="24" t="s">
        <v>29</v>
      </c>
      <c r="D432" s="6">
        <v>0</v>
      </c>
      <c r="E432" s="24" t="s">
        <v>1117</v>
      </c>
      <c r="F432" s="24" t="s">
        <v>30</v>
      </c>
      <c r="G432" s="24" t="s">
        <v>31</v>
      </c>
      <c r="H432" s="24" t="s">
        <v>1162</v>
      </c>
      <c r="I432" s="5">
        <v>294000</v>
      </c>
      <c r="L432" s="5">
        <v>294000</v>
      </c>
      <c r="M432" s="5">
        <v>31500</v>
      </c>
      <c r="N432" s="5">
        <v>262500</v>
      </c>
    </row>
    <row r="433" spans="1:14">
      <c r="A433" s="24" t="s">
        <v>1163</v>
      </c>
      <c r="B433" s="24" t="s">
        <v>1117</v>
      </c>
      <c r="C433" s="24" t="s">
        <v>151</v>
      </c>
      <c r="D433" s="6">
        <v>60</v>
      </c>
      <c r="E433" s="24" t="s">
        <v>1139</v>
      </c>
      <c r="F433" s="24" t="s">
        <v>139</v>
      </c>
      <c r="G433" s="24" t="s">
        <v>264</v>
      </c>
      <c r="H433" s="24" t="s">
        <v>1164</v>
      </c>
      <c r="I433" s="5">
        <v>23524.2</v>
      </c>
      <c r="L433" s="5">
        <v>23524.2</v>
      </c>
      <c r="M433" s="5">
        <v>2520.4499999999998</v>
      </c>
      <c r="N433" s="5">
        <v>21003.75</v>
      </c>
    </row>
    <row r="434" spans="1:14">
      <c r="A434" s="24" t="s">
        <v>1165</v>
      </c>
      <c r="B434" s="24" t="s">
        <v>1117</v>
      </c>
      <c r="C434" s="24" t="s">
        <v>54</v>
      </c>
      <c r="D434" s="6">
        <v>90</v>
      </c>
      <c r="E434" s="24" t="s">
        <v>1156</v>
      </c>
      <c r="F434" s="24" t="s">
        <v>19</v>
      </c>
      <c r="G434" s="24" t="s">
        <v>937</v>
      </c>
      <c r="H434" s="24" t="s">
        <v>1166</v>
      </c>
      <c r="I434" s="5">
        <v>537500</v>
      </c>
      <c r="L434" s="5">
        <v>537500</v>
      </c>
      <c r="M434" s="5">
        <v>57589.29</v>
      </c>
      <c r="N434" s="5">
        <v>479910.71</v>
      </c>
    </row>
    <row r="435" spans="1:14">
      <c r="A435" s="24" t="s">
        <v>1167</v>
      </c>
      <c r="B435" s="24" t="s">
        <v>1117</v>
      </c>
      <c r="C435" s="24" t="s">
        <v>54</v>
      </c>
      <c r="D435" s="6">
        <v>90</v>
      </c>
      <c r="E435" s="24" t="s">
        <v>1156</v>
      </c>
      <c r="F435" s="24" t="s">
        <v>19</v>
      </c>
      <c r="G435" s="24" t="s">
        <v>937</v>
      </c>
      <c r="H435" s="24" t="s">
        <v>1168</v>
      </c>
      <c r="I435" s="5">
        <v>107500</v>
      </c>
      <c r="L435" s="5">
        <v>107500</v>
      </c>
      <c r="M435" s="5">
        <v>11517.86</v>
      </c>
      <c r="N435" s="5">
        <v>95982.14</v>
      </c>
    </row>
    <row r="436" spans="1:14">
      <c r="A436" s="24" t="s">
        <v>1169</v>
      </c>
      <c r="B436" s="24" t="s">
        <v>1117</v>
      </c>
      <c r="C436" s="24" t="s">
        <v>73</v>
      </c>
      <c r="D436" s="6">
        <v>30</v>
      </c>
      <c r="E436" s="24" t="s">
        <v>1118</v>
      </c>
      <c r="F436" s="24" t="s">
        <v>56</v>
      </c>
      <c r="G436" s="24" t="s">
        <v>1109</v>
      </c>
      <c r="H436" s="24" t="s">
        <v>1170</v>
      </c>
      <c r="I436" s="5">
        <v>1048060</v>
      </c>
      <c r="L436" s="5">
        <v>1048060</v>
      </c>
      <c r="M436" s="5">
        <v>112292.14</v>
      </c>
      <c r="N436" s="5">
        <v>935767.86</v>
      </c>
    </row>
    <row r="437" spans="1:14">
      <c r="A437" s="24" t="s">
        <v>1171</v>
      </c>
      <c r="B437" s="24" t="s">
        <v>1117</v>
      </c>
      <c r="C437" s="24" t="s">
        <v>73</v>
      </c>
      <c r="D437" s="6">
        <v>30</v>
      </c>
      <c r="E437" s="24" t="s">
        <v>1118</v>
      </c>
      <c r="F437" s="24" t="s">
        <v>56</v>
      </c>
      <c r="G437" s="24" t="s">
        <v>1109</v>
      </c>
      <c r="H437" s="24" t="s">
        <v>1172</v>
      </c>
      <c r="I437" s="5">
        <v>752620</v>
      </c>
      <c r="L437" s="5">
        <v>752620</v>
      </c>
      <c r="M437" s="5">
        <v>80637.86</v>
      </c>
      <c r="N437" s="5">
        <v>671982.14</v>
      </c>
    </row>
    <row r="438" spans="1:14">
      <c r="A438" s="24" t="s">
        <v>1173</v>
      </c>
      <c r="B438" s="24" t="s">
        <v>1117</v>
      </c>
      <c r="C438" s="24" t="s">
        <v>60</v>
      </c>
      <c r="D438" s="6">
        <v>0</v>
      </c>
      <c r="E438" s="24" t="s">
        <v>1117</v>
      </c>
      <c r="F438" s="24" t="s">
        <v>56</v>
      </c>
      <c r="G438" s="24" t="s">
        <v>190</v>
      </c>
      <c r="H438" s="24" t="s">
        <v>1174</v>
      </c>
      <c r="I438" s="5">
        <v>204476</v>
      </c>
      <c r="L438" s="5">
        <v>204476</v>
      </c>
      <c r="M438" s="5">
        <v>21908.14</v>
      </c>
      <c r="N438" s="5">
        <v>182567.86</v>
      </c>
    </row>
    <row r="439" spans="1:14">
      <c r="A439" s="24" t="s">
        <v>1175</v>
      </c>
      <c r="B439" s="24" t="s">
        <v>1117</v>
      </c>
      <c r="C439" s="24" t="s">
        <v>23</v>
      </c>
      <c r="D439" s="6">
        <v>30</v>
      </c>
      <c r="E439" s="24" t="s">
        <v>1118</v>
      </c>
      <c r="F439" s="24" t="s">
        <v>50</v>
      </c>
      <c r="G439" s="24" t="s">
        <v>1176</v>
      </c>
      <c r="H439" s="24" t="s">
        <v>1177</v>
      </c>
      <c r="I439" s="5">
        <v>63822</v>
      </c>
      <c r="L439" s="5">
        <v>63822</v>
      </c>
      <c r="M439" s="5">
        <v>6838.07</v>
      </c>
      <c r="N439" s="5">
        <v>56983.93</v>
      </c>
    </row>
    <row r="440" spans="1:14">
      <c r="A440" s="24" t="s">
        <v>1178</v>
      </c>
      <c r="B440" s="24" t="s">
        <v>1117</v>
      </c>
      <c r="C440" s="24" t="s">
        <v>73</v>
      </c>
      <c r="D440" s="6">
        <v>30</v>
      </c>
      <c r="E440" s="24" t="s">
        <v>1118</v>
      </c>
      <c r="F440" s="24" t="s">
        <v>46</v>
      </c>
      <c r="G440" s="24" t="s">
        <v>1078</v>
      </c>
      <c r="H440" s="24" t="s">
        <v>1179</v>
      </c>
      <c r="I440" s="5">
        <v>133500</v>
      </c>
      <c r="L440" s="5">
        <v>133500</v>
      </c>
      <c r="M440" s="5">
        <v>14303.57</v>
      </c>
      <c r="N440" s="5">
        <v>119196.43</v>
      </c>
    </row>
    <row r="441" spans="1:14">
      <c r="A441" s="24" t="s">
        <v>1180</v>
      </c>
      <c r="B441" s="24" t="s">
        <v>1117</v>
      </c>
      <c r="C441" s="24" t="s">
        <v>73</v>
      </c>
      <c r="D441" s="6">
        <v>30</v>
      </c>
      <c r="E441" s="24" t="s">
        <v>1118</v>
      </c>
      <c r="F441" s="24" t="s">
        <v>19</v>
      </c>
      <c r="G441" s="24" t="s">
        <v>247</v>
      </c>
      <c r="H441" s="24" t="s">
        <v>1181</v>
      </c>
      <c r="I441" s="5">
        <v>471120</v>
      </c>
      <c r="L441" s="5">
        <v>471120</v>
      </c>
      <c r="M441" s="5">
        <v>50477.14</v>
      </c>
      <c r="N441" s="5">
        <v>420642.86</v>
      </c>
    </row>
    <row r="442" spans="1:14">
      <c r="A442" s="24" t="s">
        <v>1182</v>
      </c>
      <c r="B442" s="24" t="s">
        <v>1117</v>
      </c>
      <c r="C442" s="24" t="s">
        <v>1102</v>
      </c>
      <c r="D442" s="6">
        <v>60</v>
      </c>
      <c r="E442" s="24" t="s">
        <v>1139</v>
      </c>
      <c r="F442" s="24" t="s">
        <v>46</v>
      </c>
      <c r="G442" s="24" t="s">
        <v>787</v>
      </c>
      <c r="H442" s="24" t="s">
        <v>1183</v>
      </c>
      <c r="I442" s="5">
        <v>214500</v>
      </c>
      <c r="L442" s="5">
        <v>214500</v>
      </c>
      <c r="M442" s="5">
        <v>22982.14</v>
      </c>
      <c r="N442" s="5">
        <v>191517.86</v>
      </c>
    </row>
    <row r="443" spans="1:14">
      <c r="A443" s="24" t="s">
        <v>1184</v>
      </c>
      <c r="B443" s="24" t="s">
        <v>1117</v>
      </c>
      <c r="C443" s="24" t="s">
        <v>1102</v>
      </c>
      <c r="D443" s="6">
        <v>60</v>
      </c>
      <c r="E443" s="24" t="s">
        <v>1139</v>
      </c>
      <c r="F443" s="24" t="s">
        <v>46</v>
      </c>
      <c r="G443" s="24" t="s">
        <v>787</v>
      </c>
      <c r="H443" s="24" t="s">
        <v>1185</v>
      </c>
      <c r="I443" s="5">
        <v>52684</v>
      </c>
      <c r="L443" s="5">
        <v>52684</v>
      </c>
      <c r="M443" s="5">
        <v>5644.71</v>
      </c>
      <c r="N443" s="5">
        <v>47039.29</v>
      </c>
    </row>
    <row r="444" spans="1:14">
      <c r="A444" s="24" t="s">
        <v>1186</v>
      </c>
      <c r="B444" s="24" t="s">
        <v>1117</v>
      </c>
      <c r="C444" s="24" t="s">
        <v>60</v>
      </c>
      <c r="D444" s="6">
        <v>0</v>
      </c>
      <c r="E444" s="24" t="s">
        <v>1117</v>
      </c>
      <c r="F444" s="24" t="s">
        <v>56</v>
      </c>
      <c r="G444" s="24" t="s">
        <v>190</v>
      </c>
      <c r="H444" s="24" t="s">
        <v>1187</v>
      </c>
      <c r="I444" s="5">
        <v>119504</v>
      </c>
      <c r="L444" s="5">
        <v>119504</v>
      </c>
      <c r="M444" s="5">
        <v>12804</v>
      </c>
      <c r="N444" s="5">
        <v>106700</v>
      </c>
    </row>
    <row r="445" spans="1:14">
      <c r="A445" s="24" t="s">
        <v>1188</v>
      </c>
      <c r="B445" s="24" t="s">
        <v>1117</v>
      </c>
      <c r="C445" s="24" t="s">
        <v>162</v>
      </c>
      <c r="D445" s="6">
        <v>90</v>
      </c>
      <c r="E445" s="24" t="s">
        <v>1156</v>
      </c>
      <c r="F445" s="24" t="s">
        <v>36</v>
      </c>
      <c r="G445" s="24" t="s">
        <v>193</v>
      </c>
      <c r="H445" s="24" t="s">
        <v>1189</v>
      </c>
      <c r="I445" s="5">
        <v>26590</v>
      </c>
      <c r="L445" s="5">
        <v>26590</v>
      </c>
      <c r="M445" s="5">
        <v>2848.93</v>
      </c>
      <c r="N445" s="5">
        <v>23741.07</v>
      </c>
    </row>
    <row r="446" spans="1:14">
      <c r="A446" s="24" t="s">
        <v>1190</v>
      </c>
      <c r="B446" s="24" t="s">
        <v>1117</v>
      </c>
      <c r="C446" s="24" t="s">
        <v>60</v>
      </c>
      <c r="D446" s="6">
        <v>0</v>
      </c>
      <c r="E446" s="24" t="s">
        <v>1117</v>
      </c>
      <c r="F446" s="24" t="s">
        <v>46</v>
      </c>
      <c r="G446" s="24" t="s">
        <v>1191</v>
      </c>
      <c r="H446" s="24" t="s">
        <v>1192</v>
      </c>
      <c r="I446" s="5">
        <v>20257</v>
      </c>
      <c r="L446" s="5">
        <v>20257</v>
      </c>
      <c r="M446" s="5">
        <v>2170.39</v>
      </c>
      <c r="N446" s="5">
        <v>18086.61</v>
      </c>
    </row>
    <row r="447" spans="1:14">
      <c r="A447" s="24" t="s">
        <v>1193</v>
      </c>
      <c r="B447" s="24" t="s">
        <v>1117</v>
      </c>
      <c r="C447" s="24" t="s">
        <v>23</v>
      </c>
      <c r="D447" s="6">
        <v>30</v>
      </c>
      <c r="E447" s="24" t="s">
        <v>1118</v>
      </c>
      <c r="F447" s="24" t="s">
        <v>329</v>
      </c>
      <c r="G447" s="24" t="s">
        <v>529</v>
      </c>
      <c r="H447" s="24" t="s">
        <v>1194</v>
      </c>
      <c r="I447" s="5">
        <v>141200</v>
      </c>
      <c r="J447" s="4">
        <v>-2824</v>
      </c>
      <c r="L447" s="5">
        <v>138376</v>
      </c>
      <c r="M447" s="5">
        <v>14826</v>
      </c>
      <c r="N447" s="5">
        <v>123550</v>
      </c>
    </row>
    <row r="448" spans="1:14">
      <c r="A448" s="24" t="s">
        <v>1195</v>
      </c>
      <c r="B448" s="24" t="s">
        <v>1117</v>
      </c>
      <c r="C448" s="24" t="s">
        <v>94</v>
      </c>
      <c r="D448" s="6">
        <v>0</v>
      </c>
      <c r="E448" s="24" t="s">
        <v>1117</v>
      </c>
      <c r="F448" s="24" t="s">
        <v>46</v>
      </c>
      <c r="G448" s="24" t="s">
        <v>558</v>
      </c>
      <c r="H448" s="24" t="s">
        <v>1196</v>
      </c>
      <c r="I448" s="5">
        <v>236250</v>
      </c>
      <c r="L448" s="5">
        <v>236250</v>
      </c>
      <c r="M448" s="5">
        <v>25312.5</v>
      </c>
      <c r="N448" s="5">
        <v>210937.5</v>
      </c>
    </row>
    <row r="449" spans="1:14">
      <c r="A449" s="24" t="s">
        <v>1197</v>
      </c>
      <c r="B449" s="24" t="s">
        <v>1117</v>
      </c>
      <c r="C449" s="24" t="s">
        <v>34</v>
      </c>
      <c r="D449" s="6">
        <v>60</v>
      </c>
      <c r="E449" s="24" t="s">
        <v>1139</v>
      </c>
      <c r="F449" s="24" t="s">
        <v>329</v>
      </c>
      <c r="G449" s="24" t="s">
        <v>330</v>
      </c>
      <c r="H449" s="24" t="s">
        <v>1198</v>
      </c>
      <c r="I449" s="5">
        <v>453268</v>
      </c>
      <c r="L449" s="5">
        <v>453268</v>
      </c>
      <c r="M449" s="5">
        <v>48564.43</v>
      </c>
      <c r="N449" s="5">
        <v>404703.57</v>
      </c>
    </row>
    <row r="450" spans="1:14">
      <c r="A450" s="24" t="s">
        <v>1199</v>
      </c>
      <c r="B450" s="24" t="s">
        <v>1117</v>
      </c>
      <c r="C450" s="24" t="s">
        <v>151</v>
      </c>
      <c r="D450" s="6">
        <v>60</v>
      </c>
      <c r="E450" s="24" t="s">
        <v>1139</v>
      </c>
      <c r="F450" s="24" t="s">
        <v>139</v>
      </c>
      <c r="G450" s="24" t="s">
        <v>1200</v>
      </c>
      <c r="H450" s="24" t="s">
        <v>1201</v>
      </c>
      <c r="I450" s="5">
        <v>29500</v>
      </c>
      <c r="L450" s="5">
        <v>29500</v>
      </c>
      <c r="M450" s="5">
        <v>3160.71</v>
      </c>
      <c r="N450" s="5">
        <v>26339.29</v>
      </c>
    </row>
    <row r="451" spans="1:14">
      <c r="A451" s="24" t="s">
        <v>1202</v>
      </c>
      <c r="B451" s="24" t="s">
        <v>1117</v>
      </c>
      <c r="C451" s="24" t="s">
        <v>34</v>
      </c>
      <c r="D451" s="6">
        <v>60</v>
      </c>
      <c r="E451" s="24" t="s">
        <v>1139</v>
      </c>
      <c r="F451" s="24" t="s">
        <v>69</v>
      </c>
      <c r="G451" s="24" t="s">
        <v>697</v>
      </c>
      <c r="H451" s="24" t="s">
        <v>1203</v>
      </c>
      <c r="I451" s="5">
        <v>49180</v>
      </c>
      <c r="L451" s="5">
        <v>49180</v>
      </c>
      <c r="M451" s="5">
        <v>5269.29</v>
      </c>
      <c r="N451" s="5">
        <v>43910.71</v>
      </c>
    </row>
    <row r="452" spans="1:14">
      <c r="A452" s="24" t="s">
        <v>1204</v>
      </c>
      <c r="B452" s="24" t="s">
        <v>1117</v>
      </c>
      <c r="C452" s="24" t="s">
        <v>1055</v>
      </c>
      <c r="D452" s="6">
        <v>30</v>
      </c>
      <c r="E452" s="24" t="s">
        <v>1118</v>
      </c>
      <c r="F452" s="24" t="s">
        <v>56</v>
      </c>
      <c r="G452" s="24" t="s">
        <v>1057</v>
      </c>
      <c r="H452" s="24" t="s">
        <v>1205</v>
      </c>
      <c r="I452" s="5">
        <v>29610</v>
      </c>
      <c r="L452" s="5">
        <v>29610</v>
      </c>
      <c r="M452" s="5">
        <v>3172.5</v>
      </c>
      <c r="N452" s="5">
        <v>26437.5</v>
      </c>
    </row>
    <row r="453" spans="1:14">
      <c r="A453" s="24" t="s">
        <v>1206</v>
      </c>
      <c r="B453" s="24" t="s">
        <v>1117</v>
      </c>
      <c r="C453" s="24" t="s">
        <v>23</v>
      </c>
      <c r="D453" s="6">
        <v>30</v>
      </c>
      <c r="E453" s="24" t="s">
        <v>1118</v>
      </c>
      <c r="F453" s="24" t="s">
        <v>50</v>
      </c>
      <c r="G453" s="24" t="s">
        <v>1176</v>
      </c>
      <c r="H453" s="24" t="s">
        <v>1207</v>
      </c>
      <c r="I453" s="5">
        <v>186750</v>
      </c>
      <c r="L453" s="5">
        <v>186750</v>
      </c>
      <c r="M453" s="5">
        <v>20008.93</v>
      </c>
      <c r="N453" s="5">
        <v>166741.07</v>
      </c>
    </row>
    <row r="454" spans="1:14">
      <c r="A454" s="24" t="s">
        <v>1208</v>
      </c>
      <c r="B454" s="24" t="s">
        <v>1117</v>
      </c>
      <c r="C454" s="24" t="s">
        <v>94</v>
      </c>
      <c r="D454" s="6">
        <v>0</v>
      </c>
      <c r="E454" s="24" t="s">
        <v>1117</v>
      </c>
      <c r="F454" s="24" t="s">
        <v>139</v>
      </c>
      <c r="G454" s="24" t="s">
        <v>1043</v>
      </c>
      <c r="H454" s="24" t="s">
        <v>1209</v>
      </c>
      <c r="I454" s="5">
        <v>93350</v>
      </c>
      <c r="L454" s="5">
        <v>93350</v>
      </c>
      <c r="M454" s="5">
        <v>10001.790000000001</v>
      </c>
      <c r="N454" s="5">
        <v>83348.210000000006</v>
      </c>
    </row>
    <row r="455" spans="1:14">
      <c r="A455" s="24" t="s">
        <v>1210</v>
      </c>
      <c r="B455" s="24" t="s">
        <v>1117</v>
      </c>
      <c r="C455" s="24" t="s">
        <v>162</v>
      </c>
      <c r="D455" s="6">
        <v>90</v>
      </c>
      <c r="E455" s="24" t="s">
        <v>1156</v>
      </c>
      <c r="F455" s="24" t="s">
        <v>36</v>
      </c>
      <c r="G455" s="24" t="s">
        <v>193</v>
      </c>
      <c r="H455" s="24" t="s">
        <v>1211</v>
      </c>
      <c r="I455" s="5">
        <v>5680</v>
      </c>
      <c r="L455" s="5">
        <v>5680</v>
      </c>
      <c r="M455" s="7">
        <v>608.57000000000005</v>
      </c>
      <c r="N455" s="5">
        <v>5071.43</v>
      </c>
    </row>
    <row r="456" spans="1:14">
      <c r="A456" s="24" t="s">
        <v>1212</v>
      </c>
      <c r="B456" s="24" t="s">
        <v>1117</v>
      </c>
      <c r="C456" s="24" t="s">
        <v>162</v>
      </c>
      <c r="D456" s="6">
        <v>90</v>
      </c>
      <c r="E456" s="24" t="s">
        <v>1156</v>
      </c>
      <c r="F456" s="24" t="s">
        <v>36</v>
      </c>
      <c r="G456" s="24" t="s">
        <v>193</v>
      </c>
      <c r="H456" s="24" t="s">
        <v>1213</v>
      </c>
      <c r="I456" s="5">
        <v>224410</v>
      </c>
      <c r="L456" s="5">
        <v>224410</v>
      </c>
      <c r="M456" s="5">
        <v>24043.93</v>
      </c>
      <c r="N456" s="5">
        <v>200366.07</v>
      </c>
    </row>
    <row r="457" spans="1:14">
      <c r="A457" s="24" t="s">
        <v>1214</v>
      </c>
      <c r="B457" s="24" t="s">
        <v>1117</v>
      </c>
      <c r="C457" s="24" t="s">
        <v>146</v>
      </c>
      <c r="D457" s="6">
        <v>90</v>
      </c>
      <c r="E457" s="24" t="s">
        <v>1156</v>
      </c>
      <c r="F457" s="24" t="s">
        <v>36</v>
      </c>
      <c r="G457" s="24" t="s">
        <v>193</v>
      </c>
      <c r="H457" s="24" t="s">
        <v>1215</v>
      </c>
      <c r="I457" s="5">
        <v>27750</v>
      </c>
      <c r="L457" s="5">
        <v>27750</v>
      </c>
      <c r="M457" s="5">
        <v>2973.21</v>
      </c>
      <c r="N457" s="5">
        <v>24776.79</v>
      </c>
    </row>
    <row r="458" spans="1:14">
      <c r="A458" s="24" t="s">
        <v>1216</v>
      </c>
      <c r="B458" s="24" t="s">
        <v>1217</v>
      </c>
      <c r="C458" s="24" t="s">
        <v>60</v>
      </c>
      <c r="D458" s="6">
        <v>0</v>
      </c>
      <c r="E458" s="24" t="s">
        <v>1217</v>
      </c>
      <c r="F458" s="24" t="s">
        <v>270</v>
      </c>
      <c r="G458" s="24" t="s">
        <v>1218</v>
      </c>
      <c r="H458" s="24" t="s">
        <v>1219</v>
      </c>
      <c r="I458" s="5">
        <v>37000</v>
      </c>
      <c r="L458" s="5">
        <v>37000</v>
      </c>
      <c r="M458" s="5">
        <v>3964.29</v>
      </c>
      <c r="N458" s="5">
        <v>33035.71</v>
      </c>
    </row>
    <row r="459" spans="1:14">
      <c r="A459" s="24" t="s">
        <v>1220</v>
      </c>
      <c r="B459" s="24" t="s">
        <v>1217</v>
      </c>
      <c r="C459" s="24" t="s">
        <v>104</v>
      </c>
      <c r="D459" s="6">
        <v>0</v>
      </c>
      <c r="E459" s="24" t="s">
        <v>1217</v>
      </c>
      <c r="F459" s="24" t="s">
        <v>46</v>
      </c>
      <c r="G459" s="24" t="s">
        <v>392</v>
      </c>
      <c r="H459" s="24" t="s">
        <v>1221</v>
      </c>
      <c r="I459" s="5">
        <v>340975</v>
      </c>
      <c r="L459" s="5">
        <v>340975</v>
      </c>
      <c r="M459" s="5">
        <v>36533.040000000001</v>
      </c>
      <c r="N459" s="5">
        <v>304441.96000000002</v>
      </c>
    </row>
    <row r="460" spans="1:14">
      <c r="A460" s="24" t="s">
        <v>1222</v>
      </c>
      <c r="B460" s="24" t="s">
        <v>1217</v>
      </c>
      <c r="C460" s="24" t="s">
        <v>34</v>
      </c>
      <c r="D460" s="6">
        <v>60</v>
      </c>
      <c r="E460" s="24" t="s">
        <v>1223</v>
      </c>
      <c r="F460" s="24" t="s">
        <v>30</v>
      </c>
      <c r="G460" s="24" t="s">
        <v>201</v>
      </c>
      <c r="H460" s="24" t="s">
        <v>1224</v>
      </c>
      <c r="I460" s="5">
        <v>7200</v>
      </c>
      <c r="L460" s="5">
        <v>7200</v>
      </c>
      <c r="M460" s="7">
        <v>771.43</v>
      </c>
      <c r="N460" s="5">
        <v>6428.57</v>
      </c>
    </row>
    <row r="461" spans="1:14">
      <c r="A461" s="24" t="s">
        <v>1225</v>
      </c>
      <c r="B461" s="24" t="s">
        <v>1217</v>
      </c>
      <c r="C461" s="24" t="s">
        <v>34</v>
      </c>
      <c r="D461" s="6">
        <v>60</v>
      </c>
      <c r="E461" s="24" t="s">
        <v>1223</v>
      </c>
      <c r="F461" s="24" t="s">
        <v>46</v>
      </c>
      <c r="G461" s="24" t="s">
        <v>1226</v>
      </c>
      <c r="H461" s="24" t="s">
        <v>1227</v>
      </c>
      <c r="I461" s="5">
        <v>37782</v>
      </c>
      <c r="L461" s="5">
        <v>37782</v>
      </c>
      <c r="M461" s="5">
        <v>4048.07</v>
      </c>
      <c r="N461" s="5">
        <v>33733.93</v>
      </c>
    </row>
    <row r="462" spans="1:14">
      <c r="A462" s="24" t="s">
        <v>1228</v>
      </c>
      <c r="B462" s="24" t="s">
        <v>1217</v>
      </c>
      <c r="C462" s="24" t="s">
        <v>60</v>
      </c>
      <c r="D462" s="6">
        <v>0</v>
      </c>
      <c r="E462" s="24" t="s">
        <v>1217</v>
      </c>
      <c r="F462" s="24" t="s">
        <v>270</v>
      </c>
      <c r="G462" s="24" t="s">
        <v>1218</v>
      </c>
      <c r="H462" s="24" t="s">
        <v>1229</v>
      </c>
      <c r="I462" s="5">
        <v>22200</v>
      </c>
      <c r="L462" s="5">
        <v>22200</v>
      </c>
      <c r="M462" s="5">
        <v>2378.5700000000002</v>
      </c>
      <c r="N462" s="5">
        <v>19821.43</v>
      </c>
    </row>
    <row r="463" spans="1:14">
      <c r="A463" s="24" t="s">
        <v>1230</v>
      </c>
      <c r="B463" s="24" t="s">
        <v>1217</v>
      </c>
      <c r="C463" s="24" t="s">
        <v>23</v>
      </c>
      <c r="D463" s="6">
        <v>30</v>
      </c>
      <c r="E463" s="24" t="s">
        <v>1231</v>
      </c>
      <c r="F463" s="24" t="s">
        <v>180</v>
      </c>
      <c r="G463" s="24" t="s">
        <v>1232</v>
      </c>
      <c r="H463" s="24" t="s">
        <v>1233</v>
      </c>
      <c r="I463" s="5">
        <v>73934</v>
      </c>
      <c r="L463" s="5">
        <v>73934</v>
      </c>
      <c r="M463" s="5">
        <v>7921.5</v>
      </c>
      <c r="N463" s="5">
        <v>66012.5</v>
      </c>
    </row>
    <row r="464" spans="1:14">
      <c r="A464" s="24" t="s">
        <v>1234</v>
      </c>
      <c r="B464" s="24" t="s">
        <v>1217</v>
      </c>
      <c r="C464" s="24" t="s">
        <v>162</v>
      </c>
      <c r="D464" s="6">
        <v>90</v>
      </c>
      <c r="E464" s="24" t="s">
        <v>1235</v>
      </c>
      <c r="F464" s="24" t="s">
        <v>163</v>
      </c>
      <c r="G464" s="24" t="s">
        <v>164</v>
      </c>
      <c r="H464" s="24" t="s">
        <v>1236</v>
      </c>
      <c r="I464" s="5">
        <v>29400</v>
      </c>
      <c r="L464" s="5">
        <v>29400</v>
      </c>
      <c r="M464" s="5">
        <v>3150</v>
      </c>
      <c r="N464" s="5">
        <v>26250</v>
      </c>
    </row>
    <row r="465" spans="1:14">
      <c r="A465" s="24" t="s">
        <v>1237</v>
      </c>
      <c r="B465" s="24" t="s">
        <v>1217</v>
      </c>
      <c r="C465" s="24" t="s">
        <v>243</v>
      </c>
      <c r="D465" s="6">
        <v>30</v>
      </c>
      <c r="E465" s="24" t="s">
        <v>1231</v>
      </c>
      <c r="F465" s="24" t="s">
        <v>56</v>
      </c>
      <c r="G465" s="24" t="s">
        <v>126</v>
      </c>
      <c r="H465" s="24" t="s">
        <v>1238</v>
      </c>
      <c r="I465" s="5">
        <v>39200</v>
      </c>
      <c r="L465" s="5">
        <v>39200</v>
      </c>
      <c r="M465" s="5">
        <v>4200</v>
      </c>
      <c r="N465" s="5">
        <v>35000</v>
      </c>
    </row>
    <row r="466" spans="1:14">
      <c r="A466" s="24" t="s">
        <v>1239</v>
      </c>
      <c r="B466" s="24" t="s">
        <v>1217</v>
      </c>
      <c r="C466" s="24" t="s">
        <v>60</v>
      </c>
      <c r="D466" s="6">
        <v>0</v>
      </c>
      <c r="E466" s="24" t="s">
        <v>1217</v>
      </c>
      <c r="F466" s="24" t="s">
        <v>56</v>
      </c>
      <c r="G466" s="24" t="s">
        <v>190</v>
      </c>
      <c r="H466" s="24" t="s">
        <v>1240</v>
      </c>
      <c r="I466" s="5">
        <v>28240</v>
      </c>
      <c r="L466" s="5">
        <v>28240</v>
      </c>
      <c r="M466" s="5">
        <v>3025.71</v>
      </c>
      <c r="N466" s="5">
        <v>25214.29</v>
      </c>
    </row>
    <row r="467" spans="1:14">
      <c r="A467" s="24" t="s">
        <v>1241</v>
      </c>
      <c r="B467" s="24" t="s">
        <v>1217</v>
      </c>
      <c r="C467" s="24" t="s">
        <v>34</v>
      </c>
      <c r="D467" s="6">
        <v>60</v>
      </c>
      <c r="E467" s="24" t="s">
        <v>1223</v>
      </c>
      <c r="F467" s="24" t="s">
        <v>25</v>
      </c>
      <c r="G467" s="24" t="s">
        <v>1242</v>
      </c>
      <c r="H467" s="24" t="s">
        <v>1243</v>
      </c>
      <c r="I467" s="5">
        <v>126034</v>
      </c>
      <c r="L467" s="5">
        <v>126034</v>
      </c>
      <c r="M467" s="5">
        <v>13503.64</v>
      </c>
      <c r="N467" s="5">
        <v>112530.36</v>
      </c>
    </row>
    <row r="468" spans="1:14">
      <c r="A468" s="24" t="s">
        <v>1244</v>
      </c>
      <c r="B468" s="24" t="s">
        <v>1217</v>
      </c>
      <c r="C468" s="24" t="s">
        <v>64</v>
      </c>
      <c r="D468" s="6">
        <v>30</v>
      </c>
      <c r="E468" s="24" t="s">
        <v>1231</v>
      </c>
      <c r="F468" s="24" t="s">
        <v>56</v>
      </c>
      <c r="G468" s="24" t="s">
        <v>1245</v>
      </c>
      <c r="H468" s="24" t="s">
        <v>1246</v>
      </c>
      <c r="I468" s="5">
        <v>1442300</v>
      </c>
      <c r="L468" s="5">
        <v>1442300</v>
      </c>
      <c r="M468" s="5">
        <v>154532.14000000001</v>
      </c>
      <c r="N468" s="5">
        <v>1287767.8600000001</v>
      </c>
    </row>
    <row r="469" spans="1:14">
      <c r="A469" s="24" t="s">
        <v>1247</v>
      </c>
      <c r="B469" s="24" t="s">
        <v>1217</v>
      </c>
      <c r="C469" s="24" t="s">
        <v>60</v>
      </c>
      <c r="D469" s="6">
        <v>0</v>
      </c>
      <c r="E469" s="24" t="s">
        <v>1217</v>
      </c>
      <c r="F469" s="24" t="s">
        <v>30</v>
      </c>
      <c r="G469" s="24" t="s">
        <v>1248</v>
      </c>
      <c r="H469" s="24" t="s">
        <v>1249</v>
      </c>
      <c r="I469" s="5">
        <v>106715</v>
      </c>
      <c r="L469" s="5">
        <v>106715</v>
      </c>
      <c r="M469" s="5">
        <v>11433.75</v>
      </c>
      <c r="N469" s="5">
        <v>95281.25</v>
      </c>
    </row>
    <row r="470" spans="1:14">
      <c r="A470" s="24" t="s">
        <v>1250</v>
      </c>
      <c r="B470" s="24" t="s">
        <v>1217</v>
      </c>
      <c r="C470" s="24" t="s">
        <v>60</v>
      </c>
      <c r="D470" s="6">
        <v>0</v>
      </c>
      <c r="E470" s="24" t="s">
        <v>1217</v>
      </c>
      <c r="F470" s="24" t="s">
        <v>56</v>
      </c>
      <c r="G470" s="24" t="s">
        <v>196</v>
      </c>
      <c r="H470" s="24" t="s">
        <v>1251</v>
      </c>
      <c r="I470" s="5">
        <v>740550</v>
      </c>
      <c r="L470" s="5">
        <v>740550</v>
      </c>
      <c r="M470" s="5">
        <v>79344.639999999999</v>
      </c>
      <c r="N470" s="5">
        <v>661205.36</v>
      </c>
    </row>
    <row r="471" spans="1:14">
      <c r="A471" s="24" t="s">
        <v>1252</v>
      </c>
      <c r="B471" s="24" t="s">
        <v>1217</v>
      </c>
      <c r="C471" s="24" t="s">
        <v>23</v>
      </c>
      <c r="D471" s="6">
        <v>30</v>
      </c>
      <c r="E471" s="24" t="s">
        <v>1231</v>
      </c>
      <c r="F471" s="24" t="s">
        <v>56</v>
      </c>
      <c r="G471" s="24" t="s">
        <v>457</v>
      </c>
      <c r="H471" s="24" t="s">
        <v>1253</v>
      </c>
      <c r="I471" s="5">
        <v>9800</v>
      </c>
      <c r="L471" s="5">
        <v>9800</v>
      </c>
      <c r="M471" s="5">
        <v>1050</v>
      </c>
      <c r="N471" s="5">
        <v>8750</v>
      </c>
    </row>
    <row r="472" spans="1:14">
      <c r="A472" s="24" t="s">
        <v>1254</v>
      </c>
      <c r="B472" s="24" t="s">
        <v>1217</v>
      </c>
      <c r="C472" s="24" t="s">
        <v>146</v>
      </c>
      <c r="D472" s="6">
        <v>90</v>
      </c>
      <c r="E472" s="24" t="s">
        <v>1235</v>
      </c>
      <c r="F472" s="24" t="s">
        <v>759</v>
      </c>
      <c r="G472" s="24" t="s">
        <v>1255</v>
      </c>
      <c r="H472" s="24" t="s">
        <v>1256</v>
      </c>
      <c r="I472" s="5">
        <v>2280000</v>
      </c>
      <c r="L472" s="5">
        <v>2280000</v>
      </c>
      <c r="M472" s="5">
        <v>244285.71</v>
      </c>
      <c r="N472" s="5">
        <v>2035714.29</v>
      </c>
    </row>
    <row r="473" spans="1:14">
      <c r="A473" s="24" t="s">
        <v>1257</v>
      </c>
      <c r="B473" s="24" t="s">
        <v>1217</v>
      </c>
      <c r="C473" s="24" t="s">
        <v>73</v>
      </c>
      <c r="D473" s="6">
        <v>30</v>
      </c>
      <c r="E473" s="24" t="s">
        <v>1231</v>
      </c>
      <c r="F473" s="24" t="s">
        <v>105</v>
      </c>
      <c r="G473" s="24" t="s">
        <v>1114</v>
      </c>
      <c r="H473" s="24" t="s">
        <v>1258</v>
      </c>
      <c r="I473" s="5">
        <v>80640</v>
      </c>
      <c r="L473" s="5">
        <v>80640</v>
      </c>
      <c r="M473" s="5">
        <v>8640</v>
      </c>
      <c r="N473" s="5">
        <v>72000</v>
      </c>
    </row>
    <row r="474" spans="1:14">
      <c r="A474" s="24" t="s">
        <v>1259</v>
      </c>
      <c r="B474" s="24" t="s">
        <v>1217</v>
      </c>
      <c r="C474" s="24" t="s">
        <v>73</v>
      </c>
      <c r="D474" s="6">
        <v>30</v>
      </c>
      <c r="E474" s="24" t="s">
        <v>1231</v>
      </c>
      <c r="F474" s="24" t="s">
        <v>105</v>
      </c>
      <c r="G474" s="24" t="s">
        <v>1114</v>
      </c>
      <c r="H474" s="24" t="s">
        <v>1260</v>
      </c>
      <c r="I474" s="5">
        <v>215287</v>
      </c>
      <c r="L474" s="5">
        <v>215287</v>
      </c>
      <c r="M474" s="5">
        <v>23066.46</v>
      </c>
      <c r="N474" s="5">
        <v>192220.54</v>
      </c>
    </row>
    <row r="475" spans="1:14">
      <c r="A475" s="24" t="s">
        <v>1261</v>
      </c>
      <c r="B475" s="24" t="s">
        <v>1217</v>
      </c>
      <c r="C475" s="24" t="s">
        <v>333</v>
      </c>
      <c r="D475" s="6">
        <v>30</v>
      </c>
      <c r="E475" s="24" t="s">
        <v>1231</v>
      </c>
      <c r="F475" s="24" t="s">
        <v>270</v>
      </c>
      <c r="G475" s="24" t="s">
        <v>1262</v>
      </c>
      <c r="H475" s="24" t="s">
        <v>1263</v>
      </c>
      <c r="I475" s="5">
        <v>261896</v>
      </c>
      <c r="L475" s="5">
        <v>261896</v>
      </c>
      <c r="M475" s="5">
        <v>28060.29</v>
      </c>
      <c r="N475" s="5">
        <v>233835.71</v>
      </c>
    </row>
    <row r="476" spans="1:14">
      <c r="A476" s="24" t="s">
        <v>1264</v>
      </c>
      <c r="B476" s="24" t="s">
        <v>1217</v>
      </c>
      <c r="C476" s="24" t="s">
        <v>333</v>
      </c>
      <c r="D476" s="6">
        <v>30</v>
      </c>
      <c r="E476" s="24" t="s">
        <v>1231</v>
      </c>
      <c r="F476" s="24" t="s">
        <v>270</v>
      </c>
      <c r="G476" s="24" t="s">
        <v>1262</v>
      </c>
      <c r="H476" s="24" t="s">
        <v>1265</v>
      </c>
      <c r="I476" s="5">
        <v>212525</v>
      </c>
      <c r="L476" s="5">
        <v>212525</v>
      </c>
      <c r="M476" s="5">
        <v>22770.54</v>
      </c>
      <c r="N476" s="5">
        <v>189754.46</v>
      </c>
    </row>
    <row r="477" spans="1:14">
      <c r="A477" s="24" t="s">
        <v>1266</v>
      </c>
      <c r="B477" s="24" t="s">
        <v>1217</v>
      </c>
      <c r="C477" s="24" t="s">
        <v>60</v>
      </c>
      <c r="D477" s="6">
        <v>0</v>
      </c>
      <c r="E477" s="24" t="s">
        <v>1217</v>
      </c>
      <c r="F477" s="24" t="s">
        <v>56</v>
      </c>
      <c r="G477" s="24" t="s">
        <v>605</v>
      </c>
      <c r="H477" s="24" t="s">
        <v>1267</v>
      </c>
      <c r="I477" s="5">
        <v>1154454.3999999999</v>
      </c>
      <c r="L477" s="5">
        <v>1154454.3999999999</v>
      </c>
      <c r="M477" s="5">
        <v>123691.54</v>
      </c>
      <c r="N477" s="5">
        <v>1030762.86</v>
      </c>
    </row>
    <row r="478" spans="1:14">
      <c r="A478" s="24" t="s">
        <v>1268</v>
      </c>
      <c r="B478" s="24" t="s">
        <v>1217</v>
      </c>
      <c r="C478" s="24" t="s">
        <v>146</v>
      </c>
      <c r="D478" s="6">
        <v>90</v>
      </c>
      <c r="E478" s="24" t="s">
        <v>1235</v>
      </c>
      <c r="F478" s="24" t="s">
        <v>36</v>
      </c>
      <c r="G478" s="24" t="s">
        <v>193</v>
      </c>
      <c r="H478" s="24" t="s">
        <v>1269</v>
      </c>
      <c r="I478" s="5">
        <v>436450</v>
      </c>
      <c r="L478" s="5">
        <v>436450</v>
      </c>
      <c r="M478" s="5">
        <v>46762.5</v>
      </c>
      <c r="N478" s="5">
        <v>389687.5</v>
      </c>
    </row>
    <row r="479" spans="1:14">
      <c r="A479" s="24" t="s">
        <v>1270</v>
      </c>
      <c r="B479" s="24" t="s">
        <v>1217</v>
      </c>
      <c r="C479" s="24" t="s">
        <v>146</v>
      </c>
      <c r="D479" s="6">
        <v>90</v>
      </c>
      <c r="E479" s="24" t="s">
        <v>1235</v>
      </c>
      <c r="F479" s="24" t="s">
        <v>36</v>
      </c>
      <c r="G479" s="24" t="s">
        <v>754</v>
      </c>
      <c r="H479" s="24" t="s">
        <v>1271</v>
      </c>
      <c r="I479" s="5">
        <v>496650</v>
      </c>
      <c r="L479" s="5">
        <v>496650</v>
      </c>
      <c r="M479" s="5">
        <v>53212.5</v>
      </c>
      <c r="N479" s="5">
        <v>443437.5</v>
      </c>
    </row>
    <row r="480" spans="1:14">
      <c r="A480" s="24" t="s">
        <v>1272</v>
      </c>
      <c r="B480" s="24" t="s">
        <v>1217</v>
      </c>
      <c r="C480" s="24" t="s">
        <v>146</v>
      </c>
      <c r="D480" s="6">
        <v>90</v>
      </c>
      <c r="E480" s="24" t="s">
        <v>1235</v>
      </c>
      <c r="F480" s="24" t="s">
        <v>36</v>
      </c>
      <c r="G480" s="24" t="s">
        <v>193</v>
      </c>
      <c r="H480" s="24" t="s">
        <v>1273</v>
      </c>
      <c r="I480" s="5">
        <v>327240</v>
      </c>
      <c r="L480" s="5">
        <v>327240</v>
      </c>
      <c r="M480" s="5">
        <v>35061.43</v>
      </c>
      <c r="N480" s="5">
        <v>292178.57</v>
      </c>
    </row>
    <row r="481" spans="1:14">
      <c r="A481" s="24" t="s">
        <v>1274</v>
      </c>
      <c r="B481" s="24" t="s">
        <v>1217</v>
      </c>
      <c r="C481" s="24" t="s">
        <v>60</v>
      </c>
      <c r="D481" s="6">
        <v>0</v>
      </c>
      <c r="E481" s="24" t="s">
        <v>1217</v>
      </c>
      <c r="F481" s="24" t="s">
        <v>56</v>
      </c>
      <c r="G481" s="24" t="s">
        <v>412</v>
      </c>
      <c r="H481" s="24" t="s">
        <v>1275</v>
      </c>
      <c r="I481" s="5">
        <v>11760</v>
      </c>
      <c r="J481" s="4">
        <v>-352.8</v>
      </c>
      <c r="L481" s="5">
        <v>11407.2</v>
      </c>
      <c r="M481" s="5">
        <v>1222.2</v>
      </c>
      <c r="N481" s="5">
        <v>10185</v>
      </c>
    </row>
    <row r="482" spans="1:14">
      <c r="A482" s="24" t="s">
        <v>1276</v>
      </c>
      <c r="B482" s="24" t="s">
        <v>1217</v>
      </c>
      <c r="C482" s="24" t="s">
        <v>146</v>
      </c>
      <c r="D482" s="6">
        <v>90</v>
      </c>
      <c r="E482" s="24" t="s">
        <v>1235</v>
      </c>
      <c r="F482" s="24" t="s">
        <v>36</v>
      </c>
      <c r="G482" s="24" t="s">
        <v>193</v>
      </c>
      <c r="H482" s="24" t="s">
        <v>1277</v>
      </c>
      <c r="I482" s="5">
        <v>90300</v>
      </c>
      <c r="L482" s="5">
        <v>90300</v>
      </c>
      <c r="M482" s="5">
        <v>9675</v>
      </c>
      <c r="N482" s="5">
        <v>80625</v>
      </c>
    </row>
    <row r="483" spans="1:14">
      <c r="A483" s="24" t="s">
        <v>1278</v>
      </c>
      <c r="B483" s="24" t="s">
        <v>1217</v>
      </c>
      <c r="C483" s="24" t="s">
        <v>73</v>
      </c>
      <c r="D483" s="6">
        <v>30</v>
      </c>
      <c r="E483" s="24" t="s">
        <v>1231</v>
      </c>
      <c r="F483" s="24" t="s">
        <v>56</v>
      </c>
      <c r="G483" s="24" t="s">
        <v>812</v>
      </c>
      <c r="H483" s="24" t="s">
        <v>1279</v>
      </c>
      <c r="I483" s="5">
        <v>147233</v>
      </c>
      <c r="L483" s="5">
        <v>147233</v>
      </c>
      <c r="M483" s="5">
        <v>15774.96</v>
      </c>
      <c r="N483" s="5">
        <v>131458.04</v>
      </c>
    </row>
    <row r="484" spans="1:14">
      <c r="A484" s="24" t="s">
        <v>1280</v>
      </c>
      <c r="B484" s="24" t="s">
        <v>1217</v>
      </c>
      <c r="C484" s="24" t="s">
        <v>60</v>
      </c>
      <c r="D484" s="6">
        <v>0</v>
      </c>
      <c r="E484" s="24" t="s">
        <v>1217</v>
      </c>
      <c r="F484" s="24" t="s">
        <v>56</v>
      </c>
      <c r="G484" s="24" t="s">
        <v>605</v>
      </c>
      <c r="H484" s="24" t="s">
        <v>1281</v>
      </c>
      <c r="I484" s="5">
        <v>255000</v>
      </c>
      <c r="L484" s="5">
        <v>255000</v>
      </c>
      <c r="M484" s="5">
        <v>27321.43</v>
      </c>
      <c r="N484" s="5">
        <v>227678.57</v>
      </c>
    </row>
    <row r="485" spans="1:14">
      <c r="A485" s="24" t="s">
        <v>1282</v>
      </c>
      <c r="B485" s="24" t="s">
        <v>1217</v>
      </c>
      <c r="C485" s="24" t="s">
        <v>68</v>
      </c>
      <c r="D485" s="6">
        <v>60</v>
      </c>
      <c r="E485" s="24" t="s">
        <v>1223</v>
      </c>
      <c r="F485" s="24" t="s">
        <v>69</v>
      </c>
      <c r="G485" s="24" t="s">
        <v>70</v>
      </c>
      <c r="H485" s="24" t="s">
        <v>1283</v>
      </c>
      <c r="I485" s="5">
        <v>2419200</v>
      </c>
      <c r="L485" s="5">
        <v>2419200</v>
      </c>
      <c r="M485" s="5">
        <v>259200</v>
      </c>
      <c r="N485" s="5">
        <v>2160000</v>
      </c>
    </row>
    <row r="486" spans="1:14">
      <c r="A486" s="24" t="s">
        <v>1284</v>
      </c>
      <c r="B486" s="24" t="s">
        <v>1217</v>
      </c>
      <c r="C486" s="24" t="s">
        <v>29</v>
      </c>
      <c r="D486" s="6">
        <v>0</v>
      </c>
      <c r="E486" s="24" t="s">
        <v>1217</v>
      </c>
      <c r="F486" s="24" t="s">
        <v>30</v>
      </c>
      <c r="G486" s="24" t="s">
        <v>40</v>
      </c>
      <c r="H486" s="24" t="s">
        <v>1285</v>
      </c>
      <c r="I486" s="5">
        <v>74600</v>
      </c>
      <c r="L486" s="5">
        <v>74600</v>
      </c>
      <c r="M486" s="5">
        <v>7992.86</v>
      </c>
      <c r="N486" s="5">
        <v>66607.14</v>
      </c>
    </row>
    <row r="487" spans="1:14">
      <c r="A487" s="24" t="s">
        <v>1286</v>
      </c>
      <c r="B487" s="24" t="s">
        <v>1287</v>
      </c>
      <c r="C487" s="24" t="s">
        <v>18</v>
      </c>
      <c r="D487" s="6">
        <v>0</v>
      </c>
      <c r="E487" s="24" t="s">
        <v>1287</v>
      </c>
      <c r="F487" s="24" t="s">
        <v>46</v>
      </c>
      <c r="G487" s="24" t="s">
        <v>1288</v>
      </c>
      <c r="H487" s="24" t="s">
        <v>1289</v>
      </c>
      <c r="I487" s="5">
        <v>83772</v>
      </c>
      <c r="J487" s="4">
        <v>-1675.44</v>
      </c>
      <c r="L487" s="5">
        <v>82096.56</v>
      </c>
      <c r="M487" s="5">
        <v>8796.06</v>
      </c>
      <c r="N487" s="5">
        <v>73300.5</v>
      </c>
    </row>
    <row r="488" spans="1:14">
      <c r="A488" s="24" t="s">
        <v>1290</v>
      </c>
      <c r="B488" s="24" t="s">
        <v>1287</v>
      </c>
      <c r="C488" s="24" t="s">
        <v>18</v>
      </c>
      <c r="D488" s="6">
        <v>0</v>
      </c>
      <c r="E488" s="24" t="s">
        <v>1287</v>
      </c>
      <c r="F488" s="24" t="s">
        <v>46</v>
      </c>
      <c r="G488" s="24" t="s">
        <v>1288</v>
      </c>
      <c r="H488" s="24" t="s">
        <v>1291</v>
      </c>
      <c r="I488" s="5">
        <v>18000</v>
      </c>
      <c r="J488" s="4">
        <v>-360</v>
      </c>
      <c r="L488" s="5">
        <v>17640</v>
      </c>
      <c r="M488" s="5">
        <v>1890</v>
      </c>
      <c r="N488" s="5">
        <v>15750</v>
      </c>
    </row>
    <row r="489" spans="1:14">
      <c r="A489" s="24" t="s">
        <v>1292</v>
      </c>
      <c r="B489" s="24" t="s">
        <v>1287</v>
      </c>
      <c r="C489" s="24" t="s">
        <v>18</v>
      </c>
      <c r="D489" s="6">
        <v>0</v>
      </c>
      <c r="E489" s="24" t="s">
        <v>1287</v>
      </c>
      <c r="F489" s="24" t="s">
        <v>46</v>
      </c>
      <c r="G489" s="24" t="s">
        <v>1288</v>
      </c>
      <c r="H489" s="24" t="s">
        <v>1293</v>
      </c>
      <c r="I489" s="5">
        <v>25670</v>
      </c>
      <c r="J489" s="4">
        <v>-513.4</v>
      </c>
      <c r="L489" s="5">
        <v>25156.6</v>
      </c>
      <c r="M489" s="5">
        <v>2695.35</v>
      </c>
      <c r="N489" s="5">
        <v>22461.25</v>
      </c>
    </row>
    <row r="490" spans="1:14">
      <c r="A490" s="24" t="s">
        <v>1294</v>
      </c>
      <c r="B490" s="24" t="s">
        <v>1287</v>
      </c>
      <c r="C490" s="24" t="s">
        <v>18</v>
      </c>
      <c r="D490" s="6">
        <v>0</v>
      </c>
      <c r="E490" s="24" t="s">
        <v>1287</v>
      </c>
      <c r="F490" s="24" t="s">
        <v>46</v>
      </c>
      <c r="G490" s="24" t="s">
        <v>1288</v>
      </c>
      <c r="H490" s="24" t="s">
        <v>1295</v>
      </c>
      <c r="I490" s="5">
        <v>13090</v>
      </c>
      <c r="J490" s="4">
        <v>-261.8</v>
      </c>
      <c r="L490" s="5">
        <v>12828.2</v>
      </c>
      <c r="M490" s="5">
        <v>1374.45</v>
      </c>
      <c r="N490" s="5">
        <v>11453.75</v>
      </c>
    </row>
    <row r="491" spans="1:14">
      <c r="A491" s="24" t="s">
        <v>1296</v>
      </c>
      <c r="B491" s="24" t="s">
        <v>1287</v>
      </c>
      <c r="C491" s="24" t="s">
        <v>73</v>
      </c>
      <c r="D491" s="6">
        <v>30</v>
      </c>
      <c r="E491" s="24" t="s">
        <v>1297</v>
      </c>
      <c r="F491" s="24" t="s">
        <v>46</v>
      </c>
      <c r="G491" s="24" t="s">
        <v>522</v>
      </c>
      <c r="H491" s="24" t="s">
        <v>1298</v>
      </c>
      <c r="I491" s="5">
        <v>289280</v>
      </c>
      <c r="L491" s="5">
        <v>289280</v>
      </c>
      <c r="N491" s="5">
        <v>289280</v>
      </c>
    </row>
    <row r="492" spans="1:14">
      <c r="A492" s="24" t="s">
        <v>1299</v>
      </c>
      <c r="B492" s="24" t="s">
        <v>1287</v>
      </c>
      <c r="C492" s="24" t="s">
        <v>60</v>
      </c>
      <c r="D492" s="6">
        <v>0</v>
      </c>
      <c r="E492" s="24" t="s">
        <v>1287</v>
      </c>
      <c r="F492" s="24" t="s">
        <v>56</v>
      </c>
      <c r="G492" s="24" t="s">
        <v>1300</v>
      </c>
      <c r="H492" s="24" t="s">
        <v>1301</v>
      </c>
      <c r="I492" s="5">
        <v>50875</v>
      </c>
      <c r="L492" s="5">
        <v>50875</v>
      </c>
      <c r="M492" s="5">
        <v>5450.89</v>
      </c>
      <c r="N492" s="5">
        <v>45424.11</v>
      </c>
    </row>
    <row r="493" spans="1:14">
      <c r="A493" s="24" t="s">
        <v>1302</v>
      </c>
      <c r="B493" s="24" t="s">
        <v>1287</v>
      </c>
      <c r="C493" s="24" t="s">
        <v>60</v>
      </c>
      <c r="D493" s="6">
        <v>0</v>
      </c>
      <c r="E493" s="24" t="s">
        <v>1287</v>
      </c>
      <c r="F493" s="24" t="s">
        <v>56</v>
      </c>
      <c r="G493" s="24" t="s">
        <v>1300</v>
      </c>
      <c r="H493" s="24" t="s">
        <v>1303</v>
      </c>
      <c r="I493" s="5">
        <v>3540</v>
      </c>
      <c r="L493" s="5">
        <v>3540</v>
      </c>
      <c r="M493" s="7">
        <v>379.29</v>
      </c>
      <c r="N493" s="5">
        <v>3160.71</v>
      </c>
    </row>
    <row r="494" spans="1:14">
      <c r="A494" s="24" t="s">
        <v>1304</v>
      </c>
      <c r="B494" s="24" t="s">
        <v>1287</v>
      </c>
      <c r="C494" s="24" t="s">
        <v>60</v>
      </c>
      <c r="D494" s="6">
        <v>0</v>
      </c>
      <c r="E494" s="24" t="s">
        <v>1287</v>
      </c>
      <c r="F494" s="24" t="s">
        <v>56</v>
      </c>
      <c r="G494" s="24" t="s">
        <v>211</v>
      </c>
      <c r="H494" s="24" t="s">
        <v>1305</v>
      </c>
      <c r="I494" s="5">
        <v>28800</v>
      </c>
      <c r="L494" s="5">
        <v>28800</v>
      </c>
      <c r="M494" s="5">
        <v>3085.71</v>
      </c>
      <c r="N494" s="5">
        <v>25714.29</v>
      </c>
    </row>
    <row r="495" spans="1:14">
      <c r="A495" s="24" t="s">
        <v>1306</v>
      </c>
      <c r="B495" s="24" t="s">
        <v>1287</v>
      </c>
      <c r="C495" s="24" t="s">
        <v>60</v>
      </c>
      <c r="D495" s="6">
        <v>0</v>
      </c>
      <c r="E495" s="24" t="s">
        <v>1287</v>
      </c>
      <c r="F495" s="24" t="s">
        <v>56</v>
      </c>
      <c r="G495" s="24" t="s">
        <v>211</v>
      </c>
      <c r="H495" s="24" t="s">
        <v>1307</v>
      </c>
      <c r="I495" s="5">
        <v>28800</v>
      </c>
      <c r="L495" s="5">
        <v>28800</v>
      </c>
      <c r="M495" s="5">
        <v>3085.71</v>
      </c>
      <c r="N495" s="5">
        <v>25714.29</v>
      </c>
    </row>
    <row r="496" spans="1:14">
      <c r="A496" s="24" t="s">
        <v>1308</v>
      </c>
      <c r="B496" s="24" t="s">
        <v>1287</v>
      </c>
      <c r="C496" s="24" t="s">
        <v>60</v>
      </c>
      <c r="D496" s="6">
        <v>0</v>
      </c>
      <c r="E496" s="24" t="s">
        <v>1287</v>
      </c>
      <c r="F496" s="24" t="s">
        <v>56</v>
      </c>
      <c r="G496" s="24" t="s">
        <v>211</v>
      </c>
      <c r="H496" s="24" t="s">
        <v>1309</v>
      </c>
      <c r="I496" s="5">
        <v>28800</v>
      </c>
      <c r="L496" s="5">
        <v>28800</v>
      </c>
      <c r="M496" s="5">
        <v>3085.71</v>
      </c>
      <c r="N496" s="5">
        <v>25714.29</v>
      </c>
    </row>
    <row r="497" spans="1:14">
      <c r="A497" s="24" t="s">
        <v>1310</v>
      </c>
      <c r="B497" s="24" t="s">
        <v>1287</v>
      </c>
      <c r="C497" s="24" t="s">
        <v>60</v>
      </c>
      <c r="D497" s="6">
        <v>0</v>
      </c>
      <c r="E497" s="24" t="s">
        <v>1287</v>
      </c>
      <c r="F497" s="24" t="s">
        <v>56</v>
      </c>
      <c r="G497" s="24" t="s">
        <v>293</v>
      </c>
      <c r="H497" s="24" t="s">
        <v>1311</v>
      </c>
      <c r="I497" s="5">
        <v>62730</v>
      </c>
      <c r="L497" s="5">
        <v>62730</v>
      </c>
      <c r="M497" s="5">
        <v>6721.07</v>
      </c>
      <c r="N497" s="5">
        <v>56008.93</v>
      </c>
    </row>
    <row r="498" spans="1:14">
      <c r="A498" s="24" t="s">
        <v>1312</v>
      </c>
      <c r="B498" s="24" t="s">
        <v>1287</v>
      </c>
      <c r="C498" s="24" t="s">
        <v>60</v>
      </c>
      <c r="D498" s="6">
        <v>0</v>
      </c>
      <c r="E498" s="24" t="s">
        <v>1287</v>
      </c>
      <c r="F498" s="24" t="s">
        <v>56</v>
      </c>
      <c r="G498" s="24" t="s">
        <v>190</v>
      </c>
      <c r="H498" s="24" t="s">
        <v>1313</v>
      </c>
      <c r="I498" s="5">
        <v>248990</v>
      </c>
      <c r="L498" s="5">
        <v>248990</v>
      </c>
      <c r="M498" s="5">
        <v>26677.5</v>
      </c>
      <c r="N498" s="5">
        <v>222312.5</v>
      </c>
    </row>
    <row r="499" spans="1:14">
      <c r="A499" s="24" t="s">
        <v>1314</v>
      </c>
      <c r="B499" s="24" t="s">
        <v>1287</v>
      </c>
      <c r="C499" s="24" t="s">
        <v>162</v>
      </c>
      <c r="D499" s="6">
        <v>90</v>
      </c>
      <c r="E499" s="24" t="s">
        <v>1315</v>
      </c>
      <c r="F499" s="24" t="s">
        <v>204</v>
      </c>
      <c r="G499" s="24" t="s">
        <v>1316</v>
      </c>
      <c r="H499" s="24" t="s">
        <v>1317</v>
      </c>
      <c r="I499" s="5">
        <v>45720</v>
      </c>
      <c r="L499" s="5">
        <v>45720</v>
      </c>
      <c r="M499" s="5">
        <v>4898.57</v>
      </c>
      <c r="N499" s="5">
        <v>40821.43</v>
      </c>
    </row>
    <row r="500" spans="1:14">
      <c r="A500" s="24" t="s">
        <v>1318</v>
      </c>
      <c r="B500" s="24" t="s">
        <v>1287</v>
      </c>
      <c r="C500" s="24" t="s">
        <v>60</v>
      </c>
      <c r="D500" s="6">
        <v>0</v>
      </c>
      <c r="E500" s="24" t="s">
        <v>1287</v>
      </c>
      <c r="F500" s="24" t="s">
        <v>30</v>
      </c>
      <c r="G500" s="24" t="s">
        <v>1248</v>
      </c>
      <c r="H500" s="24" t="s">
        <v>1319</v>
      </c>
      <c r="I500" s="5">
        <v>4330</v>
      </c>
      <c r="L500" s="5">
        <v>4330</v>
      </c>
      <c r="M500" s="7">
        <v>463.93</v>
      </c>
      <c r="N500" s="5">
        <v>3866.07</v>
      </c>
    </row>
    <row r="501" spans="1:14">
      <c r="A501" s="24" t="s">
        <v>1320</v>
      </c>
      <c r="B501" s="24" t="s">
        <v>1287</v>
      </c>
      <c r="C501" s="24" t="s">
        <v>73</v>
      </c>
      <c r="D501" s="6">
        <v>30</v>
      </c>
      <c r="E501" s="24" t="s">
        <v>1297</v>
      </c>
      <c r="F501" s="24" t="s">
        <v>46</v>
      </c>
      <c r="G501" s="24" t="s">
        <v>1321</v>
      </c>
      <c r="H501" s="24" t="s">
        <v>1322</v>
      </c>
      <c r="I501" s="5">
        <v>9335</v>
      </c>
      <c r="L501" s="5">
        <v>9335</v>
      </c>
      <c r="M501" s="5">
        <v>1000.18</v>
      </c>
      <c r="N501" s="5">
        <v>8334.82</v>
      </c>
    </row>
    <row r="502" spans="1:14">
      <c r="A502" s="24" t="s">
        <v>1323</v>
      </c>
      <c r="B502" s="24" t="s">
        <v>1287</v>
      </c>
      <c r="C502" s="24" t="s">
        <v>73</v>
      </c>
      <c r="D502" s="6">
        <v>30</v>
      </c>
      <c r="E502" s="24" t="s">
        <v>1297</v>
      </c>
      <c r="F502" s="24" t="s">
        <v>46</v>
      </c>
      <c r="G502" s="24" t="s">
        <v>1321</v>
      </c>
      <c r="H502" s="24" t="s">
        <v>1324</v>
      </c>
      <c r="I502" s="5">
        <v>369142</v>
      </c>
      <c r="L502" s="5">
        <v>369142</v>
      </c>
      <c r="M502" s="5">
        <v>39550.93</v>
      </c>
      <c r="N502" s="5">
        <v>329591.07</v>
      </c>
    </row>
    <row r="503" spans="1:14">
      <c r="A503" s="24" t="s">
        <v>1325</v>
      </c>
      <c r="B503" s="24" t="s">
        <v>1287</v>
      </c>
      <c r="C503" s="24" t="s">
        <v>146</v>
      </c>
      <c r="D503" s="6">
        <v>90</v>
      </c>
      <c r="E503" s="24" t="s">
        <v>1315</v>
      </c>
      <c r="F503" s="24" t="s">
        <v>46</v>
      </c>
      <c r="G503" s="24" t="s">
        <v>1326</v>
      </c>
      <c r="H503" s="24" t="s">
        <v>1327</v>
      </c>
      <c r="I503" s="5">
        <v>148436</v>
      </c>
      <c r="L503" s="5">
        <v>148436</v>
      </c>
      <c r="M503" s="5">
        <v>15903.86</v>
      </c>
      <c r="N503" s="5">
        <v>132532.14000000001</v>
      </c>
    </row>
    <row r="504" spans="1:14">
      <c r="A504" s="24" t="s">
        <v>1328</v>
      </c>
      <c r="B504" s="24" t="s">
        <v>1287</v>
      </c>
      <c r="C504" s="24" t="s">
        <v>60</v>
      </c>
      <c r="D504" s="6">
        <v>0</v>
      </c>
      <c r="E504" s="24" t="s">
        <v>1287</v>
      </c>
      <c r="F504" s="24" t="s">
        <v>56</v>
      </c>
      <c r="G504" s="24" t="s">
        <v>457</v>
      </c>
      <c r="H504" s="24" t="s">
        <v>1329</v>
      </c>
      <c r="I504" s="5">
        <v>47935</v>
      </c>
      <c r="L504" s="5">
        <v>47935</v>
      </c>
      <c r="M504" s="5">
        <v>5135.8900000000003</v>
      </c>
      <c r="N504" s="5">
        <v>42799.11</v>
      </c>
    </row>
    <row r="505" spans="1:14">
      <c r="A505" s="24" t="s">
        <v>1330</v>
      </c>
      <c r="B505" s="24" t="s">
        <v>1287</v>
      </c>
      <c r="C505" s="24" t="s">
        <v>151</v>
      </c>
      <c r="D505" s="6">
        <v>60</v>
      </c>
      <c r="E505" s="24" t="s">
        <v>1331</v>
      </c>
      <c r="F505" s="24" t="s">
        <v>30</v>
      </c>
      <c r="G505" s="24" t="s">
        <v>614</v>
      </c>
      <c r="H505" s="24" t="s">
        <v>1332</v>
      </c>
      <c r="I505" s="5">
        <v>31905</v>
      </c>
      <c r="L505" s="5">
        <v>31905</v>
      </c>
      <c r="M505" s="5">
        <v>3418.39</v>
      </c>
      <c r="N505" s="5">
        <v>28486.61</v>
      </c>
    </row>
    <row r="506" spans="1:14">
      <c r="A506" s="24" t="s">
        <v>1333</v>
      </c>
      <c r="B506" s="24" t="s">
        <v>1287</v>
      </c>
      <c r="C506" s="24" t="s">
        <v>104</v>
      </c>
      <c r="D506" s="6">
        <v>0</v>
      </c>
      <c r="E506" s="24" t="s">
        <v>1287</v>
      </c>
      <c r="F506" s="24" t="s">
        <v>30</v>
      </c>
      <c r="G506" s="24" t="s">
        <v>1334</v>
      </c>
      <c r="H506" s="24" t="s">
        <v>1335</v>
      </c>
      <c r="I506" s="5">
        <v>1144800</v>
      </c>
      <c r="J506" s="4">
        <v>-34344</v>
      </c>
      <c r="L506" s="5">
        <v>1110456</v>
      </c>
      <c r="M506" s="5">
        <v>118977.43</v>
      </c>
      <c r="N506" s="5">
        <v>991478.57</v>
      </c>
    </row>
    <row r="507" spans="1:14">
      <c r="A507" s="24" t="s">
        <v>1336</v>
      </c>
      <c r="B507" s="24" t="s">
        <v>1287</v>
      </c>
      <c r="C507" s="24" t="s">
        <v>60</v>
      </c>
      <c r="D507" s="6">
        <v>0</v>
      </c>
      <c r="E507" s="24" t="s">
        <v>1287</v>
      </c>
      <c r="F507" s="24" t="s">
        <v>56</v>
      </c>
      <c r="G507" s="24" t="s">
        <v>605</v>
      </c>
      <c r="H507" s="24" t="s">
        <v>1337</v>
      </c>
      <c r="I507" s="5">
        <v>1126635.48</v>
      </c>
      <c r="L507" s="5">
        <v>1126635.48</v>
      </c>
      <c r="M507" s="5">
        <v>120710.94</v>
      </c>
      <c r="N507" s="5">
        <v>1005924.54</v>
      </c>
    </row>
    <row r="508" spans="1:14">
      <c r="A508" s="24" t="s">
        <v>1338</v>
      </c>
      <c r="B508" s="24" t="s">
        <v>1287</v>
      </c>
      <c r="C508" s="24" t="s">
        <v>60</v>
      </c>
      <c r="D508" s="6">
        <v>0</v>
      </c>
      <c r="E508" s="24" t="s">
        <v>1287</v>
      </c>
      <c r="F508" s="24" t="s">
        <v>56</v>
      </c>
      <c r="G508" s="24" t="s">
        <v>605</v>
      </c>
      <c r="H508" s="24" t="s">
        <v>1339</v>
      </c>
      <c r="I508" s="5">
        <v>280110</v>
      </c>
      <c r="L508" s="5">
        <v>280110</v>
      </c>
      <c r="M508" s="5">
        <v>30011.79</v>
      </c>
      <c r="N508" s="5">
        <v>250098.21</v>
      </c>
    </row>
    <row r="509" spans="1:14">
      <c r="A509" s="24" t="s">
        <v>1340</v>
      </c>
      <c r="B509" s="24" t="s">
        <v>1287</v>
      </c>
      <c r="C509" s="24" t="s">
        <v>34</v>
      </c>
      <c r="D509" s="6">
        <v>60</v>
      </c>
      <c r="E509" s="24" t="s">
        <v>1331</v>
      </c>
      <c r="F509" s="24" t="s">
        <v>36</v>
      </c>
      <c r="G509" s="24" t="s">
        <v>37</v>
      </c>
      <c r="H509" s="24" t="s">
        <v>1341</v>
      </c>
      <c r="I509" s="5">
        <v>467200</v>
      </c>
      <c r="L509" s="5">
        <v>467200</v>
      </c>
      <c r="M509" s="5">
        <v>50057.14</v>
      </c>
      <c r="N509" s="5">
        <v>417142.86</v>
      </c>
    </row>
    <row r="510" spans="1:14">
      <c r="A510" s="24" t="s">
        <v>1342</v>
      </c>
      <c r="B510" s="24" t="s">
        <v>1287</v>
      </c>
      <c r="C510" s="24" t="s">
        <v>73</v>
      </c>
      <c r="D510" s="6">
        <v>30</v>
      </c>
      <c r="E510" s="24" t="s">
        <v>1297</v>
      </c>
      <c r="F510" s="24" t="s">
        <v>19</v>
      </c>
      <c r="G510" s="24" t="s">
        <v>267</v>
      </c>
      <c r="H510" s="24" t="s">
        <v>1343</v>
      </c>
      <c r="I510" s="5">
        <v>209080</v>
      </c>
      <c r="L510" s="5">
        <v>209080</v>
      </c>
      <c r="M510" s="5">
        <v>22401.43</v>
      </c>
      <c r="N510" s="5">
        <v>186678.57</v>
      </c>
    </row>
    <row r="511" spans="1:14">
      <c r="A511" s="24" t="s">
        <v>1344</v>
      </c>
      <c r="B511" s="24" t="s">
        <v>1287</v>
      </c>
      <c r="C511" s="24" t="s">
        <v>162</v>
      </c>
      <c r="D511" s="6">
        <v>90</v>
      </c>
      <c r="E511" s="24" t="s">
        <v>1315</v>
      </c>
      <c r="F511" s="24" t="s">
        <v>36</v>
      </c>
      <c r="G511" s="24" t="s">
        <v>193</v>
      </c>
      <c r="H511" s="24" t="s">
        <v>1345</v>
      </c>
      <c r="I511" s="5">
        <v>198750</v>
      </c>
      <c r="L511" s="5">
        <v>198750</v>
      </c>
      <c r="M511" s="5">
        <v>21294.639999999999</v>
      </c>
      <c r="N511" s="5">
        <v>177455.35999999999</v>
      </c>
    </row>
    <row r="512" spans="1:14">
      <c r="A512" s="24" t="s">
        <v>1346</v>
      </c>
      <c r="B512" s="24" t="s">
        <v>1287</v>
      </c>
      <c r="C512" s="24" t="s">
        <v>146</v>
      </c>
      <c r="D512" s="6">
        <v>90</v>
      </c>
      <c r="E512" s="24" t="s">
        <v>1315</v>
      </c>
      <c r="F512" s="24" t="s">
        <v>56</v>
      </c>
      <c r="G512" s="24" t="s">
        <v>666</v>
      </c>
      <c r="H512" s="24" t="s">
        <v>1347</v>
      </c>
      <c r="I512" s="5">
        <v>361195</v>
      </c>
      <c r="L512" s="5">
        <v>361195</v>
      </c>
      <c r="M512" s="5">
        <v>38699.46</v>
      </c>
      <c r="N512" s="5">
        <v>322495.53999999998</v>
      </c>
    </row>
    <row r="513" spans="1:14">
      <c r="A513" s="24" t="s">
        <v>1348</v>
      </c>
      <c r="B513" s="24" t="s">
        <v>1287</v>
      </c>
      <c r="C513" s="24" t="s">
        <v>162</v>
      </c>
      <c r="D513" s="6">
        <v>90</v>
      </c>
      <c r="E513" s="24" t="s">
        <v>1315</v>
      </c>
      <c r="F513" s="24" t="s">
        <v>30</v>
      </c>
      <c r="G513" s="24" t="s">
        <v>1349</v>
      </c>
      <c r="H513" s="24" t="s">
        <v>1350</v>
      </c>
      <c r="I513" s="5">
        <v>172200</v>
      </c>
      <c r="L513" s="5">
        <v>172200</v>
      </c>
      <c r="M513" s="5">
        <v>18450</v>
      </c>
      <c r="N513" s="5">
        <v>153750</v>
      </c>
    </row>
    <row r="514" spans="1:14">
      <c r="A514" s="24" t="s">
        <v>1351</v>
      </c>
      <c r="B514" s="24" t="s">
        <v>1287</v>
      </c>
      <c r="C514" s="24" t="s">
        <v>151</v>
      </c>
      <c r="D514" s="6">
        <v>60</v>
      </c>
      <c r="E514" s="24" t="s">
        <v>1331</v>
      </c>
      <c r="F514" s="24" t="s">
        <v>69</v>
      </c>
      <c r="G514" s="24" t="s">
        <v>253</v>
      </c>
      <c r="H514" s="24" t="s">
        <v>1352</v>
      </c>
      <c r="I514" s="5">
        <v>1041610</v>
      </c>
      <c r="L514" s="5">
        <v>1041610</v>
      </c>
      <c r="M514" s="5">
        <v>111601.07</v>
      </c>
      <c r="N514" s="5">
        <v>930008.93</v>
      </c>
    </row>
    <row r="515" spans="1:14">
      <c r="A515" s="24" t="s">
        <v>1353</v>
      </c>
      <c r="B515" s="24" t="s">
        <v>1287</v>
      </c>
      <c r="C515" s="24" t="s">
        <v>60</v>
      </c>
      <c r="D515" s="6">
        <v>0</v>
      </c>
      <c r="E515" s="24" t="s">
        <v>1287</v>
      </c>
      <c r="F515" s="24" t="s">
        <v>56</v>
      </c>
      <c r="G515" s="24" t="s">
        <v>196</v>
      </c>
      <c r="H515" s="24" t="s">
        <v>1354</v>
      </c>
      <c r="I515" s="5">
        <v>434653</v>
      </c>
      <c r="L515" s="5">
        <v>434653</v>
      </c>
      <c r="M515" s="5">
        <v>46569.96</v>
      </c>
      <c r="N515" s="5">
        <v>388083.04</v>
      </c>
    </row>
    <row r="516" spans="1:14">
      <c r="A516" s="24" t="s">
        <v>1355</v>
      </c>
      <c r="B516" s="24" t="s">
        <v>1287</v>
      </c>
      <c r="C516" s="24" t="s">
        <v>60</v>
      </c>
      <c r="D516" s="6">
        <v>0</v>
      </c>
      <c r="E516" s="24" t="s">
        <v>1287</v>
      </c>
      <c r="F516" s="24" t="s">
        <v>56</v>
      </c>
      <c r="G516" s="24" t="s">
        <v>196</v>
      </c>
      <c r="H516" s="24" t="s">
        <v>1356</v>
      </c>
      <c r="I516" s="5">
        <v>183132</v>
      </c>
      <c r="L516" s="5">
        <v>183132</v>
      </c>
      <c r="M516" s="5">
        <v>19621.29</v>
      </c>
      <c r="N516" s="5">
        <v>163510.71</v>
      </c>
    </row>
    <row r="517" spans="1:14">
      <c r="A517" s="24" t="s">
        <v>1357</v>
      </c>
      <c r="B517" s="24" t="s">
        <v>1287</v>
      </c>
      <c r="C517" s="24" t="s">
        <v>146</v>
      </c>
      <c r="D517" s="6">
        <v>90</v>
      </c>
      <c r="E517" s="24" t="s">
        <v>1315</v>
      </c>
      <c r="F517" s="24" t="s">
        <v>139</v>
      </c>
      <c r="G517" s="24" t="s">
        <v>1038</v>
      </c>
      <c r="H517" s="24" t="s">
        <v>1358</v>
      </c>
      <c r="I517" s="5">
        <v>59512</v>
      </c>
      <c r="L517" s="5">
        <v>59512</v>
      </c>
      <c r="M517" s="5">
        <v>6376.29</v>
      </c>
      <c r="N517" s="5">
        <v>53135.71</v>
      </c>
    </row>
    <row r="518" spans="1:14">
      <c r="A518" s="24" t="s">
        <v>1359</v>
      </c>
      <c r="B518" s="24" t="s">
        <v>1287</v>
      </c>
      <c r="C518" s="24" t="s">
        <v>146</v>
      </c>
      <c r="D518" s="6">
        <v>90</v>
      </c>
      <c r="E518" s="24" t="s">
        <v>1315</v>
      </c>
      <c r="F518" s="24" t="s">
        <v>139</v>
      </c>
      <c r="G518" s="24" t="s">
        <v>1038</v>
      </c>
      <c r="H518" s="24" t="s">
        <v>1360</v>
      </c>
      <c r="I518" s="5">
        <v>178256</v>
      </c>
      <c r="L518" s="5">
        <v>178256</v>
      </c>
      <c r="M518" s="5">
        <v>19098.86</v>
      </c>
      <c r="N518" s="5">
        <v>159157.14000000001</v>
      </c>
    </row>
    <row r="519" spans="1:14">
      <c r="A519" s="24" t="s">
        <v>1361</v>
      </c>
      <c r="B519" s="24" t="s">
        <v>1287</v>
      </c>
      <c r="C519" s="24" t="s">
        <v>146</v>
      </c>
      <c r="D519" s="6">
        <v>90</v>
      </c>
      <c r="E519" s="24" t="s">
        <v>1315</v>
      </c>
      <c r="F519" s="24" t="s">
        <v>139</v>
      </c>
      <c r="G519" s="24" t="s">
        <v>1038</v>
      </c>
      <c r="H519" s="24" t="s">
        <v>1362</v>
      </c>
      <c r="I519" s="5">
        <v>989368</v>
      </c>
      <c r="L519" s="5">
        <v>989368</v>
      </c>
      <c r="M519" s="5">
        <v>106003.71</v>
      </c>
      <c r="N519" s="5">
        <v>883364.29</v>
      </c>
    </row>
    <row r="520" spans="1:14">
      <c r="A520" s="24" t="s">
        <v>1363</v>
      </c>
      <c r="B520" s="24" t="s">
        <v>1287</v>
      </c>
      <c r="C520" s="24" t="s">
        <v>146</v>
      </c>
      <c r="D520" s="6">
        <v>90</v>
      </c>
      <c r="E520" s="24" t="s">
        <v>1315</v>
      </c>
      <c r="F520" s="24" t="s">
        <v>139</v>
      </c>
      <c r="G520" s="24" t="s">
        <v>1038</v>
      </c>
      <c r="H520" s="24" t="s">
        <v>1364</v>
      </c>
      <c r="I520" s="5">
        <v>118334</v>
      </c>
      <c r="L520" s="5">
        <v>118334</v>
      </c>
      <c r="M520" s="5">
        <v>12678.64</v>
      </c>
      <c r="N520" s="5">
        <v>105655.36</v>
      </c>
    </row>
    <row r="521" spans="1:14">
      <c r="A521" s="24" t="s">
        <v>1365</v>
      </c>
      <c r="B521" s="24" t="s">
        <v>1287</v>
      </c>
      <c r="C521" s="24" t="s">
        <v>146</v>
      </c>
      <c r="D521" s="6">
        <v>90</v>
      </c>
      <c r="E521" s="24" t="s">
        <v>1315</v>
      </c>
      <c r="F521" s="24" t="s">
        <v>139</v>
      </c>
      <c r="G521" s="24" t="s">
        <v>1038</v>
      </c>
      <c r="H521" s="24" t="s">
        <v>1366</v>
      </c>
      <c r="I521" s="5">
        <v>35532</v>
      </c>
      <c r="L521" s="5">
        <v>35532</v>
      </c>
      <c r="M521" s="5">
        <v>3807</v>
      </c>
      <c r="N521" s="5">
        <v>31725</v>
      </c>
    </row>
    <row r="522" spans="1:14">
      <c r="A522" s="24" t="s">
        <v>1367</v>
      </c>
      <c r="B522" s="24" t="s">
        <v>1287</v>
      </c>
      <c r="C522" s="24" t="s">
        <v>146</v>
      </c>
      <c r="D522" s="6">
        <v>90</v>
      </c>
      <c r="E522" s="24" t="s">
        <v>1315</v>
      </c>
      <c r="F522" s="24" t="s">
        <v>139</v>
      </c>
      <c r="G522" s="24" t="s">
        <v>1038</v>
      </c>
      <c r="H522" s="24" t="s">
        <v>1368</v>
      </c>
      <c r="I522" s="5">
        <v>175028</v>
      </c>
      <c r="L522" s="5">
        <v>175028</v>
      </c>
      <c r="M522" s="5">
        <v>18753</v>
      </c>
      <c r="N522" s="5">
        <v>156275</v>
      </c>
    </row>
    <row r="523" spans="1:14">
      <c r="A523" s="24" t="s">
        <v>1369</v>
      </c>
      <c r="B523" s="24" t="s">
        <v>1287</v>
      </c>
      <c r="C523" s="24" t="s">
        <v>162</v>
      </c>
      <c r="D523" s="6">
        <v>90</v>
      </c>
      <c r="E523" s="24" t="s">
        <v>1315</v>
      </c>
      <c r="F523" s="24" t="s">
        <v>423</v>
      </c>
      <c r="G523" s="24" t="s">
        <v>424</v>
      </c>
      <c r="H523" s="24" t="s">
        <v>1370</v>
      </c>
      <c r="I523" s="5">
        <v>16800</v>
      </c>
      <c r="L523" s="5">
        <v>16800</v>
      </c>
      <c r="M523" s="5">
        <v>1800</v>
      </c>
      <c r="N523" s="5">
        <v>15000</v>
      </c>
    </row>
    <row r="524" spans="1:14">
      <c r="A524" s="24" t="s">
        <v>1371</v>
      </c>
      <c r="B524" s="24" t="s">
        <v>1372</v>
      </c>
      <c r="C524" s="24" t="s">
        <v>34</v>
      </c>
      <c r="D524" s="6">
        <v>60</v>
      </c>
      <c r="E524" s="24" t="s">
        <v>1373</v>
      </c>
      <c r="F524" s="24" t="s">
        <v>46</v>
      </c>
      <c r="G524" s="24" t="s">
        <v>1226</v>
      </c>
      <c r="H524" s="24" t="s">
        <v>1374</v>
      </c>
      <c r="I524" s="5">
        <v>9261</v>
      </c>
      <c r="L524" s="5">
        <v>9261</v>
      </c>
      <c r="M524" s="7">
        <v>992.25</v>
      </c>
      <c r="N524" s="5">
        <v>8268.75</v>
      </c>
    </row>
    <row r="525" spans="1:14">
      <c r="A525" s="24" t="s">
        <v>1375</v>
      </c>
      <c r="B525" s="24" t="s">
        <v>1372</v>
      </c>
      <c r="C525" s="24" t="s">
        <v>162</v>
      </c>
      <c r="D525" s="6">
        <v>90</v>
      </c>
      <c r="E525" s="24" t="s">
        <v>1376</v>
      </c>
      <c r="F525" s="24" t="s">
        <v>204</v>
      </c>
      <c r="G525" s="24" t="s">
        <v>1377</v>
      </c>
      <c r="H525" s="24" t="s">
        <v>1378</v>
      </c>
      <c r="I525" s="5">
        <v>116200</v>
      </c>
      <c r="L525" s="5">
        <v>116200</v>
      </c>
      <c r="M525" s="5">
        <v>12450</v>
      </c>
      <c r="N525" s="5">
        <v>103750</v>
      </c>
    </row>
    <row r="526" spans="1:14">
      <c r="A526" s="24" t="s">
        <v>1379</v>
      </c>
      <c r="B526" s="24" t="s">
        <v>1372</v>
      </c>
      <c r="C526" s="24" t="s">
        <v>681</v>
      </c>
      <c r="D526" s="6">
        <v>0</v>
      </c>
      <c r="E526" s="24" t="s">
        <v>1372</v>
      </c>
      <c r="F526" s="24" t="s">
        <v>625</v>
      </c>
      <c r="G526" s="24" t="s">
        <v>793</v>
      </c>
      <c r="H526" s="24" t="s">
        <v>1380</v>
      </c>
      <c r="I526" s="5">
        <v>1428</v>
      </c>
      <c r="L526" s="5">
        <v>1428</v>
      </c>
      <c r="M526" s="7">
        <v>153</v>
      </c>
      <c r="N526" s="5">
        <v>1275</v>
      </c>
    </row>
    <row r="527" spans="1:14">
      <c r="A527" s="24" t="s">
        <v>1381</v>
      </c>
      <c r="B527" s="24" t="s">
        <v>1372</v>
      </c>
      <c r="C527" s="24" t="s">
        <v>34</v>
      </c>
      <c r="D527" s="6">
        <v>60</v>
      </c>
      <c r="E527" s="24" t="s">
        <v>1373</v>
      </c>
      <c r="F527" s="24" t="s">
        <v>36</v>
      </c>
      <c r="G527" s="24" t="s">
        <v>37</v>
      </c>
      <c r="H527" s="24" t="s">
        <v>1382</v>
      </c>
      <c r="I527" s="5">
        <v>18989</v>
      </c>
      <c r="L527" s="5">
        <v>18989</v>
      </c>
      <c r="M527" s="5">
        <v>2034.54</v>
      </c>
      <c r="N527" s="5">
        <v>16954.46</v>
      </c>
    </row>
    <row r="528" spans="1:14">
      <c r="A528" s="24" t="s">
        <v>1383</v>
      </c>
      <c r="B528" s="24" t="s">
        <v>1372</v>
      </c>
      <c r="C528" s="24" t="s">
        <v>60</v>
      </c>
      <c r="D528" s="6">
        <v>0</v>
      </c>
      <c r="E528" s="24" t="s">
        <v>1372</v>
      </c>
      <c r="F528" s="24" t="s">
        <v>270</v>
      </c>
      <c r="G528" s="24" t="s">
        <v>1384</v>
      </c>
      <c r="H528" s="24" t="s">
        <v>1385</v>
      </c>
      <c r="I528" s="5">
        <v>241920</v>
      </c>
      <c r="L528" s="5">
        <v>241920</v>
      </c>
      <c r="M528" s="5">
        <v>25920</v>
      </c>
      <c r="N528" s="5">
        <v>216000</v>
      </c>
    </row>
    <row r="529" spans="1:14">
      <c r="A529" s="24" t="s">
        <v>1386</v>
      </c>
      <c r="B529" s="24" t="s">
        <v>1372</v>
      </c>
      <c r="C529" s="24" t="s">
        <v>681</v>
      </c>
      <c r="D529" s="6">
        <v>0</v>
      </c>
      <c r="E529" s="24" t="s">
        <v>1372</v>
      </c>
      <c r="F529" s="24" t="s">
        <v>46</v>
      </c>
      <c r="G529" s="24" t="s">
        <v>682</v>
      </c>
      <c r="H529" s="24" t="s">
        <v>1387</v>
      </c>
      <c r="I529" s="5">
        <v>27968</v>
      </c>
      <c r="L529" s="5">
        <v>27968</v>
      </c>
      <c r="M529" s="5">
        <v>2996.57</v>
      </c>
      <c r="N529" s="5">
        <v>24971.43</v>
      </c>
    </row>
    <row r="530" spans="1:14">
      <c r="A530" s="24" t="s">
        <v>1388</v>
      </c>
      <c r="B530" s="24" t="s">
        <v>1372</v>
      </c>
      <c r="C530" s="24" t="s">
        <v>333</v>
      </c>
      <c r="D530" s="6">
        <v>30</v>
      </c>
      <c r="E530" s="24" t="s">
        <v>1389</v>
      </c>
      <c r="F530" s="24" t="s">
        <v>270</v>
      </c>
      <c r="G530" s="24" t="s">
        <v>1262</v>
      </c>
      <c r="H530" s="24" t="s">
        <v>1263</v>
      </c>
      <c r="I530" s="5">
        <v>261896</v>
      </c>
      <c r="L530" s="5">
        <v>261896</v>
      </c>
      <c r="M530" s="5">
        <v>28060.29</v>
      </c>
      <c r="N530" s="5">
        <v>233835.71</v>
      </c>
    </row>
    <row r="531" spans="1:14">
      <c r="A531" s="24" t="s">
        <v>1390</v>
      </c>
      <c r="B531" s="24" t="s">
        <v>1372</v>
      </c>
      <c r="C531" s="24" t="s">
        <v>333</v>
      </c>
      <c r="D531" s="6">
        <v>30</v>
      </c>
      <c r="E531" s="24" t="s">
        <v>1389</v>
      </c>
      <c r="F531" s="24" t="s">
        <v>270</v>
      </c>
      <c r="G531" s="24" t="s">
        <v>1262</v>
      </c>
      <c r="H531" s="24" t="s">
        <v>1265</v>
      </c>
      <c r="I531" s="5">
        <v>212525</v>
      </c>
      <c r="L531" s="5">
        <v>212525</v>
      </c>
      <c r="M531" s="5">
        <v>22770.54</v>
      </c>
      <c r="N531" s="5">
        <v>189754.46</v>
      </c>
    </row>
    <row r="532" spans="1:14">
      <c r="A532" s="24" t="s">
        <v>1391</v>
      </c>
      <c r="B532" s="24" t="s">
        <v>1372</v>
      </c>
      <c r="C532" s="24" t="s">
        <v>18</v>
      </c>
      <c r="D532" s="6">
        <v>0</v>
      </c>
      <c r="E532" s="24" t="s">
        <v>1372</v>
      </c>
      <c r="F532" s="24" t="s">
        <v>56</v>
      </c>
      <c r="G532" s="24" t="s">
        <v>61</v>
      </c>
      <c r="H532" s="24" t="s">
        <v>1392</v>
      </c>
      <c r="I532" s="5">
        <v>256495</v>
      </c>
      <c r="J532" s="4">
        <v>-5129.8999999999996</v>
      </c>
      <c r="L532" s="5">
        <v>251365.1</v>
      </c>
      <c r="M532" s="5">
        <v>26931.98</v>
      </c>
      <c r="N532" s="5">
        <v>224433.12</v>
      </c>
    </row>
    <row r="533" spans="1:14">
      <c r="A533" s="24" t="s">
        <v>1393</v>
      </c>
      <c r="B533" s="24" t="s">
        <v>1372</v>
      </c>
      <c r="C533" s="24" t="s">
        <v>104</v>
      </c>
      <c r="D533" s="6">
        <v>0</v>
      </c>
      <c r="E533" s="24" t="s">
        <v>1372</v>
      </c>
      <c r="F533" s="24" t="s">
        <v>69</v>
      </c>
      <c r="G533" s="24" t="s">
        <v>277</v>
      </c>
      <c r="H533" s="24" t="s">
        <v>1394</v>
      </c>
      <c r="I533" s="5">
        <v>2179150</v>
      </c>
      <c r="L533" s="5">
        <v>2179150</v>
      </c>
      <c r="M533" s="5">
        <v>233480.36</v>
      </c>
      <c r="N533" s="5">
        <v>1945669.64</v>
      </c>
    </row>
    <row r="534" spans="1:14">
      <c r="A534" s="24" t="s">
        <v>1395</v>
      </c>
      <c r="B534" s="24" t="s">
        <v>1372</v>
      </c>
      <c r="C534" s="24" t="s">
        <v>54</v>
      </c>
      <c r="D534" s="6">
        <v>90</v>
      </c>
      <c r="E534" s="24" t="s">
        <v>1376</v>
      </c>
      <c r="F534" s="24" t="s">
        <v>69</v>
      </c>
      <c r="G534" s="24" t="s">
        <v>1396</v>
      </c>
      <c r="H534" s="24" t="s">
        <v>1397</v>
      </c>
      <c r="I534" s="5">
        <v>412500</v>
      </c>
      <c r="L534" s="5">
        <v>412500</v>
      </c>
      <c r="M534" s="5">
        <v>44196.43</v>
      </c>
      <c r="N534" s="5">
        <v>368303.57</v>
      </c>
    </row>
    <row r="535" spans="1:14">
      <c r="A535" s="24" t="s">
        <v>1398</v>
      </c>
      <c r="B535" s="24" t="s">
        <v>1372</v>
      </c>
      <c r="C535" s="24" t="s">
        <v>60</v>
      </c>
      <c r="D535" s="6">
        <v>0</v>
      </c>
      <c r="E535" s="24" t="s">
        <v>1372</v>
      </c>
      <c r="F535" s="24" t="s">
        <v>56</v>
      </c>
      <c r="G535" s="24" t="s">
        <v>196</v>
      </c>
      <c r="H535" s="24" t="s">
        <v>1399</v>
      </c>
      <c r="I535" s="5">
        <v>492232</v>
      </c>
      <c r="L535" s="5">
        <v>492232</v>
      </c>
      <c r="M535" s="5">
        <v>52739.14</v>
      </c>
      <c r="N535" s="5">
        <v>439492.86</v>
      </c>
    </row>
    <row r="536" spans="1:14">
      <c r="A536" s="24" t="s">
        <v>1400</v>
      </c>
      <c r="B536" s="24" t="s">
        <v>1372</v>
      </c>
      <c r="C536" s="24" t="s">
        <v>146</v>
      </c>
      <c r="D536" s="6">
        <v>90</v>
      </c>
      <c r="E536" s="24" t="s">
        <v>1376</v>
      </c>
      <c r="F536" s="24" t="s">
        <v>139</v>
      </c>
      <c r="G536" s="24" t="s">
        <v>1038</v>
      </c>
      <c r="H536" s="24" t="s">
        <v>1401</v>
      </c>
      <c r="I536" s="5">
        <v>208288</v>
      </c>
      <c r="L536" s="5">
        <v>208288</v>
      </c>
      <c r="M536" s="5">
        <v>22316.57</v>
      </c>
      <c r="N536" s="5">
        <v>185971.43</v>
      </c>
    </row>
    <row r="537" spans="1:14">
      <c r="A537" s="24" t="s">
        <v>1402</v>
      </c>
      <c r="B537" s="24" t="s">
        <v>1372</v>
      </c>
      <c r="C537" s="24" t="s">
        <v>146</v>
      </c>
      <c r="D537" s="6">
        <v>90</v>
      </c>
      <c r="E537" s="24" t="s">
        <v>1376</v>
      </c>
      <c r="F537" s="24" t="s">
        <v>139</v>
      </c>
      <c r="G537" s="24" t="s">
        <v>1038</v>
      </c>
      <c r="H537" s="24" t="s">
        <v>1403</v>
      </c>
      <c r="I537" s="5">
        <v>94464</v>
      </c>
      <c r="L537" s="5">
        <v>94464</v>
      </c>
      <c r="M537" s="5">
        <v>10121.14</v>
      </c>
      <c r="N537" s="5">
        <v>84342.86</v>
      </c>
    </row>
    <row r="538" spans="1:14">
      <c r="A538" s="24" t="s">
        <v>1404</v>
      </c>
      <c r="B538" s="24" t="s">
        <v>1372</v>
      </c>
      <c r="C538" s="24" t="s">
        <v>162</v>
      </c>
      <c r="D538" s="6">
        <v>90</v>
      </c>
      <c r="E538" s="24" t="s">
        <v>1376</v>
      </c>
      <c r="F538" s="24" t="s">
        <v>139</v>
      </c>
      <c r="G538" s="24" t="s">
        <v>1405</v>
      </c>
      <c r="H538" s="24" t="s">
        <v>1406</v>
      </c>
      <c r="I538" s="5">
        <v>80378</v>
      </c>
      <c r="L538" s="5">
        <v>80378</v>
      </c>
      <c r="M538" s="5">
        <v>8611.93</v>
      </c>
      <c r="N538" s="5">
        <v>71766.070000000007</v>
      </c>
    </row>
    <row r="539" spans="1:14">
      <c r="A539" s="24" t="s">
        <v>1407</v>
      </c>
      <c r="B539" s="24" t="s">
        <v>1372</v>
      </c>
      <c r="C539" s="24" t="s">
        <v>162</v>
      </c>
      <c r="D539" s="6">
        <v>90</v>
      </c>
      <c r="E539" s="24" t="s">
        <v>1376</v>
      </c>
      <c r="F539" s="24" t="s">
        <v>139</v>
      </c>
      <c r="G539" s="24" t="s">
        <v>1405</v>
      </c>
      <c r="H539" s="24" t="s">
        <v>1408</v>
      </c>
      <c r="I539" s="5">
        <v>28800</v>
      </c>
      <c r="L539" s="5">
        <v>28800</v>
      </c>
      <c r="M539" s="5">
        <v>3085.71</v>
      </c>
      <c r="N539" s="5">
        <v>25714.29</v>
      </c>
    </row>
    <row r="540" spans="1:14">
      <c r="A540" s="24" t="s">
        <v>1409</v>
      </c>
      <c r="B540" s="24" t="s">
        <v>1372</v>
      </c>
      <c r="C540" s="24" t="s">
        <v>151</v>
      </c>
      <c r="D540" s="6">
        <v>60</v>
      </c>
      <c r="E540" s="24" t="s">
        <v>1373</v>
      </c>
      <c r="F540" s="24" t="s">
        <v>139</v>
      </c>
      <c r="G540" s="24" t="s">
        <v>264</v>
      </c>
      <c r="H540" s="24" t="s">
        <v>1410</v>
      </c>
      <c r="I540" s="5">
        <v>11762</v>
      </c>
      <c r="L540" s="5">
        <v>11762</v>
      </c>
      <c r="M540" s="5">
        <v>1260.21</v>
      </c>
      <c r="N540" s="5">
        <v>10501.79</v>
      </c>
    </row>
    <row r="541" spans="1:14">
      <c r="A541" s="24" t="s">
        <v>1411</v>
      </c>
      <c r="B541" s="24" t="s">
        <v>1372</v>
      </c>
      <c r="C541" s="24" t="s">
        <v>104</v>
      </c>
      <c r="D541" s="6">
        <v>0</v>
      </c>
      <c r="E541" s="24" t="s">
        <v>1372</v>
      </c>
      <c r="F541" s="24" t="s">
        <v>69</v>
      </c>
      <c r="G541" s="24" t="s">
        <v>277</v>
      </c>
      <c r="H541" s="24" t="s">
        <v>1412</v>
      </c>
      <c r="I541" s="5">
        <v>1815950</v>
      </c>
      <c r="L541" s="5">
        <v>1815950</v>
      </c>
      <c r="M541" s="5">
        <v>194566.07</v>
      </c>
      <c r="N541" s="5">
        <v>1621383.93</v>
      </c>
    </row>
    <row r="542" spans="1:14">
      <c r="A542" s="24" t="s">
        <v>1413</v>
      </c>
      <c r="B542" s="24" t="s">
        <v>1372</v>
      </c>
      <c r="C542" s="24" t="s">
        <v>64</v>
      </c>
      <c r="D542" s="6">
        <v>30</v>
      </c>
      <c r="E542" s="24" t="s">
        <v>1389</v>
      </c>
      <c r="F542" s="24" t="s">
        <v>25</v>
      </c>
      <c r="G542" s="24" t="s">
        <v>26</v>
      </c>
      <c r="H542" s="24" t="s">
        <v>1414</v>
      </c>
      <c r="I542" s="5">
        <v>352731.5</v>
      </c>
      <c r="L542" s="5">
        <v>352731.5</v>
      </c>
      <c r="M542" s="5">
        <v>37792.660000000003</v>
      </c>
      <c r="N542" s="5">
        <v>314938.84000000003</v>
      </c>
    </row>
    <row r="543" spans="1:14">
      <c r="A543" s="24" t="s">
        <v>1415</v>
      </c>
      <c r="B543" s="24" t="s">
        <v>1372</v>
      </c>
      <c r="C543" s="24" t="s">
        <v>64</v>
      </c>
      <c r="D543" s="6">
        <v>30</v>
      </c>
      <c r="E543" s="24" t="s">
        <v>1389</v>
      </c>
      <c r="F543" s="24" t="s">
        <v>25</v>
      </c>
      <c r="G543" s="24" t="s">
        <v>26</v>
      </c>
      <c r="H543" s="24" t="s">
        <v>1416</v>
      </c>
      <c r="I543" s="5">
        <v>278419</v>
      </c>
      <c r="L543" s="5">
        <v>278419</v>
      </c>
      <c r="M543" s="5">
        <v>29830.61</v>
      </c>
      <c r="N543" s="5">
        <v>248588.39</v>
      </c>
    </row>
    <row r="544" spans="1:14">
      <c r="A544" s="24" t="s">
        <v>1417</v>
      </c>
      <c r="B544" s="24" t="s">
        <v>1372</v>
      </c>
      <c r="C544" s="24" t="s">
        <v>64</v>
      </c>
      <c r="D544" s="6">
        <v>30</v>
      </c>
      <c r="E544" s="24" t="s">
        <v>1389</v>
      </c>
      <c r="F544" s="24" t="s">
        <v>25</v>
      </c>
      <c r="G544" s="24" t="s">
        <v>26</v>
      </c>
      <c r="H544" s="24" t="s">
        <v>1418</v>
      </c>
      <c r="I544" s="5">
        <v>872800</v>
      </c>
      <c r="L544" s="5">
        <v>872800</v>
      </c>
      <c r="M544" s="5">
        <v>93514.29</v>
      </c>
      <c r="N544" s="5">
        <v>779285.71</v>
      </c>
    </row>
    <row r="545" spans="1:14">
      <c r="A545" s="24" t="s">
        <v>1419</v>
      </c>
      <c r="B545" s="24" t="s">
        <v>1372</v>
      </c>
      <c r="C545" s="24" t="s">
        <v>64</v>
      </c>
      <c r="D545" s="6">
        <v>30</v>
      </c>
      <c r="E545" s="24" t="s">
        <v>1389</v>
      </c>
      <c r="F545" s="24" t="s">
        <v>25</v>
      </c>
      <c r="G545" s="24" t="s">
        <v>26</v>
      </c>
      <c r="H545" s="24" t="s">
        <v>1420</v>
      </c>
      <c r="I545" s="5">
        <v>264274</v>
      </c>
      <c r="K545" s="5">
        <v>35300</v>
      </c>
      <c r="L545" s="5">
        <v>299574</v>
      </c>
      <c r="M545" s="5">
        <v>32097.21</v>
      </c>
      <c r="N545" s="5">
        <v>267476.78999999998</v>
      </c>
    </row>
    <row r="546" spans="1:14">
      <c r="A546" s="24" t="s">
        <v>1421</v>
      </c>
      <c r="B546" s="24" t="s">
        <v>1372</v>
      </c>
      <c r="C546" s="24" t="s">
        <v>68</v>
      </c>
      <c r="D546" s="6">
        <v>60</v>
      </c>
      <c r="E546" s="24" t="s">
        <v>1373</v>
      </c>
      <c r="F546" s="24" t="s">
        <v>577</v>
      </c>
      <c r="G546" s="24" t="s">
        <v>1422</v>
      </c>
      <c r="H546" s="24" t="s">
        <v>1423</v>
      </c>
      <c r="I546" s="5">
        <v>652054</v>
      </c>
      <c r="L546" s="5">
        <v>652054</v>
      </c>
      <c r="M546" s="5">
        <v>69862.929999999993</v>
      </c>
      <c r="N546" s="5">
        <v>582191.06999999995</v>
      </c>
    </row>
    <row r="547" spans="1:14">
      <c r="A547" s="24" t="s">
        <v>1424</v>
      </c>
      <c r="B547" s="24" t="s">
        <v>1372</v>
      </c>
      <c r="C547" s="24" t="s">
        <v>68</v>
      </c>
      <c r="D547" s="6">
        <v>60</v>
      </c>
      <c r="E547" s="24" t="s">
        <v>1373</v>
      </c>
      <c r="F547" s="24" t="s">
        <v>577</v>
      </c>
      <c r="G547" s="24" t="s">
        <v>1422</v>
      </c>
      <c r="H547" s="24" t="s">
        <v>1425</v>
      </c>
      <c r="I547" s="5">
        <v>446568</v>
      </c>
      <c r="L547" s="5">
        <v>446568</v>
      </c>
      <c r="M547" s="5">
        <v>47846.57</v>
      </c>
      <c r="N547" s="5">
        <v>398721.43</v>
      </c>
    </row>
    <row r="548" spans="1:14">
      <c r="A548" s="24" t="s">
        <v>1426</v>
      </c>
      <c r="B548" s="24" t="s">
        <v>1372</v>
      </c>
      <c r="C548" s="24" t="s">
        <v>237</v>
      </c>
      <c r="D548" s="6">
        <v>60</v>
      </c>
      <c r="E548" s="24" t="s">
        <v>1373</v>
      </c>
      <c r="F548" s="24" t="s">
        <v>759</v>
      </c>
      <c r="G548" s="24" t="s">
        <v>760</v>
      </c>
      <c r="H548" s="24" t="s">
        <v>1427</v>
      </c>
      <c r="I548" s="5">
        <v>242400</v>
      </c>
      <c r="L548" s="5">
        <v>242400</v>
      </c>
      <c r="M548" s="5">
        <v>25971.43</v>
      </c>
      <c r="N548" s="5">
        <v>216428.57</v>
      </c>
    </row>
    <row r="549" spans="1:14">
      <c r="A549" s="24" t="s">
        <v>1428</v>
      </c>
      <c r="B549" s="24" t="s">
        <v>1372</v>
      </c>
      <c r="C549" s="24" t="s">
        <v>237</v>
      </c>
      <c r="D549" s="6">
        <v>60</v>
      </c>
      <c r="E549" s="24" t="s">
        <v>1373</v>
      </c>
      <c r="F549" s="24" t="s">
        <v>759</v>
      </c>
      <c r="G549" s="24" t="s">
        <v>760</v>
      </c>
      <c r="H549" s="24" t="s">
        <v>1429</v>
      </c>
      <c r="I549" s="5">
        <v>242400</v>
      </c>
      <c r="L549" s="5">
        <v>242400</v>
      </c>
      <c r="M549" s="5">
        <v>25971.43</v>
      </c>
      <c r="N549" s="5">
        <v>216428.57</v>
      </c>
    </row>
    <row r="550" spans="1:14">
      <c r="A550" s="24" t="s">
        <v>1430</v>
      </c>
      <c r="B550" s="24" t="s">
        <v>1372</v>
      </c>
      <c r="C550" s="24" t="s">
        <v>60</v>
      </c>
      <c r="D550" s="6">
        <v>0</v>
      </c>
      <c r="E550" s="24" t="s">
        <v>1372</v>
      </c>
      <c r="F550" s="24" t="s">
        <v>56</v>
      </c>
      <c r="G550" s="24" t="s">
        <v>61</v>
      </c>
      <c r="H550" s="24" t="s">
        <v>1431</v>
      </c>
      <c r="I550" s="5">
        <v>27000</v>
      </c>
      <c r="J550" s="4">
        <v>-540</v>
      </c>
      <c r="L550" s="5">
        <v>26460</v>
      </c>
      <c r="M550" s="5">
        <v>2835</v>
      </c>
      <c r="N550" s="5">
        <v>23625</v>
      </c>
    </row>
    <row r="551" spans="1:14">
      <c r="A551" s="24" t="s">
        <v>1432</v>
      </c>
      <c r="B551" s="24" t="s">
        <v>1372</v>
      </c>
      <c r="C551" s="24" t="s">
        <v>29</v>
      </c>
      <c r="D551" s="6">
        <v>0</v>
      </c>
      <c r="E551" s="24" t="s">
        <v>1372</v>
      </c>
      <c r="F551" s="24" t="s">
        <v>30</v>
      </c>
      <c r="G551" s="24" t="s">
        <v>31</v>
      </c>
      <c r="H551" s="24" t="s">
        <v>1433</v>
      </c>
      <c r="I551" s="5">
        <v>40960</v>
      </c>
      <c r="L551" s="5">
        <v>40960</v>
      </c>
      <c r="M551" s="5">
        <v>4388.57</v>
      </c>
      <c r="N551" s="5">
        <v>36571.43</v>
      </c>
    </row>
    <row r="552" spans="1:14">
      <c r="A552" s="24" t="s">
        <v>1434</v>
      </c>
      <c r="B552" s="24" t="s">
        <v>1372</v>
      </c>
      <c r="C552" s="24" t="s">
        <v>29</v>
      </c>
      <c r="D552" s="6">
        <v>0</v>
      </c>
      <c r="E552" s="24" t="s">
        <v>1372</v>
      </c>
      <c r="F552" s="24" t="s">
        <v>30</v>
      </c>
      <c r="G552" s="24" t="s">
        <v>31</v>
      </c>
      <c r="H552" s="24" t="s">
        <v>1435</v>
      </c>
      <c r="I552" s="5">
        <v>3670</v>
      </c>
      <c r="L552" s="5">
        <v>3670</v>
      </c>
      <c r="M552" s="7">
        <v>393.21</v>
      </c>
      <c r="N552" s="5">
        <v>3276.79</v>
      </c>
    </row>
    <row r="553" spans="1:14">
      <c r="A553" s="24" t="s">
        <v>1436</v>
      </c>
      <c r="B553" s="24" t="s">
        <v>1372</v>
      </c>
      <c r="C553" s="24" t="s">
        <v>29</v>
      </c>
      <c r="D553" s="6">
        <v>0</v>
      </c>
      <c r="E553" s="24" t="s">
        <v>1372</v>
      </c>
      <c r="F553" s="24" t="s">
        <v>30</v>
      </c>
      <c r="G553" s="24" t="s">
        <v>31</v>
      </c>
      <c r="H553" s="24" t="s">
        <v>1437</v>
      </c>
      <c r="I553" s="5">
        <v>7250</v>
      </c>
      <c r="L553" s="5">
        <v>7250</v>
      </c>
      <c r="M553" s="7">
        <v>776.79</v>
      </c>
      <c r="N553" s="5">
        <v>6473.21</v>
      </c>
    </row>
    <row r="554" spans="1:14">
      <c r="A554" s="24" t="s">
        <v>1438</v>
      </c>
      <c r="B554" s="24" t="s">
        <v>1372</v>
      </c>
      <c r="C554" s="24" t="s">
        <v>73</v>
      </c>
      <c r="D554" s="6">
        <v>30</v>
      </c>
      <c r="E554" s="24" t="s">
        <v>1389</v>
      </c>
      <c r="F554" s="24" t="s">
        <v>270</v>
      </c>
      <c r="G554" s="24" t="s">
        <v>271</v>
      </c>
      <c r="H554" s="24" t="s">
        <v>1439</v>
      </c>
      <c r="I554" s="5">
        <v>33500</v>
      </c>
      <c r="L554" s="5">
        <v>33500</v>
      </c>
      <c r="N554" s="5">
        <v>33500</v>
      </c>
    </row>
    <row r="555" spans="1:14">
      <c r="A555" s="24" t="s">
        <v>1440</v>
      </c>
      <c r="B555" s="24" t="s">
        <v>1372</v>
      </c>
      <c r="C555" s="24" t="s">
        <v>73</v>
      </c>
      <c r="D555" s="6">
        <v>30</v>
      </c>
      <c r="E555" s="24" t="s">
        <v>1389</v>
      </c>
      <c r="F555" s="24" t="s">
        <v>270</v>
      </c>
      <c r="G555" s="24" t="s">
        <v>271</v>
      </c>
      <c r="H555" s="24" t="s">
        <v>1441</v>
      </c>
      <c r="I555" s="5">
        <v>20460</v>
      </c>
      <c r="L555" s="5">
        <v>20460</v>
      </c>
      <c r="N555" s="5">
        <v>20460</v>
      </c>
    </row>
    <row r="556" spans="1:14">
      <c r="A556" s="24" t="s">
        <v>1442</v>
      </c>
      <c r="B556" s="24" t="s">
        <v>1372</v>
      </c>
      <c r="C556" s="24" t="s">
        <v>73</v>
      </c>
      <c r="D556" s="6">
        <v>30</v>
      </c>
      <c r="E556" s="24" t="s">
        <v>1389</v>
      </c>
      <c r="F556" s="24" t="s">
        <v>270</v>
      </c>
      <c r="G556" s="24" t="s">
        <v>271</v>
      </c>
      <c r="H556" s="24" t="s">
        <v>1443</v>
      </c>
      <c r="I556" s="5">
        <v>1492</v>
      </c>
      <c r="L556" s="5">
        <v>1492</v>
      </c>
      <c r="N556" s="5">
        <v>1492</v>
      </c>
    </row>
    <row r="557" spans="1:14">
      <c r="A557" s="24" t="s">
        <v>1444</v>
      </c>
      <c r="B557" s="24" t="s">
        <v>1372</v>
      </c>
      <c r="C557" s="24" t="s">
        <v>73</v>
      </c>
      <c r="D557" s="6">
        <v>30</v>
      </c>
      <c r="E557" s="24" t="s">
        <v>1389</v>
      </c>
      <c r="F557" s="24" t="s">
        <v>270</v>
      </c>
      <c r="G557" s="24" t="s">
        <v>271</v>
      </c>
      <c r="H557" s="24" t="s">
        <v>1445</v>
      </c>
      <c r="I557" s="5">
        <v>67230</v>
      </c>
      <c r="L557" s="5">
        <v>67230</v>
      </c>
      <c r="N557" s="5">
        <v>67230</v>
      </c>
    </row>
    <row r="558" spans="1:14">
      <c r="A558" s="24" t="s">
        <v>1446</v>
      </c>
      <c r="B558" s="24" t="s">
        <v>1372</v>
      </c>
      <c r="C558" s="24" t="s">
        <v>73</v>
      </c>
      <c r="D558" s="6">
        <v>30</v>
      </c>
      <c r="E558" s="24" t="s">
        <v>1389</v>
      </c>
      <c r="F558" s="24" t="s">
        <v>270</v>
      </c>
      <c r="G558" s="24" t="s">
        <v>271</v>
      </c>
      <c r="H558" s="24" t="s">
        <v>1447</v>
      </c>
      <c r="I558" s="5">
        <v>14655</v>
      </c>
      <c r="L558" s="5">
        <v>14655</v>
      </c>
      <c r="N558" s="5">
        <v>14655</v>
      </c>
    </row>
    <row r="559" spans="1:14">
      <c r="A559" s="24" t="s">
        <v>1448</v>
      </c>
      <c r="B559" s="24" t="s">
        <v>1372</v>
      </c>
      <c r="C559" s="24" t="s">
        <v>73</v>
      </c>
      <c r="D559" s="6">
        <v>30</v>
      </c>
      <c r="E559" s="24" t="s">
        <v>1389</v>
      </c>
      <c r="F559" s="24" t="s">
        <v>270</v>
      </c>
      <c r="G559" s="24" t="s">
        <v>271</v>
      </c>
      <c r="H559" s="24" t="s">
        <v>1449</v>
      </c>
      <c r="I559" s="5">
        <v>2984</v>
      </c>
      <c r="L559" s="5">
        <v>2984</v>
      </c>
      <c r="N559" s="5">
        <v>2984</v>
      </c>
    </row>
    <row r="560" spans="1:14">
      <c r="A560" s="24" t="s">
        <v>1450</v>
      </c>
      <c r="B560" s="24" t="s">
        <v>1372</v>
      </c>
      <c r="C560" s="24" t="s">
        <v>68</v>
      </c>
      <c r="D560" s="6">
        <v>60</v>
      </c>
      <c r="E560" s="24" t="s">
        <v>1373</v>
      </c>
      <c r="F560" s="24" t="s">
        <v>69</v>
      </c>
      <c r="G560" s="24" t="s">
        <v>1025</v>
      </c>
      <c r="H560" s="24" t="s">
        <v>1451</v>
      </c>
      <c r="I560" s="5">
        <v>120150</v>
      </c>
      <c r="L560" s="5">
        <v>120150</v>
      </c>
      <c r="M560" s="5">
        <v>12873.21</v>
      </c>
      <c r="N560" s="5">
        <v>107276.79</v>
      </c>
    </row>
    <row r="561" spans="1:14">
      <c r="A561" s="24" t="s">
        <v>1452</v>
      </c>
      <c r="B561" s="24" t="s">
        <v>1372</v>
      </c>
      <c r="C561" s="24" t="s">
        <v>60</v>
      </c>
      <c r="D561" s="6">
        <v>0</v>
      </c>
      <c r="E561" s="24" t="s">
        <v>1372</v>
      </c>
      <c r="F561" s="24" t="s">
        <v>56</v>
      </c>
      <c r="G561" s="24" t="s">
        <v>605</v>
      </c>
      <c r="H561" s="24" t="s">
        <v>1453</v>
      </c>
      <c r="I561" s="5">
        <v>90409.05</v>
      </c>
      <c r="L561" s="5">
        <v>90409.05</v>
      </c>
      <c r="M561" s="5">
        <v>9686.68</v>
      </c>
      <c r="N561" s="5">
        <v>80722.37</v>
      </c>
    </row>
    <row r="562" spans="1:14">
      <c r="A562" s="24" t="s">
        <v>1454</v>
      </c>
      <c r="B562" s="24" t="s">
        <v>1372</v>
      </c>
      <c r="C562" s="24" t="s">
        <v>60</v>
      </c>
      <c r="D562" s="6">
        <v>0</v>
      </c>
      <c r="E562" s="24" t="s">
        <v>1372</v>
      </c>
      <c r="F562" s="24" t="s">
        <v>56</v>
      </c>
      <c r="G562" s="24" t="s">
        <v>605</v>
      </c>
      <c r="H562" s="24" t="s">
        <v>1455</v>
      </c>
      <c r="I562" s="5">
        <v>307545.40000000002</v>
      </c>
      <c r="L562" s="5">
        <v>307545.40000000002</v>
      </c>
      <c r="M562" s="5">
        <v>32951.29</v>
      </c>
      <c r="N562" s="5">
        <v>274594.11</v>
      </c>
    </row>
    <row r="563" spans="1:14">
      <c r="A563" s="24" t="s">
        <v>1456</v>
      </c>
      <c r="B563" s="24" t="s">
        <v>1372</v>
      </c>
      <c r="C563" s="24" t="s">
        <v>681</v>
      </c>
      <c r="D563" s="6">
        <v>0</v>
      </c>
      <c r="E563" s="24" t="s">
        <v>1372</v>
      </c>
      <c r="F563" s="24" t="s">
        <v>46</v>
      </c>
      <c r="G563" s="24" t="s">
        <v>682</v>
      </c>
      <c r="H563" s="24" t="s">
        <v>1457</v>
      </c>
      <c r="I563" s="5">
        <v>4970</v>
      </c>
      <c r="L563" s="5">
        <v>4970</v>
      </c>
      <c r="M563" s="7">
        <v>532.5</v>
      </c>
      <c r="N563" s="5">
        <v>4437.5</v>
      </c>
    </row>
    <row r="564" spans="1:14">
      <c r="A564" s="24" t="s">
        <v>1458</v>
      </c>
      <c r="B564" s="24" t="s">
        <v>1372</v>
      </c>
      <c r="C564" s="24" t="s">
        <v>681</v>
      </c>
      <c r="D564" s="6">
        <v>0</v>
      </c>
      <c r="E564" s="24" t="s">
        <v>1372</v>
      </c>
      <c r="F564" s="24" t="s">
        <v>46</v>
      </c>
      <c r="G564" s="24" t="s">
        <v>682</v>
      </c>
      <c r="H564" s="24" t="s">
        <v>1459</v>
      </c>
      <c r="I564" s="5">
        <v>27968</v>
      </c>
      <c r="L564" s="5">
        <v>27968</v>
      </c>
      <c r="M564" s="5">
        <v>2996.57</v>
      </c>
      <c r="N564" s="5">
        <v>24971.43</v>
      </c>
    </row>
    <row r="565" spans="1:14">
      <c r="A565" s="24" t="s">
        <v>1460</v>
      </c>
      <c r="B565" s="24" t="s">
        <v>1461</v>
      </c>
      <c r="C565" s="24" t="s">
        <v>60</v>
      </c>
      <c r="D565" s="6">
        <v>0</v>
      </c>
      <c r="E565" s="24" t="s">
        <v>1461</v>
      </c>
      <c r="F565" s="24" t="s">
        <v>56</v>
      </c>
      <c r="G565" s="24" t="s">
        <v>412</v>
      </c>
      <c r="H565" s="24" t="s">
        <v>1462</v>
      </c>
      <c r="I565" s="5">
        <v>35280</v>
      </c>
      <c r="L565" s="5">
        <v>35280</v>
      </c>
      <c r="M565" s="5">
        <v>3780</v>
      </c>
      <c r="N565" s="5">
        <v>31500</v>
      </c>
    </row>
    <row r="566" spans="1:14">
      <c r="A566" s="24" t="s">
        <v>1463</v>
      </c>
      <c r="B566" s="24" t="s">
        <v>1461</v>
      </c>
      <c r="C566" s="24" t="s">
        <v>681</v>
      </c>
      <c r="D566" s="6">
        <v>0</v>
      </c>
      <c r="E566" s="24" t="s">
        <v>1461</v>
      </c>
      <c r="F566" s="24" t="s">
        <v>30</v>
      </c>
      <c r="G566" s="24" t="s">
        <v>1464</v>
      </c>
      <c r="H566" s="24" t="s">
        <v>1465</v>
      </c>
      <c r="I566" s="5">
        <v>31056</v>
      </c>
      <c r="L566" s="5">
        <v>31056</v>
      </c>
      <c r="M566" s="5">
        <v>3327.43</v>
      </c>
      <c r="N566" s="5">
        <v>27728.57</v>
      </c>
    </row>
    <row r="567" spans="1:14">
      <c r="A567" s="24" t="s">
        <v>1466</v>
      </c>
      <c r="B567" s="24" t="s">
        <v>1467</v>
      </c>
      <c r="C567" s="24" t="s">
        <v>98</v>
      </c>
      <c r="D567" s="6">
        <v>0</v>
      </c>
      <c r="E567" s="24" t="s">
        <v>1467</v>
      </c>
      <c r="F567" s="24" t="s">
        <v>69</v>
      </c>
      <c r="G567" s="24" t="s">
        <v>99</v>
      </c>
      <c r="H567" s="24" t="s">
        <v>1468</v>
      </c>
      <c r="I567" s="5">
        <v>174050</v>
      </c>
      <c r="J567" s="4">
        <v>-5221.5</v>
      </c>
      <c r="L567" s="5">
        <v>168828.5</v>
      </c>
      <c r="M567" s="5">
        <v>18088.77</v>
      </c>
      <c r="N567" s="5">
        <v>150739.73000000001</v>
      </c>
    </row>
    <row r="568" spans="1:14">
      <c r="A568" s="24" t="s">
        <v>1469</v>
      </c>
      <c r="B568" s="24" t="s">
        <v>1467</v>
      </c>
      <c r="C568" s="24" t="s">
        <v>18</v>
      </c>
      <c r="D568" s="6">
        <v>0</v>
      </c>
      <c r="E568" s="24" t="s">
        <v>1467</v>
      </c>
      <c r="F568" s="24" t="s">
        <v>25</v>
      </c>
      <c r="G568" s="24" t="s">
        <v>1470</v>
      </c>
      <c r="H568" s="24" t="s">
        <v>1471</v>
      </c>
      <c r="I568" s="5">
        <v>107922</v>
      </c>
      <c r="K568" s="5">
        <v>7500</v>
      </c>
      <c r="L568" s="5">
        <v>115422</v>
      </c>
      <c r="M568" s="5">
        <v>12366.64</v>
      </c>
      <c r="N568" s="5">
        <v>103055.36</v>
      </c>
    </row>
    <row r="569" spans="1:14">
      <c r="A569" s="24" t="s">
        <v>1472</v>
      </c>
      <c r="B569" s="24" t="s">
        <v>1467</v>
      </c>
      <c r="C569" s="24" t="s">
        <v>29</v>
      </c>
      <c r="D569" s="6">
        <v>0</v>
      </c>
      <c r="E569" s="24" t="s">
        <v>1467</v>
      </c>
      <c r="F569" s="24" t="s">
        <v>50</v>
      </c>
      <c r="G569" s="24" t="s">
        <v>51</v>
      </c>
      <c r="H569" s="24" t="s">
        <v>1473</v>
      </c>
      <c r="I569" s="5">
        <v>30168.18</v>
      </c>
      <c r="L569" s="5">
        <v>30168.18</v>
      </c>
      <c r="M569" s="5">
        <v>3232.31</v>
      </c>
      <c r="N569" s="5">
        <v>26935.87</v>
      </c>
    </row>
    <row r="570" spans="1:14">
      <c r="A570" s="24" t="s">
        <v>1474</v>
      </c>
      <c r="B570" s="24" t="s">
        <v>1467</v>
      </c>
      <c r="C570" s="24" t="s">
        <v>29</v>
      </c>
      <c r="D570" s="6">
        <v>0</v>
      </c>
      <c r="E570" s="24" t="s">
        <v>1467</v>
      </c>
      <c r="F570" s="24" t="s">
        <v>30</v>
      </c>
      <c r="G570" s="24" t="s">
        <v>218</v>
      </c>
      <c r="H570" s="24" t="s">
        <v>1475</v>
      </c>
      <c r="I570" s="5">
        <v>166560</v>
      </c>
      <c r="J570" s="4">
        <v>-4996.8</v>
      </c>
      <c r="L570" s="5">
        <v>161563.20000000001</v>
      </c>
      <c r="M570" s="5">
        <v>17310.34</v>
      </c>
      <c r="N570" s="5">
        <v>144252.85999999999</v>
      </c>
    </row>
    <row r="571" spans="1:14">
      <c r="A571" s="24" t="s">
        <v>1476</v>
      </c>
      <c r="B571" s="24" t="s">
        <v>1467</v>
      </c>
      <c r="C571" s="24" t="s">
        <v>29</v>
      </c>
      <c r="D571" s="6">
        <v>0</v>
      </c>
      <c r="E571" s="24" t="s">
        <v>1467</v>
      </c>
      <c r="F571" s="24" t="s">
        <v>30</v>
      </c>
      <c r="G571" s="24" t="s">
        <v>218</v>
      </c>
      <c r="H571" s="24" t="s">
        <v>1477</v>
      </c>
      <c r="I571" s="5">
        <v>41756</v>
      </c>
      <c r="J571" s="4">
        <v>-1252.68</v>
      </c>
      <c r="L571" s="5">
        <v>40503.32</v>
      </c>
      <c r="M571" s="5">
        <v>4339.6400000000003</v>
      </c>
      <c r="N571" s="5">
        <v>36163.68</v>
      </c>
    </row>
    <row r="572" spans="1:14">
      <c r="A572" s="24" t="s">
        <v>1478</v>
      </c>
      <c r="B572" s="24" t="s">
        <v>1467</v>
      </c>
      <c r="C572" s="24" t="s">
        <v>162</v>
      </c>
      <c r="D572" s="6">
        <v>90</v>
      </c>
      <c r="E572" s="24" t="s">
        <v>1479</v>
      </c>
      <c r="F572" s="24" t="s">
        <v>312</v>
      </c>
      <c r="G572" s="24" t="s">
        <v>313</v>
      </c>
      <c r="H572" s="24" t="s">
        <v>1480</v>
      </c>
      <c r="I572" s="5">
        <v>112896</v>
      </c>
      <c r="L572" s="5">
        <v>112896</v>
      </c>
      <c r="M572" s="5">
        <v>12096</v>
      </c>
      <c r="N572" s="5">
        <v>100800</v>
      </c>
    </row>
    <row r="573" spans="1:14">
      <c r="A573" s="24" t="s">
        <v>1481</v>
      </c>
      <c r="B573" s="24" t="s">
        <v>1467</v>
      </c>
      <c r="C573" s="24" t="s">
        <v>60</v>
      </c>
      <c r="D573" s="6">
        <v>0</v>
      </c>
      <c r="E573" s="24" t="s">
        <v>1467</v>
      </c>
      <c r="F573" s="24" t="s">
        <v>56</v>
      </c>
      <c r="G573" s="24" t="s">
        <v>996</v>
      </c>
      <c r="H573" s="24" t="s">
        <v>1482</v>
      </c>
      <c r="I573" s="5">
        <v>175280</v>
      </c>
      <c r="L573" s="5">
        <v>175280</v>
      </c>
      <c r="M573" s="5">
        <v>18780</v>
      </c>
      <c r="N573" s="5">
        <v>156500</v>
      </c>
    </row>
    <row r="574" spans="1:14">
      <c r="A574" s="24" t="s">
        <v>1483</v>
      </c>
      <c r="B574" s="24" t="s">
        <v>1467</v>
      </c>
      <c r="C574" s="24" t="s">
        <v>167</v>
      </c>
      <c r="D574" s="6">
        <v>90</v>
      </c>
      <c r="E574" s="24" t="s">
        <v>1479</v>
      </c>
      <c r="F574" s="24" t="s">
        <v>56</v>
      </c>
      <c r="G574" s="24" t="s">
        <v>168</v>
      </c>
      <c r="H574" s="24" t="s">
        <v>1484</v>
      </c>
      <c r="I574" s="5">
        <v>69380</v>
      </c>
      <c r="L574" s="5">
        <v>69380</v>
      </c>
      <c r="M574" s="5">
        <v>7433.57</v>
      </c>
      <c r="N574" s="5">
        <v>61946.43</v>
      </c>
    </row>
    <row r="575" spans="1:14">
      <c r="A575" s="24" t="s">
        <v>1485</v>
      </c>
      <c r="B575" s="24" t="s">
        <v>1467</v>
      </c>
      <c r="C575" s="24" t="s">
        <v>29</v>
      </c>
      <c r="D575" s="6">
        <v>0</v>
      </c>
      <c r="E575" s="24" t="s">
        <v>1467</v>
      </c>
      <c r="F575" s="24" t="s">
        <v>30</v>
      </c>
      <c r="G575" s="24" t="s">
        <v>31</v>
      </c>
      <c r="H575" s="24" t="s">
        <v>1486</v>
      </c>
      <c r="I575" s="5">
        <v>93896</v>
      </c>
      <c r="L575" s="5">
        <v>93896</v>
      </c>
      <c r="M575" s="5">
        <v>10060.290000000001</v>
      </c>
      <c r="N575" s="5">
        <v>83835.710000000006</v>
      </c>
    </row>
    <row r="576" spans="1:14">
      <c r="A576" s="24" t="s">
        <v>1487</v>
      </c>
      <c r="B576" s="24" t="s">
        <v>1467</v>
      </c>
      <c r="C576" s="24" t="s">
        <v>29</v>
      </c>
      <c r="D576" s="6">
        <v>0</v>
      </c>
      <c r="E576" s="24" t="s">
        <v>1467</v>
      </c>
      <c r="F576" s="24" t="s">
        <v>30</v>
      </c>
      <c r="G576" s="24" t="s">
        <v>31</v>
      </c>
      <c r="H576" s="24" t="s">
        <v>1488</v>
      </c>
      <c r="I576" s="5">
        <v>3492</v>
      </c>
      <c r="L576" s="5">
        <v>3492</v>
      </c>
      <c r="M576" s="7">
        <v>374.14</v>
      </c>
      <c r="N576" s="5">
        <v>3117.86</v>
      </c>
    </row>
    <row r="577" spans="1:14">
      <c r="A577" s="24" t="s">
        <v>1489</v>
      </c>
      <c r="B577" s="24" t="s">
        <v>1467</v>
      </c>
      <c r="C577" s="24" t="s">
        <v>29</v>
      </c>
      <c r="D577" s="6">
        <v>0</v>
      </c>
      <c r="E577" s="24" t="s">
        <v>1467</v>
      </c>
      <c r="F577" s="24" t="s">
        <v>30</v>
      </c>
      <c r="G577" s="24" t="s">
        <v>31</v>
      </c>
      <c r="H577" s="24" t="s">
        <v>1490</v>
      </c>
      <c r="I577" s="5">
        <v>124548</v>
      </c>
      <c r="L577" s="5">
        <v>124548</v>
      </c>
      <c r="M577" s="5">
        <v>13344.43</v>
      </c>
      <c r="N577" s="5">
        <v>111203.57</v>
      </c>
    </row>
    <row r="578" spans="1:14">
      <c r="A578" s="24" t="s">
        <v>1491</v>
      </c>
      <c r="B578" s="24" t="s">
        <v>1467</v>
      </c>
      <c r="C578" s="24" t="s">
        <v>73</v>
      </c>
      <c r="D578" s="6">
        <v>30</v>
      </c>
      <c r="E578" s="24" t="s">
        <v>1492</v>
      </c>
      <c r="F578" s="24" t="s">
        <v>56</v>
      </c>
      <c r="G578" s="24" t="s">
        <v>812</v>
      </c>
      <c r="H578" s="24" t="s">
        <v>1493</v>
      </c>
      <c r="I578" s="5">
        <v>217400</v>
      </c>
      <c r="L578" s="5">
        <v>217400</v>
      </c>
      <c r="M578" s="5">
        <v>23292.86</v>
      </c>
      <c r="N578" s="5">
        <v>194107.14</v>
      </c>
    </row>
    <row r="579" spans="1:14">
      <c r="A579" s="24" t="s">
        <v>1494</v>
      </c>
      <c r="B579" s="24" t="s">
        <v>1467</v>
      </c>
      <c r="C579" s="24" t="s">
        <v>237</v>
      </c>
      <c r="D579" s="6">
        <v>60</v>
      </c>
      <c r="E579" s="24" t="s">
        <v>1495</v>
      </c>
      <c r="F579" s="24" t="s">
        <v>139</v>
      </c>
      <c r="G579" s="24" t="s">
        <v>821</v>
      </c>
      <c r="H579" s="24" t="s">
        <v>1496</v>
      </c>
      <c r="I579" s="5">
        <v>35008</v>
      </c>
      <c r="L579" s="5">
        <v>35008</v>
      </c>
      <c r="M579" s="5">
        <v>3750.86</v>
      </c>
      <c r="N579" s="5">
        <v>31257.14</v>
      </c>
    </row>
    <row r="580" spans="1:14">
      <c r="A580" s="24" t="s">
        <v>1497</v>
      </c>
      <c r="B580" s="24" t="s">
        <v>1467</v>
      </c>
      <c r="C580" s="24" t="s">
        <v>237</v>
      </c>
      <c r="D580" s="6">
        <v>60</v>
      </c>
      <c r="E580" s="24" t="s">
        <v>1495</v>
      </c>
      <c r="F580" s="24" t="s">
        <v>139</v>
      </c>
      <c r="G580" s="24" t="s">
        <v>821</v>
      </c>
      <c r="H580" s="24" t="s">
        <v>1498</v>
      </c>
      <c r="I580" s="5">
        <v>17400</v>
      </c>
      <c r="L580" s="5">
        <v>17400</v>
      </c>
      <c r="M580" s="5">
        <v>1864.29</v>
      </c>
      <c r="N580" s="5">
        <v>15535.71</v>
      </c>
    </row>
    <row r="581" spans="1:14">
      <c r="A581" s="24" t="s">
        <v>1499</v>
      </c>
      <c r="B581" s="24" t="s">
        <v>1467</v>
      </c>
      <c r="C581" s="24" t="s">
        <v>237</v>
      </c>
      <c r="D581" s="6">
        <v>60</v>
      </c>
      <c r="E581" s="24" t="s">
        <v>1495</v>
      </c>
      <c r="F581" s="24" t="s">
        <v>139</v>
      </c>
      <c r="G581" s="24" t="s">
        <v>821</v>
      </c>
      <c r="H581" s="24" t="s">
        <v>1500</v>
      </c>
      <c r="I581" s="5">
        <v>26320</v>
      </c>
      <c r="L581" s="5">
        <v>26320</v>
      </c>
      <c r="M581" s="5">
        <v>2820</v>
      </c>
      <c r="N581" s="5">
        <v>23500</v>
      </c>
    </row>
    <row r="582" spans="1:14">
      <c r="A582" s="24" t="s">
        <v>1501</v>
      </c>
      <c r="B582" s="24" t="s">
        <v>1467</v>
      </c>
      <c r="C582" s="24" t="s">
        <v>237</v>
      </c>
      <c r="D582" s="6">
        <v>60</v>
      </c>
      <c r="E582" s="24" t="s">
        <v>1495</v>
      </c>
      <c r="F582" s="24" t="s">
        <v>139</v>
      </c>
      <c r="G582" s="24" t="s">
        <v>821</v>
      </c>
      <c r="H582" s="24" t="s">
        <v>1502</v>
      </c>
      <c r="I582" s="5">
        <v>12105</v>
      </c>
      <c r="L582" s="5">
        <v>12105</v>
      </c>
      <c r="M582" s="5">
        <v>1296.96</v>
      </c>
      <c r="N582" s="5">
        <v>10808.04</v>
      </c>
    </row>
    <row r="583" spans="1:14">
      <c r="A583" s="24" t="s">
        <v>1503</v>
      </c>
      <c r="B583" s="24" t="s">
        <v>1467</v>
      </c>
      <c r="C583" s="24" t="s">
        <v>237</v>
      </c>
      <c r="D583" s="6">
        <v>60</v>
      </c>
      <c r="E583" s="24" t="s">
        <v>1495</v>
      </c>
      <c r="F583" s="24" t="s">
        <v>139</v>
      </c>
      <c r="G583" s="24" t="s">
        <v>821</v>
      </c>
      <c r="H583" s="24" t="s">
        <v>1504</v>
      </c>
      <c r="I583" s="5">
        <v>6725</v>
      </c>
      <c r="L583" s="5">
        <v>6725</v>
      </c>
      <c r="M583" s="7">
        <v>720.54</v>
      </c>
      <c r="N583" s="5">
        <v>6004.46</v>
      </c>
    </row>
    <row r="584" spans="1:14">
      <c r="A584" s="24" t="s">
        <v>1505</v>
      </c>
      <c r="B584" s="24" t="s">
        <v>1467</v>
      </c>
      <c r="C584" s="24" t="s">
        <v>237</v>
      </c>
      <c r="D584" s="6">
        <v>60</v>
      </c>
      <c r="E584" s="24" t="s">
        <v>1495</v>
      </c>
      <c r="F584" s="24" t="s">
        <v>139</v>
      </c>
      <c r="G584" s="24" t="s">
        <v>821</v>
      </c>
      <c r="H584" s="24" t="s">
        <v>1506</v>
      </c>
      <c r="I584" s="5">
        <v>150337</v>
      </c>
      <c r="L584" s="5">
        <v>150337</v>
      </c>
      <c r="M584" s="5">
        <v>16107.54</v>
      </c>
      <c r="N584" s="5">
        <v>134229.46</v>
      </c>
    </row>
    <row r="585" spans="1:14">
      <c r="A585" s="24" t="s">
        <v>1507</v>
      </c>
      <c r="B585" s="24" t="s">
        <v>1467</v>
      </c>
      <c r="C585" s="24" t="s">
        <v>29</v>
      </c>
      <c r="D585" s="6">
        <v>0</v>
      </c>
      <c r="E585" s="24" t="s">
        <v>1467</v>
      </c>
      <c r="F585" s="24" t="s">
        <v>30</v>
      </c>
      <c r="G585" s="24" t="s">
        <v>31</v>
      </c>
      <c r="H585" s="24" t="s">
        <v>1508</v>
      </c>
      <c r="I585" s="5">
        <v>24000</v>
      </c>
      <c r="L585" s="5">
        <v>24000</v>
      </c>
      <c r="M585" s="5">
        <v>2571.4299999999998</v>
      </c>
      <c r="N585" s="5">
        <v>21428.57</v>
      </c>
    </row>
    <row r="586" spans="1:14">
      <c r="A586" s="24" t="s">
        <v>1509</v>
      </c>
      <c r="B586" s="24" t="s">
        <v>1467</v>
      </c>
      <c r="C586" s="24" t="s">
        <v>29</v>
      </c>
      <c r="D586" s="6">
        <v>0</v>
      </c>
      <c r="E586" s="24" t="s">
        <v>1467</v>
      </c>
      <c r="F586" s="24" t="s">
        <v>30</v>
      </c>
      <c r="G586" s="24" t="s">
        <v>31</v>
      </c>
      <c r="H586" s="24" t="s">
        <v>1510</v>
      </c>
      <c r="I586" s="5">
        <v>77690</v>
      </c>
      <c r="L586" s="5">
        <v>77690</v>
      </c>
      <c r="M586" s="5">
        <v>8323.93</v>
      </c>
      <c r="N586" s="5">
        <v>69366.070000000007</v>
      </c>
    </row>
    <row r="587" spans="1:14">
      <c r="A587" s="24" t="s">
        <v>1511</v>
      </c>
      <c r="B587" s="24" t="s">
        <v>1467</v>
      </c>
      <c r="C587" s="24" t="s">
        <v>29</v>
      </c>
      <c r="D587" s="6">
        <v>0</v>
      </c>
      <c r="E587" s="24" t="s">
        <v>1467</v>
      </c>
      <c r="F587" s="24" t="s">
        <v>30</v>
      </c>
      <c r="G587" s="24" t="s">
        <v>31</v>
      </c>
      <c r="H587" s="24" t="s">
        <v>1512</v>
      </c>
      <c r="I587" s="5">
        <v>2080</v>
      </c>
      <c r="L587" s="5">
        <v>2080</v>
      </c>
      <c r="M587" s="7">
        <v>222.86</v>
      </c>
      <c r="N587" s="5">
        <v>1857.14</v>
      </c>
    </row>
    <row r="588" spans="1:14">
      <c r="A588" s="24" t="s">
        <v>1513</v>
      </c>
      <c r="B588" s="24" t="s">
        <v>1467</v>
      </c>
      <c r="C588" s="24" t="s">
        <v>29</v>
      </c>
      <c r="D588" s="6">
        <v>0</v>
      </c>
      <c r="E588" s="24" t="s">
        <v>1467</v>
      </c>
      <c r="F588" s="24" t="s">
        <v>30</v>
      </c>
      <c r="G588" s="24" t="s">
        <v>31</v>
      </c>
      <c r="H588" s="24" t="s">
        <v>1514</v>
      </c>
      <c r="I588" s="5">
        <v>2400</v>
      </c>
      <c r="L588" s="5">
        <v>2400</v>
      </c>
      <c r="M588" s="7">
        <v>257.14</v>
      </c>
      <c r="N588" s="5">
        <v>2142.86</v>
      </c>
    </row>
    <row r="589" spans="1:14">
      <c r="A589" s="24" t="s">
        <v>1515</v>
      </c>
      <c r="B589" s="24" t="s">
        <v>1467</v>
      </c>
      <c r="C589" s="24" t="s">
        <v>60</v>
      </c>
      <c r="D589" s="6">
        <v>0</v>
      </c>
      <c r="E589" s="24" t="s">
        <v>1467</v>
      </c>
      <c r="F589" s="24" t="s">
        <v>56</v>
      </c>
      <c r="G589" s="24" t="s">
        <v>61</v>
      </c>
      <c r="H589" s="24" t="s">
        <v>1516</v>
      </c>
      <c r="I589" s="5">
        <v>25770</v>
      </c>
      <c r="J589" s="4">
        <v>-515.4</v>
      </c>
      <c r="L589" s="5">
        <v>25254.6</v>
      </c>
      <c r="M589" s="5">
        <v>2705.85</v>
      </c>
      <c r="N589" s="5">
        <v>22548.75</v>
      </c>
    </row>
    <row r="590" spans="1:14">
      <c r="A590" s="24" t="s">
        <v>1517</v>
      </c>
      <c r="B590" s="24" t="s">
        <v>1467</v>
      </c>
      <c r="C590" s="24" t="s">
        <v>151</v>
      </c>
      <c r="D590" s="6">
        <v>60</v>
      </c>
      <c r="E590" s="24" t="s">
        <v>1495</v>
      </c>
      <c r="F590" s="24" t="s">
        <v>69</v>
      </c>
      <c r="G590" s="24" t="s">
        <v>1518</v>
      </c>
      <c r="H590" s="24" t="s">
        <v>1519</v>
      </c>
      <c r="I590" s="5">
        <v>159600</v>
      </c>
      <c r="L590" s="5">
        <v>159600</v>
      </c>
      <c r="M590" s="5">
        <v>17100</v>
      </c>
      <c r="N590" s="5">
        <v>142500</v>
      </c>
    </row>
    <row r="591" spans="1:14">
      <c r="A591" s="24" t="s">
        <v>1520</v>
      </c>
      <c r="B591" s="24" t="s">
        <v>1467</v>
      </c>
      <c r="C591" s="24" t="s">
        <v>60</v>
      </c>
      <c r="D591" s="6">
        <v>0</v>
      </c>
      <c r="E591" s="24" t="s">
        <v>1467</v>
      </c>
      <c r="F591" s="24" t="s">
        <v>56</v>
      </c>
      <c r="G591" s="24" t="s">
        <v>605</v>
      </c>
      <c r="H591" s="24" t="s">
        <v>1521</v>
      </c>
      <c r="I591" s="5">
        <v>305999.76</v>
      </c>
      <c r="L591" s="5">
        <v>305999.76</v>
      </c>
      <c r="M591" s="5">
        <v>32785.69</v>
      </c>
      <c r="N591" s="5">
        <v>273214.07</v>
      </c>
    </row>
    <row r="592" spans="1:14">
      <c r="A592" s="24" t="s">
        <v>1522</v>
      </c>
      <c r="B592" s="24" t="s">
        <v>1467</v>
      </c>
      <c r="C592" s="24" t="s">
        <v>162</v>
      </c>
      <c r="D592" s="6">
        <v>90</v>
      </c>
      <c r="E592" s="24" t="s">
        <v>1479</v>
      </c>
      <c r="F592" s="24" t="s">
        <v>759</v>
      </c>
      <c r="G592" s="24" t="s">
        <v>763</v>
      </c>
      <c r="H592" s="24" t="s">
        <v>1523</v>
      </c>
      <c r="I592" s="5">
        <v>736428</v>
      </c>
      <c r="L592" s="5">
        <v>736428</v>
      </c>
      <c r="M592" s="5">
        <v>78903</v>
      </c>
      <c r="N592" s="5">
        <v>657525</v>
      </c>
    </row>
    <row r="593" spans="1:14">
      <c r="A593" s="24" t="s">
        <v>1524</v>
      </c>
      <c r="B593" s="24" t="s">
        <v>1467</v>
      </c>
      <c r="C593" s="24" t="s">
        <v>162</v>
      </c>
      <c r="D593" s="6">
        <v>90</v>
      </c>
      <c r="E593" s="24" t="s">
        <v>1479</v>
      </c>
      <c r="F593" s="24" t="s">
        <v>204</v>
      </c>
      <c r="G593" s="24" t="s">
        <v>399</v>
      </c>
      <c r="H593" s="24" t="s">
        <v>1525</v>
      </c>
      <c r="I593" s="5">
        <v>27447</v>
      </c>
      <c r="L593" s="5">
        <v>27447</v>
      </c>
      <c r="M593" s="5">
        <v>2940.75</v>
      </c>
      <c r="N593" s="5">
        <v>24506.25</v>
      </c>
    </row>
    <row r="594" spans="1:14">
      <c r="A594" s="24" t="s">
        <v>1526</v>
      </c>
      <c r="B594" s="24" t="s">
        <v>1467</v>
      </c>
      <c r="C594" s="24" t="s">
        <v>162</v>
      </c>
      <c r="D594" s="6">
        <v>90</v>
      </c>
      <c r="E594" s="24" t="s">
        <v>1479</v>
      </c>
      <c r="F594" s="24" t="s">
        <v>204</v>
      </c>
      <c r="G594" s="24" t="s">
        <v>399</v>
      </c>
      <c r="H594" s="24" t="s">
        <v>1527</v>
      </c>
      <c r="I594" s="5">
        <v>54544</v>
      </c>
      <c r="L594" s="5">
        <v>54544</v>
      </c>
      <c r="M594" s="5">
        <v>5844</v>
      </c>
      <c r="N594" s="5">
        <v>48700</v>
      </c>
    </row>
    <row r="595" spans="1:14">
      <c r="A595" s="24" t="s">
        <v>1528</v>
      </c>
      <c r="B595" s="24" t="s">
        <v>1467</v>
      </c>
      <c r="C595" s="24" t="s">
        <v>162</v>
      </c>
      <c r="D595" s="6">
        <v>90</v>
      </c>
      <c r="E595" s="24" t="s">
        <v>1479</v>
      </c>
      <c r="F595" s="24" t="s">
        <v>204</v>
      </c>
      <c r="G595" s="24" t="s">
        <v>399</v>
      </c>
      <c r="H595" s="24" t="s">
        <v>1529</v>
      </c>
      <c r="I595" s="5">
        <v>26775</v>
      </c>
      <c r="L595" s="5">
        <v>26775</v>
      </c>
      <c r="M595" s="5">
        <v>2868.75</v>
      </c>
      <c r="N595" s="5">
        <v>23906.25</v>
      </c>
    </row>
    <row r="596" spans="1:14">
      <c r="A596" s="24" t="s">
        <v>1530</v>
      </c>
      <c r="B596" s="24" t="s">
        <v>1467</v>
      </c>
      <c r="C596" s="24" t="s">
        <v>60</v>
      </c>
      <c r="D596" s="6">
        <v>0</v>
      </c>
      <c r="E596" s="24" t="s">
        <v>1467</v>
      </c>
      <c r="F596" s="24" t="s">
        <v>56</v>
      </c>
      <c r="G596" s="24" t="s">
        <v>61</v>
      </c>
      <c r="H596" s="24" t="s">
        <v>1531</v>
      </c>
      <c r="I596" s="5">
        <v>25770</v>
      </c>
      <c r="J596" s="4">
        <v>-515.4</v>
      </c>
      <c r="L596" s="5">
        <v>25254.6</v>
      </c>
      <c r="M596" s="5">
        <v>2705.85</v>
      </c>
      <c r="N596" s="5">
        <v>22548.75</v>
      </c>
    </row>
    <row r="597" spans="1:14">
      <c r="A597" s="24" t="s">
        <v>1532</v>
      </c>
      <c r="B597" s="24" t="s">
        <v>1467</v>
      </c>
      <c r="C597" s="24" t="s">
        <v>151</v>
      </c>
      <c r="D597" s="6">
        <v>60</v>
      </c>
      <c r="E597" s="24" t="s">
        <v>1495</v>
      </c>
      <c r="F597" s="24" t="s">
        <v>19</v>
      </c>
      <c r="G597" s="24" t="s">
        <v>678</v>
      </c>
      <c r="H597" s="24" t="s">
        <v>1533</v>
      </c>
      <c r="I597" s="5">
        <v>26000</v>
      </c>
      <c r="L597" s="5">
        <v>26000</v>
      </c>
      <c r="M597" s="5">
        <v>2785.71</v>
      </c>
      <c r="N597" s="5">
        <v>23214.29</v>
      </c>
    </row>
    <row r="598" spans="1:14">
      <c r="A598" s="24" t="s">
        <v>1534</v>
      </c>
      <c r="B598" s="24" t="s">
        <v>1467</v>
      </c>
      <c r="C598" s="24" t="s">
        <v>29</v>
      </c>
      <c r="D598" s="6">
        <v>0</v>
      </c>
      <c r="E598" s="24" t="s">
        <v>1467</v>
      </c>
      <c r="F598" s="24" t="s">
        <v>30</v>
      </c>
      <c r="G598" s="24" t="s">
        <v>155</v>
      </c>
      <c r="H598" s="24" t="s">
        <v>1535</v>
      </c>
      <c r="I598" s="5">
        <v>67200</v>
      </c>
      <c r="L598" s="5">
        <v>67200</v>
      </c>
      <c r="M598" s="5">
        <v>7200</v>
      </c>
      <c r="N598" s="5">
        <v>60000</v>
      </c>
    </row>
    <row r="599" spans="1:14">
      <c r="A599" s="24" t="s">
        <v>1536</v>
      </c>
      <c r="B599" s="24" t="s">
        <v>1467</v>
      </c>
      <c r="C599" s="24" t="s">
        <v>29</v>
      </c>
      <c r="D599" s="6">
        <v>0</v>
      </c>
      <c r="E599" s="24" t="s">
        <v>1467</v>
      </c>
      <c r="F599" s="24" t="s">
        <v>30</v>
      </c>
      <c r="G599" s="24" t="s">
        <v>31</v>
      </c>
      <c r="H599" s="24" t="s">
        <v>1537</v>
      </c>
      <c r="I599" s="5">
        <v>112032</v>
      </c>
      <c r="L599" s="5">
        <v>112032</v>
      </c>
      <c r="M599" s="5">
        <v>12003.43</v>
      </c>
      <c r="N599" s="5">
        <v>100028.57</v>
      </c>
    </row>
    <row r="600" spans="1:14">
      <c r="A600" s="24" t="s">
        <v>1538</v>
      </c>
      <c r="B600" s="24" t="s">
        <v>1467</v>
      </c>
      <c r="C600" s="24" t="s">
        <v>29</v>
      </c>
      <c r="D600" s="6">
        <v>0</v>
      </c>
      <c r="E600" s="24" t="s">
        <v>1467</v>
      </c>
      <c r="F600" s="24" t="s">
        <v>30</v>
      </c>
      <c r="G600" s="24" t="s">
        <v>155</v>
      </c>
      <c r="H600" s="24" t="s">
        <v>1539</v>
      </c>
      <c r="I600" s="5">
        <v>13775</v>
      </c>
      <c r="L600" s="5">
        <v>13775</v>
      </c>
      <c r="M600" s="5">
        <v>1475.89</v>
      </c>
      <c r="N600" s="5">
        <v>12299.11</v>
      </c>
    </row>
    <row r="601" spans="1:14">
      <c r="A601" s="24" t="s">
        <v>1540</v>
      </c>
      <c r="B601" s="24" t="s">
        <v>1467</v>
      </c>
      <c r="C601" s="24" t="s">
        <v>29</v>
      </c>
      <c r="D601" s="6">
        <v>0</v>
      </c>
      <c r="E601" s="24" t="s">
        <v>1467</v>
      </c>
      <c r="F601" s="24" t="s">
        <v>30</v>
      </c>
      <c r="G601" s="24" t="s">
        <v>31</v>
      </c>
      <c r="H601" s="24" t="s">
        <v>1541</v>
      </c>
      <c r="I601" s="5">
        <v>47600</v>
      </c>
      <c r="L601" s="5">
        <v>47600</v>
      </c>
      <c r="M601" s="5">
        <v>5100</v>
      </c>
      <c r="N601" s="5">
        <v>42500</v>
      </c>
    </row>
    <row r="602" spans="1:14">
      <c r="A602" s="24" t="s">
        <v>1542</v>
      </c>
      <c r="B602" s="24" t="s">
        <v>1467</v>
      </c>
      <c r="C602" s="24" t="s">
        <v>29</v>
      </c>
      <c r="D602" s="6">
        <v>0</v>
      </c>
      <c r="E602" s="24" t="s">
        <v>1467</v>
      </c>
      <c r="F602" s="24" t="s">
        <v>30</v>
      </c>
      <c r="G602" s="24" t="s">
        <v>155</v>
      </c>
      <c r="H602" s="24" t="s">
        <v>1543</v>
      </c>
      <c r="I602" s="5">
        <v>22175</v>
      </c>
      <c r="L602" s="5">
        <v>22175</v>
      </c>
      <c r="M602" s="5">
        <v>2375.89</v>
      </c>
      <c r="N602" s="5">
        <v>19799.11</v>
      </c>
    </row>
    <row r="603" spans="1:14">
      <c r="A603" s="24" t="s">
        <v>1544</v>
      </c>
      <c r="B603" s="24" t="s">
        <v>1467</v>
      </c>
      <c r="C603" s="24" t="s">
        <v>29</v>
      </c>
      <c r="D603" s="6">
        <v>0</v>
      </c>
      <c r="E603" s="24" t="s">
        <v>1467</v>
      </c>
      <c r="F603" s="24" t="s">
        <v>30</v>
      </c>
      <c r="G603" s="24" t="s">
        <v>31</v>
      </c>
      <c r="H603" s="24" t="s">
        <v>1545</v>
      </c>
      <c r="I603" s="5">
        <v>12600</v>
      </c>
      <c r="L603" s="5">
        <v>12600</v>
      </c>
      <c r="M603" s="5">
        <v>1350</v>
      </c>
      <c r="N603" s="5">
        <v>11250</v>
      </c>
    </row>
    <row r="604" spans="1:14">
      <c r="A604" s="24" t="s">
        <v>1546</v>
      </c>
      <c r="B604" s="24" t="s">
        <v>1467</v>
      </c>
      <c r="C604" s="24" t="s">
        <v>29</v>
      </c>
      <c r="D604" s="6">
        <v>0</v>
      </c>
      <c r="E604" s="24" t="s">
        <v>1467</v>
      </c>
      <c r="F604" s="24" t="s">
        <v>30</v>
      </c>
      <c r="G604" s="24" t="s">
        <v>31</v>
      </c>
      <c r="H604" s="24" t="s">
        <v>1547</v>
      </c>
      <c r="I604" s="5">
        <v>2600</v>
      </c>
      <c r="L604" s="5">
        <v>2600</v>
      </c>
      <c r="M604" s="7">
        <v>278.57</v>
      </c>
      <c r="N604" s="5">
        <v>2321.4299999999998</v>
      </c>
    </row>
    <row r="605" spans="1:14">
      <c r="A605" s="24" t="s">
        <v>1548</v>
      </c>
      <c r="B605" s="24" t="s">
        <v>1467</v>
      </c>
      <c r="C605" s="24" t="s">
        <v>29</v>
      </c>
      <c r="D605" s="6">
        <v>0</v>
      </c>
      <c r="E605" s="24" t="s">
        <v>1467</v>
      </c>
      <c r="F605" s="24" t="s">
        <v>30</v>
      </c>
      <c r="G605" s="24" t="s">
        <v>31</v>
      </c>
      <c r="H605" s="24" t="s">
        <v>1549</v>
      </c>
      <c r="I605" s="5">
        <v>32250</v>
      </c>
      <c r="L605" s="5">
        <v>32250</v>
      </c>
      <c r="M605" s="5">
        <v>3455.36</v>
      </c>
      <c r="N605" s="5">
        <v>28794.639999999999</v>
      </c>
    </row>
    <row r="606" spans="1:14">
      <c r="A606" s="24" t="s">
        <v>1550</v>
      </c>
      <c r="B606" s="24" t="s">
        <v>1467</v>
      </c>
      <c r="C606" s="24" t="s">
        <v>68</v>
      </c>
      <c r="D606" s="6">
        <v>60</v>
      </c>
      <c r="E606" s="24" t="s">
        <v>1495</v>
      </c>
      <c r="F606" s="24" t="s">
        <v>69</v>
      </c>
      <c r="G606" s="24" t="s">
        <v>70</v>
      </c>
      <c r="H606" s="24" t="s">
        <v>1551</v>
      </c>
      <c r="I606" s="5">
        <v>2419200</v>
      </c>
      <c r="L606" s="5">
        <v>2419200</v>
      </c>
      <c r="M606" s="5">
        <v>259200</v>
      </c>
      <c r="N606" s="5">
        <v>2160000</v>
      </c>
    </row>
    <row r="607" spans="1:14">
      <c r="A607" s="24" t="s">
        <v>1552</v>
      </c>
      <c r="B607" s="24" t="s">
        <v>1553</v>
      </c>
      <c r="C607" s="24" t="s">
        <v>167</v>
      </c>
      <c r="D607" s="6">
        <v>90</v>
      </c>
      <c r="E607" s="24" t="s">
        <v>1554</v>
      </c>
      <c r="F607" s="24" t="s">
        <v>56</v>
      </c>
      <c r="G607" s="24" t="s">
        <v>168</v>
      </c>
      <c r="H607" s="24" t="s">
        <v>1555</v>
      </c>
      <c r="I607" s="5">
        <v>776544</v>
      </c>
      <c r="L607" s="5">
        <v>776544</v>
      </c>
      <c r="M607" s="5">
        <v>83201.14</v>
      </c>
      <c r="N607" s="5">
        <v>693342.86</v>
      </c>
    </row>
    <row r="608" spans="1:14">
      <c r="A608" s="24" t="s">
        <v>1556</v>
      </c>
      <c r="B608" s="24" t="s">
        <v>1553</v>
      </c>
      <c r="C608" s="24" t="s">
        <v>151</v>
      </c>
      <c r="D608" s="6">
        <v>60</v>
      </c>
      <c r="E608" s="24" t="s">
        <v>1557</v>
      </c>
      <c r="F608" s="24" t="s">
        <v>69</v>
      </c>
      <c r="G608" s="24" t="s">
        <v>1518</v>
      </c>
      <c r="H608" s="24" t="s">
        <v>1558</v>
      </c>
      <c r="I608" s="5">
        <v>231000</v>
      </c>
      <c r="L608" s="5">
        <v>231000</v>
      </c>
      <c r="M608" s="5">
        <v>24750</v>
      </c>
      <c r="N608" s="5">
        <v>206250</v>
      </c>
    </row>
    <row r="609" spans="1:14">
      <c r="A609" s="24" t="s">
        <v>1559</v>
      </c>
      <c r="B609" s="24" t="s">
        <v>1553</v>
      </c>
      <c r="C609" s="24" t="s">
        <v>146</v>
      </c>
      <c r="D609" s="6">
        <v>90</v>
      </c>
      <c r="E609" s="24" t="s">
        <v>1554</v>
      </c>
      <c r="F609" s="24" t="s">
        <v>139</v>
      </c>
      <c r="G609" s="24" t="s">
        <v>1560</v>
      </c>
      <c r="H609" s="24" t="s">
        <v>1561</v>
      </c>
      <c r="I609" s="5">
        <v>272703</v>
      </c>
      <c r="L609" s="5">
        <v>272703</v>
      </c>
      <c r="M609" s="5">
        <v>29218.18</v>
      </c>
      <c r="N609" s="5">
        <v>243484.82</v>
      </c>
    </row>
    <row r="610" spans="1:14">
      <c r="A610" s="24" t="s">
        <v>1562</v>
      </c>
      <c r="B610" s="24" t="s">
        <v>1553</v>
      </c>
      <c r="C610" s="24" t="s">
        <v>1563</v>
      </c>
      <c r="D610" s="6">
        <v>45</v>
      </c>
      <c r="E610" s="24" t="s">
        <v>692</v>
      </c>
      <c r="F610" s="24" t="s">
        <v>139</v>
      </c>
      <c r="G610" s="24" t="s">
        <v>1564</v>
      </c>
      <c r="H610" s="24" t="s">
        <v>1565</v>
      </c>
      <c r="I610" s="5">
        <v>164075</v>
      </c>
      <c r="L610" s="5">
        <v>164075</v>
      </c>
      <c r="M610" s="5">
        <v>17579.46</v>
      </c>
      <c r="N610" s="5">
        <v>146495.54</v>
      </c>
    </row>
    <row r="611" spans="1:14">
      <c r="A611" s="24" t="s">
        <v>1566</v>
      </c>
      <c r="B611" s="24" t="s">
        <v>1553</v>
      </c>
      <c r="C611" s="24" t="s">
        <v>151</v>
      </c>
      <c r="D611" s="6">
        <v>60</v>
      </c>
      <c r="E611" s="24" t="s">
        <v>1557</v>
      </c>
      <c r="F611" s="24" t="s">
        <v>36</v>
      </c>
      <c r="G611" s="24" t="s">
        <v>187</v>
      </c>
      <c r="H611" s="24" t="s">
        <v>1567</v>
      </c>
      <c r="I611" s="5">
        <v>24544</v>
      </c>
      <c r="L611" s="5">
        <v>24544</v>
      </c>
      <c r="M611" s="5">
        <v>2629.71</v>
      </c>
      <c r="N611" s="5">
        <v>21914.29</v>
      </c>
    </row>
    <row r="612" spans="1:14">
      <c r="A612" s="24" t="s">
        <v>1568</v>
      </c>
      <c r="B612" s="24" t="s">
        <v>1553</v>
      </c>
      <c r="C612" s="24" t="s">
        <v>369</v>
      </c>
      <c r="D612" s="6">
        <v>30</v>
      </c>
      <c r="E612" s="24" t="s">
        <v>1569</v>
      </c>
      <c r="F612" s="24" t="s">
        <v>139</v>
      </c>
      <c r="G612" s="24" t="s">
        <v>371</v>
      </c>
      <c r="H612" s="24" t="s">
        <v>1570</v>
      </c>
      <c r="I612" s="5">
        <v>96530</v>
      </c>
      <c r="L612" s="5">
        <v>96530</v>
      </c>
      <c r="M612" s="5">
        <v>10342.5</v>
      </c>
      <c r="N612" s="5">
        <v>86187.5</v>
      </c>
    </row>
    <row r="613" spans="1:14">
      <c r="A613" s="24" t="s">
        <v>1571</v>
      </c>
      <c r="B613" s="24" t="s">
        <v>1553</v>
      </c>
      <c r="C613" s="24" t="s">
        <v>369</v>
      </c>
      <c r="D613" s="6">
        <v>30</v>
      </c>
      <c r="E613" s="24" t="s">
        <v>1569</v>
      </c>
      <c r="F613" s="24" t="s">
        <v>139</v>
      </c>
      <c r="G613" s="24" t="s">
        <v>371</v>
      </c>
      <c r="H613" s="24" t="s">
        <v>1572</v>
      </c>
      <c r="I613" s="5">
        <v>138347</v>
      </c>
      <c r="L613" s="5">
        <v>138347</v>
      </c>
      <c r="M613" s="5">
        <v>14822.89</v>
      </c>
      <c r="N613" s="5">
        <v>123524.11</v>
      </c>
    </row>
    <row r="614" spans="1:14">
      <c r="A614" s="24" t="s">
        <v>1573</v>
      </c>
      <c r="B614" s="24" t="s">
        <v>1553</v>
      </c>
      <c r="C614" s="24" t="s">
        <v>18</v>
      </c>
      <c r="D614" s="6">
        <v>0</v>
      </c>
      <c r="E614" s="24" t="s">
        <v>1553</v>
      </c>
      <c r="F614" s="24" t="s">
        <v>270</v>
      </c>
      <c r="G614" s="24" t="s">
        <v>70</v>
      </c>
      <c r="H614" s="24" t="s">
        <v>1574</v>
      </c>
      <c r="I614" s="5">
        <v>24540</v>
      </c>
      <c r="L614" s="5">
        <v>24540</v>
      </c>
      <c r="M614" s="5">
        <v>2629.29</v>
      </c>
      <c r="N614" s="5">
        <v>21910.71</v>
      </c>
    </row>
    <row r="615" spans="1:14">
      <c r="A615" s="24" t="s">
        <v>1575</v>
      </c>
      <c r="B615" s="24" t="s">
        <v>1553</v>
      </c>
      <c r="C615" s="24" t="s">
        <v>658</v>
      </c>
      <c r="D615" s="6">
        <v>60</v>
      </c>
      <c r="E615" s="24" t="s">
        <v>1557</v>
      </c>
      <c r="F615" s="24" t="s">
        <v>46</v>
      </c>
      <c r="G615" s="24" t="s">
        <v>787</v>
      </c>
      <c r="H615" s="24" t="s">
        <v>1576</v>
      </c>
      <c r="I615" s="5">
        <v>45666</v>
      </c>
      <c r="L615" s="5">
        <v>45666</v>
      </c>
      <c r="M615" s="5">
        <v>4892.79</v>
      </c>
      <c r="N615" s="5">
        <v>40773.21</v>
      </c>
    </row>
    <row r="616" spans="1:14">
      <c r="A616" s="24" t="s">
        <v>1577</v>
      </c>
      <c r="B616" s="24" t="s">
        <v>1553</v>
      </c>
      <c r="C616" s="24" t="s">
        <v>73</v>
      </c>
      <c r="D616" s="6">
        <v>30</v>
      </c>
      <c r="E616" s="24" t="s">
        <v>1569</v>
      </c>
      <c r="F616" s="24" t="s">
        <v>56</v>
      </c>
      <c r="G616" s="24" t="s">
        <v>812</v>
      </c>
      <c r="H616" s="24" t="s">
        <v>1578</v>
      </c>
      <c r="I616" s="5">
        <v>33964</v>
      </c>
      <c r="L616" s="5">
        <v>33964</v>
      </c>
      <c r="M616" s="5">
        <v>3639</v>
      </c>
      <c r="N616" s="5">
        <v>30325</v>
      </c>
    </row>
    <row r="617" spans="1:14">
      <c r="A617" s="24" t="s">
        <v>1579</v>
      </c>
      <c r="B617" s="24" t="s">
        <v>1553</v>
      </c>
      <c r="C617" s="24" t="s">
        <v>146</v>
      </c>
      <c r="D617" s="6">
        <v>90</v>
      </c>
      <c r="E617" s="24" t="s">
        <v>1554</v>
      </c>
      <c r="F617" s="24" t="s">
        <v>759</v>
      </c>
      <c r="G617" s="24" t="s">
        <v>1580</v>
      </c>
      <c r="H617" s="24" t="s">
        <v>1581</v>
      </c>
      <c r="I617" s="5">
        <v>2105000</v>
      </c>
      <c r="L617" s="5">
        <v>2105000</v>
      </c>
      <c r="M617" s="5">
        <v>225535.71</v>
      </c>
      <c r="N617" s="5">
        <v>1879464.29</v>
      </c>
    </row>
    <row r="618" spans="1:14">
      <c r="A618" s="24" t="s">
        <v>1582</v>
      </c>
      <c r="B618" s="24" t="s">
        <v>1553</v>
      </c>
      <c r="C618" s="24" t="s">
        <v>146</v>
      </c>
      <c r="D618" s="6">
        <v>90</v>
      </c>
      <c r="E618" s="24" t="s">
        <v>1554</v>
      </c>
      <c r="F618" s="24" t="s">
        <v>759</v>
      </c>
      <c r="G618" s="24" t="s">
        <v>1580</v>
      </c>
      <c r="H618" s="24" t="s">
        <v>1583</v>
      </c>
      <c r="I618" s="5">
        <v>1496900</v>
      </c>
      <c r="L618" s="5">
        <v>1496900</v>
      </c>
      <c r="M618" s="5">
        <v>160382.14000000001</v>
      </c>
      <c r="N618" s="5">
        <v>1336517.8600000001</v>
      </c>
    </row>
    <row r="619" spans="1:14">
      <c r="A619" s="24" t="s">
        <v>1584</v>
      </c>
      <c r="B619" s="24" t="s">
        <v>1553</v>
      </c>
      <c r="C619" s="24" t="s">
        <v>23</v>
      </c>
      <c r="D619" s="6">
        <v>30</v>
      </c>
      <c r="E619" s="24" t="s">
        <v>1569</v>
      </c>
      <c r="F619" s="24" t="s">
        <v>180</v>
      </c>
      <c r="G619" s="24" t="s">
        <v>224</v>
      </c>
      <c r="H619" s="24" t="s">
        <v>1585</v>
      </c>
      <c r="I619" s="5">
        <v>57200</v>
      </c>
      <c r="L619" s="5">
        <v>57200</v>
      </c>
      <c r="M619" s="5">
        <v>6128.57</v>
      </c>
      <c r="N619" s="5">
        <v>51071.43</v>
      </c>
    </row>
    <row r="620" spans="1:14">
      <c r="A620" s="24" t="s">
        <v>1586</v>
      </c>
      <c r="B620" s="24" t="s">
        <v>1553</v>
      </c>
      <c r="C620" s="24" t="s">
        <v>64</v>
      </c>
      <c r="D620" s="6">
        <v>30</v>
      </c>
      <c r="E620" s="24" t="s">
        <v>1569</v>
      </c>
      <c r="F620" s="24" t="s">
        <v>25</v>
      </c>
      <c r="G620" s="24" t="s">
        <v>26</v>
      </c>
      <c r="H620" s="24" t="s">
        <v>1420</v>
      </c>
      <c r="I620" s="5">
        <v>264274</v>
      </c>
      <c r="K620" s="5">
        <v>35300</v>
      </c>
      <c r="L620" s="5">
        <v>299574</v>
      </c>
      <c r="M620" s="5">
        <v>32097.21</v>
      </c>
      <c r="N620" s="5">
        <v>267476.78999999998</v>
      </c>
    </row>
    <row r="621" spans="1:14">
      <c r="A621" s="24" t="s">
        <v>1587</v>
      </c>
      <c r="B621" s="24" t="s">
        <v>1553</v>
      </c>
      <c r="C621" s="24" t="s">
        <v>23</v>
      </c>
      <c r="D621" s="6">
        <v>30</v>
      </c>
      <c r="E621" s="24" t="s">
        <v>1569</v>
      </c>
      <c r="F621" s="24" t="s">
        <v>180</v>
      </c>
      <c r="G621" s="24" t="s">
        <v>224</v>
      </c>
      <c r="H621" s="24" t="s">
        <v>1588</v>
      </c>
      <c r="I621" s="5">
        <v>45800</v>
      </c>
      <c r="L621" s="5">
        <v>45800</v>
      </c>
      <c r="M621" s="5">
        <v>4907.1400000000003</v>
      </c>
      <c r="N621" s="5">
        <v>40892.86</v>
      </c>
    </row>
    <row r="622" spans="1:14">
      <c r="A622" s="24" t="s">
        <v>1589</v>
      </c>
      <c r="B622" s="24" t="s">
        <v>1553</v>
      </c>
      <c r="C622" s="24" t="s">
        <v>34</v>
      </c>
      <c r="D622" s="6">
        <v>60</v>
      </c>
      <c r="E622" s="24" t="s">
        <v>1557</v>
      </c>
      <c r="F622" s="24" t="s">
        <v>19</v>
      </c>
      <c r="G622" s="24" t="s">
        <v>287</v>
      </c>
      <c r="H622" s="24" t="s">
        <v>1590</v>
      </c>
      <c r="I622" s="5">
        <v>110500</v>
      </c>
      <c r="L622" s="5">
        <v>110500</v>
      </c>
      <c r="M622" s="5">
        <v>11839.29</v>
      </c>
      <c r="N622" s="5">
        <v>98660.71</v>
      </c>
    </row>
    <row r="623" spans="1:14">
      <c r="A623" s="24" t="s">
        <v>1591</v>
      </c>
      <c r="B623" s="24" t="s">
        <v>1553</v>
      </c>
      <c r="C623" s="24" t="s">
        <v>60</v>
      </c>
      <c r="D623" s="6">
        <v>0</v>
      </c>
      <c r="E623" s="24" t="s">
        <v>1553</v>
      </c>
      <c r="F623" s="24" t="s">
        <v>30</v>
      </c>
      <c r="G623" s="24" t="s">
        <v>406</v>
      </c>
      <c r="H623" s="24" t="s">
        <v>1592</v>
      </c>
      <c r="I623" s="5">
        <v>728000</v>
      </c>
      <c r="J623" s="4">
        <v>-21840</v>
      </c>
      <c r="L623" s="5">
        <v>706160</v>
      </c>
      <c r="M623" s="5">
        <v>75660</v>
      </c>
      <c r="N623" s="5">
        <v>630500</v>
      </c>
    </row>
    <row r="624" spans="1:14">
      <c r="A624" s="24" t="s">
        <v>1593</v>
      </c>
      <c r="B624" s="24" t="s">
        <v>1553</v>
      </c>
      <c r="C624" s="24" t="s">
        <v>29</v>
      </c>
      <c r="D624" s="6">
        <v>0</v>
      </c>
      <c r="E624" s="24" t="s">
        <v>1553</v>
      </c>
      <c r="F624" s="24" t="s">
        <v>30</v>
      </c>
      <c r="G624" s="24" t="s">
        <v>218</v>
      </c>
      <c r="H624" s="24" t="s">
        <v>1594</v>
      </c>
      <c r="I624" s="5">
        <v>517172</v>
      </c>
      <c r="J624" s="4">
        <v>-15515.16</v>
      </c>
      <c r="L624" s="5">
        <v>501656.84</v>
      </c>
      <c r="M624" s="5">
        <v>53748.95</v>
      </c>
      <c r="N624" s="5">
        <v>447907.89</v>
      </c>
    </row>
    <row r="625" spans="1:14">
      <c r="A625" s="24" t="s">
        <v>1595</v>
      </c>
      <c r="B625" s="24" t="s">
        <v>1553</v>
      </c>
      <c r="C625" s="24" t="s">
        <v>29</v>
      </c>
      <c r="D625" s="6">
        <v>0</v>
      </c>
      <c r="E625" s="24" t="s">
        <v>1553</v>
      </c>
      <c r="F625" s="24" t="s">
        <v>30</v>
      </c>
      <c r="G625" s="24" t="s">
        <v>218</v>
      </c>
      <c r="H625" s="24" t="s">
        <v>1596</v>
      </c>
      <c r="I625" s="5">
        <v>152454</v>
      </c>
      <c r="J625" s="4">
        <v>-4573.62</v>
      </c>
      <c r="L625" s="5">
        <v>147880.38</v>
      </c>
      <c r="M625" s="5">
        <v>15844.33</v>
      </c>
      <c r="N625" s="5">
        <v>132036.04999999999</v>
      </c>
    </row>
    <row r="626" spans="1:14">
      <c r="A626" s="24" t="s">
        <v>1597</v>
      </c>
      <c r="B626" s="24" t="s">
        <v>1553</v>
      </c>
      <c r="C626" s="24" t="s">
        <v>73</v>
      </c>
      <c r="D626" s="6">
        <v>30</v>
      </c>
      <c r="E626" s="24" t="s">
        <v>1569</v>
      </c>
      <c r="F626" s="24" t="s">
        <v>56</v>
      </c>
      <c r="G626" s="24" t="s">
        <v>812</v>
      </c>
      <c r="H626" s="24" t="s">
        <v>1598</v>
      </c>
      <c r="I626" s="5">
        <v>246330</v>
      </c>
      <c r="L626" s="5">
        <v>246330</v>
      </c>
      <c r="M626" s="5">
        <v>26392.5</v>
      </c>
      <c r="N626" s="5">
        <v>219937.5</v>
      </c>
    </row>
    <row r="627" spans="1:14">
      <c r="A627" s="24" t="s">
        <v>1599</v>
      </c>
      <c r="B627" s="24" t="s">
        <v>1553</v>
      </c>
      <c r="C627" s="24" t="s">
        <v>60</v>
      </c>
      <c r="D627" s="6">
        <v>0</v>
      </c>
      <c r="E627" s="24" t="s">
        <v>1553</v>
      </c>
      <c r="F627" s="24" t="s">
        <v>56</v>
      </c>
      <c r="G627" s="24" t="s">
        <v>196</v>
      </c>
      <c r="H627" s="24" t="s">
        <v>1600</v>
      </c>
      <c r="I627" s="5">
        <v>20090</v>
      </c>
      <c r="L627" s="5">
        <v>20090</v>
      </c>
      <c r="M627" s="5">
        <v>2152.5</v>
      </c>
      <c r="N627" s="5">
        <v>17937.5</v>
      </c>
    </row>
    <row r="628" spans="1:14">
      <c r="A628" s="24" t="s">
        <v>1601</v>
      </c>
      <c r="B628" s="24" t="s">
        <v>1553</v>
      </c>
      <c r="C628" s="24" t="s">
        <v>60</v>
      </c>
      <c r="D628" s="6">
        <v>0</v>
      </c>
      <c r="E628" s="24" t="s">
        <v>1553</v>
      </c>
      <c r="F628" s="24" t="s">
        <v>56</v>
      </c>
      <c r="G628" s="24" t="s">
        <v>196</v>
      </c>
      <c r="H628" s="24" t="s">
        <v>1602</v>
      </c>
      <c r="I628" s="5">
        <v>60268</v>
      </c>
      <c r="L628" s="5">
        <v>60268</v>
      </c>
      <c r="M628" s="5">
        <v>6457.29</v>
      </c>
      <c r="N628" s="5">
        <v>53810.71</v>
      </c>
    </row>
    <row r="629" spans="1:14">
      <c r="A629" s="24" t="s">
        <v>1603</v>
      </c>
      <c r="B629" s="24" t="s">
        <v>1553</v>
      </c>
      <c r="C629" s="24" t="s">
        <v>54</v>
      </c>
      <c r="D629" s="6">
        <v>90</v>
      </c>
      <c r="E629" s="24" t="s">
        <v>1554</v>
      </c>
      <c r="F629" s="24" t="s">
        <v>19</v>
      </c>
      <c r="G629" s="24" t="s">
        <v>937</v>
      </c>
      <c r="H629" s="24" t="s">
        <v>1604</v>
      </c>
      <c r="I629" s="5">
        <v>537500</v>
      </c>
      <c r="L629" s="5">
        <v>537500</v>
      </c>
      <c r="M629" s="5">
        <v>57589.29</v>
      </c>
      <c r="N629" s="5">
        <v>479910.71</v>
      </c>
    </row>
    <row r="630" spans="1:14">
      <c r="A630" s="24" t="s">
        <v>1605</v>
      </c>
      <c r="B630" s="24" t="s">
        <v>1553</v>
      </c>
      <c r="C630" s="24" t="s">
        <v>18</v>
      </c>
      <c r="D630" s="6">
        <v>0</v>
      </c>
      <c r="E630" s="24" t="s">
        <v>1553</v>
      </c>
      <c r="F630" s="24" t="s">
        <v>30</v>
      </c>
      <c r="G630" s="24" t="s">
        <v>581</v>
      </c>
      <c r="H630" s="24" t="s">
        <v>1606</v>
      </c>
      <c r="I630" s="5">
        <v>353460</v>
      </c>
      <c r="L630" s="5">
        <v>353460</v>
      </c>
      <c r="M630" s="5">
        <v>37870.71</v>
      </c>
      <c r="N630" s="5">
        <v>315589.28999999998</v>
      </c>
    </row>
    <row r="631" spans="1:14">
      <c r="A631" s="24" t="s">
        <v>1607</v>
      </c>
      <c r="B631" s="24" t="s">
        <v>1553</v>
      </c>
      <c r="C631" s="24" t="s">
        <v>18</v>
      </c>
      <c r="D631" s="6">
        <v>0</v>
      </c>
      <c r="E631" s="24" t="s">
        <v>1553</v>
      </c>
      <c r="F631" s="24" t="s">
        <v>30</v>
      </c>
      <c r="G631" s="24" t="s">
        <v>581</v>
      </c>
      <c r="H631" s="24" t="s">
        <v>1608</v>
      </c>
      <c r="I631" s="5">
        <v>1011060</v>
      </c>
      <c r="L631" s="5">
        <v>1011060</v>
      </c>
      <c r="M631" s="5">
        <v>108327.86</v>
      </c>
      <c r="N631" s="5">
        <v>902732.14</v>
      </c>
    </row>
    <row r="632" spans="1:14">
      <c r="A632" s="24" t="s">
        <v>1609</v>
      </c>
      <c r="B632" s="24" t="s">
        <v>1553</v>
      </c>
      <c r="C632" s="24" t="s">
        <v>18</v>
      </c>
      <c r="D632" s="6">
        <v>0</v>
      </c>
      <c r="E632" s="24" t="s">
        <v>1553</v>
      </c>
      <c r="F632" s="24" t="s">
        <v>30</v>
      </c>
      <c r="G632" s="24" t="s">
        <v>581</v>
      </c>
      <c r="H632" s="24" t="s">
        <v>1610</v>
      </c>
      <c r="I632" s="5">
        <v>16440</v>
      </c>
      <c r="L632" s="5">
        <v>16440</v>
      </c>
      <c r="M632" s="5">
        <v>1761.43</v>
      </c>
      <c r="N632" s="5">
        <v>14678.57</v>
      </c>
    </row>
    <row r="633" spans="1:14">
      <c r="A633" s="24" t="s">
        <v>1611</v>
      </c>
      <c r="B633" s="24" t="s">
        <v>1553</v>
      </c>
      <c r="C633" s="24" t="s">
        <v>369</v>
      </c>
      <c r="D633" s="6">
        <v>30</v>
      </c>
      <c r="E633" s="24" t="s">
        <v>1569</v>
      </c>
      <c r="F633" s="24" t="s">
        <v>139</v>
      </c>
      <c r="G633" s="24" t="s">
        <v>371</v>
      </c>
      <c r="H633" s="24" t="s">
        <v>1612</v>
      </c>
      <c r="I633" s="5">
        <v>20540</v>
      </c>
      <c r="L633" s="5">
        <v>20540</v>
      </c>
      <c r="M633" s="5">
        <v>2200.71</v>
      </c>
      <c r="N633" s="5">
        <v>18339.29</v>
      </c>
    </row>
    <row r="634" spans="1:14">
      <c r="A634" s="24" t="s">
        <v>1613</v>
      </c>
      <c r="B634" s="24" t="s">
        <v>1553</v>
      </c>
      <c r="C634" s="24" t="s">
        <v>1011</v>
      </c>
      <c r="D634" s="6">
        <v>60</v>
      </c>
      <c r="E634" s="24" t="s">
        <v>1557</v>
      </c>
      <c r="F634" s="24" t="s">
        <v>204</v>
      </c>
      <c r="G634" s="24" t="s">
        <v>1614</v>
      </c>
      <c r="H634" s="24" t="s">
        <v>1615</v>
      </c>
      <c r="I634" s="5">
        <v>163920</v>
      </c>
      <c r="L634" s="5">
        <v>163920</v>
      </c>
      <c r="M634" s="5">
        <v>17562.86</v>
      </c>
      <c r="N634" s="5">
        <v>146357.14000000001</v>
      </c>
    </row>
    <row r="635" spans="1:14">
      <c r="A635" s="24" t="s">
        <v>1616</v>
      </c>
      <c r="B635" s="24" t="s">
        <v>1553</v>
      </c>
      <c r="C635" s="24" t="s">
        <v>1011</v>
      </c>
      <c r="D635" s="6">
        <v>60</v>
      </c>
      <c r="E635" s="24" t="s">
        <v>1557</v>
      </c>
      <c r="F635" s="24" t="s">
        <v>204</v>
      </c>
      <c r="G635" s="24" t="s">
        <v>1614</v>
      </c>
      <c r="H635" s="24" t="s">
        <v>1617</v>
      </c>
      <c r="I635" s="5">
        <v>280978</v>
      </c>
      <c r="L635" s="5">
        <v>280978</v>
      </c>
      <c r="M635" s="5">
        <v>30104.79</v>
      </c>
      <c r="N635" s="5">
        <v>250873.21</v>
      </c>
    </row>
    <row r="636" spans="1:14">
      <c r="A636" s="24" t="s">
        <v>1618</v>
      </c>
      <c r="B636" s="24" t="s">
        <v>1553</v>
      </c>
      <c r="C636" s="24" t="s">
        <v>151</v>
      </c>
      <c r="D636" s="6">
        <v>60</v>
      </c>
      <c r="E636" s="24" t="s">
        <v>1557</v>
      </c>
      <c r="F636" s="24" t="s">
        <v>56</v>
      </c>
      <c r="G636" s="24" t="s">
        <v>152</v>
      </c>
      <c r="H636" s="24" t="s">
        <v>1619</v>
      </c>
      <c r="I636" s="5">
        <v>21504</v>
      </c>
      <c r="L636" s="5">
        <v>21504</v>
      </c>
      <c r="M636" s="5">
        <v>2304</v>
      </c>
      <c r="N636" s="5">
        <v>19200</v>
      </c>
    </row>
    <row r="637" spans="1:14">
      <c r="A637" s="24" t="s">
        <v>1620</v>
      </c>
      <c r="B637" s="24" t="s">
        <v>1553</v>
      </c>
      <c r="C637" s="24" t="s">
        <v>68</v>
      </c>
      <c r="D637" s="6">
        <v>60</v>
      </c>
      <c r="E637" s="24" t="s">
        <v>1557</v>
      </c>
      <c r="F637" s="24" t="s">
        <v>69</v>
      </c>
      <c r="G637" s="24" t="s">
        <v>70</v>
      </c>
      <c r="H637" s="24" t="s">
        <v>1621</v>
      </c>
      <c r="I637" s="5">
        <v>2419200</v>
      </c>
      <c r="L637" s="5">
        <v>2419200</v>
      </c>
      <c r="M637" s="5">
        <v>259200</v>
      </c>
      <c r="N637" s="5">
        <v>2160000</v>
      </c>
    </row>
    <row r="638" spans="1:14">
      <c r="D638" s="6"/>
      <c r="I638" s="5"/>
      <c r="K638" s="28">
        <f>SUM(K4:K637)</f>
        <v>193550</v>
      </c>
      <c r="L638" s="28">
        <f>SUM(L4:L637)</f>
        <v>154902289.21000001</v>
      </c>
      <c r="M638" s="5"/>
      <c r="N638" s="5"/>
    </row>
    <row r="639" spans="1:14">
      <c r="D639" s="6"/>
      <c r="I639" s="5"/>
      <c r="L639" s="5"/>
      <c r="M639" s="5"/>
      <c r="N639" s="5"/>
    </row>
    <row r="640" spans="1:14">
      <c r="A640" s="24" t="s">
        <v>1622</v>
      </c>
      <c r="B640" s="24" t="s">
        <v>93</v>
      </c>
      <c r="C640" s="24" t="s">
        <v>146</v>
      </c>
      <c r="D640" s="6">
        <v>90</v>
      </c>
      <c r="E640" s="24" t="s">
        <v>147</v>
      </c>
      <c r="F640" s="24" t="s">
        <v>139</v>
      </c>
      <c r="G640" s="24" t="s">
        <v>589</v>
      </c>
      <c r="H640" s="24" t="s">
        <v>1623</v>
      </c>
      <c r="I640" s="4">
        <v>-1.25</v>
      </c>
      <c r="L640" s="4">
        <v>-1.25</v>
      </c>
      <c r="N640" s="4">
        <v>-1.25</v>
      </c>
    </row>
    <row r="641" spans="1:14">
      <c r="A641" s="24" t="s">
        <v>1624</v>
      </c>
      <c r="B641" s="24" t="s">
        <v>448</v>
      </c>
      <c r="C641" s="24" t="s">
        <v>146</v>
      </c>
      <c r="D641" s="6">
        <v>90</v>
      </c>
      <c r="E641" s="24" t="s">
        <v>479</v>
      </c>
      <c r="F641" s="24" t="s">
        <v>139</v>
      </c>
      <c r="G641" s="24" t="s">
        <v>589</v>
      </c>
      <c r="H641" s="24" t="s">
        <v>1625</v>
      </c>
      <c r="I641" s="4">
        <v>-0.14000000000000001</v>
      </c>
      <c r="L641" s="4">
        <v>-0.14000000000000001</v>
      </c>
      <c r="N641" s="4">
        <v>-0.14000000000000001</v>
      </c>
    </row>
    <row r="642" spans="1:14">
      <c r="A642" s="24" t="s">
        <v>1626</v>
      </c>
      <c r="B642" s="24" t="s">
        <v>505</v>
      </c>
      <c r="C642" s="24" t="s">
        <v>243</v>
      </c>
      <c r="D642" s="6">
        <v>30</v>
      </c>
      <c r="E642" s="24" t="s">
        <v>518</v>
      </c>
      <c r="F642" s="24" t="s">
        <v>139</v>
      </c>
      <c r="G642" s="24" t="s">
        <v>1405</v>
      </c>
      <c r="H642" s="24" t="s">
        <v>1627</v>
      </c>
      <c r="I642" s="4">
        <v>-0.99</v>
      </c>
      <c r="L642" s="4">
        <v>-0.99</v>
      </c>
      <c r="N642" s="4">
        <v>-0.99</v>
      </c>
    </row>
    <row r="643" spans="1:14">
      <c r="A643" s="24" t="s">
        <v>1628</v>
      </c>
      <c r="B643" s="24" t="s">
        <v>505</v>
      </c>
      <c r="C643" s="24" t="s">
        <v>73</v>
      </c>
      <c r="D643" s="6">
        <v>30</v>
      </c>
      <c r="E643" s="24" t="s">
        <v>518</v>
      </c>
      <c r="F643" s="24" t="s">
        <v>19</v>
      </c>
      <c r="G643" s="24" t="s">
        <v>267</v>
      </c>
      <c r="H643" s="24" t="s">
        <v>1629</v>
      </c>
      <c r="I643" s="4">
        <v>-134200</v>
      </c>
      <c r="L643" s="4">
        <v>-134200</v>
      </c>
      <c r="M643" s="4">
        <v>-14378.57</v>
      </c>
      <c r="N643" s="4">
        <v>-119821.43</v>
      </c>
    </row>
    <row r="644" spans="1:14">
      <c r="A644" s="24" t="s">
        <v>1630</v>
      </c>
      <c r="B644" s="24" t="s">
        <v>505</v>
      </c>
      <c r="C644" s="24" t="s">
        <v>104</v>
      </c>
      <c r="D644" s="6">
        <v>0</v>
      </c>
      <c r="E644" s="24" t="s">
        <v>505</v>
      </c>
      <c r="F644" s="24" t="s">
        <v>30</v>
      </c>
      <c r="G644" s="24" t="s">
        <v>490</v>
      </c>
      <c r="H644" s="24" t="s">
        <v>1631</v>
      </c>
      <c r="I644" s="4">
        <v>-0.54</v>
      </c>
      <c r="L644" s="4">
        <v>-0.54</v>
      </c>
      <c r="N644" s="4">
        <v>-0.54</v>
      </c>
    </row>
    <row r="645" spans="1:14">
      <c r="A645" s="24" t="s">
        <v>1632</v>
      </c>
      <c r="B645" s="24" t="s">
        <v>596</v>
      </c>
      <c r="C645" s="24" t="s">
        <v>151</v>
      </c>
      <c r="D645" s="6">
        <v>60</v>
      </c>
      <c r="E645" s="24" t="s">
        <v>613</v>
      </c>
      <c r="F645" s="24" t="s">
        <v>105</v>
      </c>
      <c r="G645" s="24" t="s">
        <v>1633</v>
      </c>
      <c r="H645" s="24" t="s">
        <v>1634</v>
      </c>
      <c r="I645" s="4">
        <v>-2</v>
      </c>
      <c r="L645" s="4">
        <v>-2</v>
      </c>
      <c r="N645" s="4">
        <v>-2</v>
      </c>
    </row>
    <row r="646" spans="1:14">
      <c r="A646" s="24" t="s">
        <v>1635</v>
      </c>
      <c r="B646" s="24" t="s">
        <v>596</v>
      </c>
      <c r="C646" s="24" t="s">
        <v>79</v>
      </c>
      <c r="D646" s="6">
        <v>30</v>
      </c>
      <c r="E646" s="24" t="s">
        <v>619</v>
      </c>
      <c r="F646" s="24" t="s">
        <v>69</v>
      </c>
      <c r="G646" s="24" t="s">
        <v>1636</v>
      </c>
      <c r="H646" s="24" t="s">
        <v>1637</v>
      </c>
      <c r="I646" s="4">
        <v>-637070</v>
      </c>
      <c r="L646" s="4">
        <v>-637070</v>
      </c>
      <c r="M646" s="4">
        <v>-68257.5</v>
      </c>
      <c r="N646" s="4">
        <v>-568812.5</v>
      </c>
    </row>
    <row r="647" spans="1:14">
      <c r="A647" s="24" t="s">
        <v>1638</v>
      </c>
      <c r="B647" s="24" t="s">
        <v>596</v>
      </c>
      <c r="C647" s="24" t="s">
        <v>79</v>
      </c>
      <c r="D647" s="6">
        <v>30</v>
      </c>
      <c r="E647" s="24" t="s">
        <v>619</v>
      </c>
      <c r="F647" s="24" t="s">
        <v>69</v>
      </c>
      <c r="G647" s="24" t="s">
        <v>1636</v>
      </c>
      <c r="H647" s="24" t="s">
        <v>1639</v>
      </c>
      <c r="I647" s="4">
        <v>-115297</v>
      </c>
      <c r="L647" s="4">
        <v>-115297</v>
      </c>
      <c r="M647" s="4">
        <v>-12353.25</v>
      </c>
      <c r="N647" s="4">
        <v>-102943.75</v>
      </c>
    </row>
    <row r="648" spans="1:14">
      <c r="A648" s="24" t="s">
        <v>1640</v>
      </c>
      <c r="B648" s="24" t="s">
        <v>596</v>
      </c>
      <c r="C648" s="24" t="s">
        <v>79</v>
      </c>
      <c r="D648" s="6">
        <v>30</v>
      </c>
      <c r="E648" s="24" t="s">
        <v>619</v>
      </c>
      <c r="F648" s="24" t="s">
        <v>69</v>
      </c>
      <c r="G648" s="24" t="s">
        <v>1636</v>
      </c>
      <c r="H648" s="24" t="s">
        <v>1641</v>
      </c>
      <c r="I648" s="4">
        <v>-663000</v>
      </c>
      <c r="L648" s="4">
        <v>-663000</v>
      </c>
      <c r="M648" s="4">
        <v>-71035.710000000006</v>
      </c>
      <c r="N648" s="4">
        <v>-591964.29</v>
      </c>
    </row>
    <row r="649" spans="1:14">
      <c r="A649" s="24" t="s">
        <v>1642</v>
      </c>
      <c r="B649" s="24" t="s">
        <v>596</v>
      </c>
      <c r="C649" s="24" t="s">
        <v>79</v>
      </c>
      <c r="D649" s="6">
        <v>30</v>
      </c>
      <c r="E649" s="24" t="s">
        <v>619</v>
      </c>
      <c r="F649" s="24" t="s">
        <v>69</v>
      </c>
      <c r="G649" s="24" t="s">
        <v>1636</v>
      </c>
      <c r="H649" s="24" t="s">
        <v>1643</v>
      </c>
      <c r="I649" s="4">
        <v>-343200</v>
      </c>
      <c r="L649" s="4">
        <v>-343200</v>
      </c>
      <c r="M649" s="4">
        <v>-36771.43</v>
      </c>
      <c r="N649" s="4">
        <v>-306428.57</v>
      </c>
    </row>
    <row r="650" spans="1:14">
      <c r="A650" s="24" t="s">
        <v>1644</v>
      </c>
      <c r="B650" s="24" t="s">
        <v>596</v>
      </c>
      <c r="C650" s="24" t="s">
        <v>79</v>
      </c>
      <c r="D650" s="6">
        <v>30</v>
      </c>
      <c r="E650" s="24" t="s">
        <v>619</v>
      </c>
      <c r="F650" s="24" t="s">
        <v>69</v>
      </c>
      <c r="G650" s="24" t="s">
        <v>1636</v>
      </c>
      <c r="H650" s="24" t="s">
        <v>1645</v>
      </c>
      <c r="I650" s="4">
        <v>-53150</v>
      </c>
      <c r="L650" s="4">
        <v>-53150</v>
      </c>
      <c r="M650" s="4">
        <v>-5694.64</v>
      </c>
      <c r="N650" s="4">
        <v>-47455.360000000001</v>
      </c>
    </row>
    <row r="651" spans="1:14">
      <c r="A651" s="24" t="s">
        <v>1646</v>
      </c>
      <c r="B651" s="24" t="s">
        <v>596</v>
      </c>
      <c r="C651" s="24" t="s">
        <v>79</v>
      </c>
      <c r="D651" s="6">
        <v>30</v>
      </c>
      <c r="E651" s="24" t="s">
        <v>619</v>
      </c>
      <c r="F651" s="24" t="s">
        <v>69</v>
      </c>
      <c r="G651" s="24" t="s">
        <v>1636</v>
      </c>
      <c r="H651" s="24" t="s">
        <v>1647</v>
      </c>
      <c r="I651" s="4">
        <v>-66750</v>
      </c>
      <c r="L651" s="4">
        <v>-66750</v>
      </c>
      <c r="M651" s="4">
        <v>-7151.79</v>
      </c>
      <c r="N651" s="4">
        <v>-59598.21</v>
      </c>
    </row>
    <row r="652" spans="1:14">
      <c r="A652" s="24" t="s">
        <v>1648</v>
      </c>
      <c r="B652" s="24" t="s">
        <v>596</v>
      </c>
      <c r="C652" s="24" t="s">
        <v>79</v>
      </c>
      <c r="D652" s="6">
        <v>30</v>
      </c>
      <c r="E652" s="24" t="s">
        <v>619</v>
      </c>
      <c r="F652" s="24" t="s">
        <v>69</v>
      </c>
      <c r="G652" s="24" t="s">
        <v>1636</v>
      </c>
      <c r="H652" s="24" t="s">
        <v>1649</v>
      </c>
      <c r="I652" s="4">
        <v>-122650</v>
      </c>
      <c r="L652" s="4">
        <v>-122650</v>
      </c>
      <c r="M652" s="4">
        <v>-13141.07</v>
      </c>
      <c r="N652" s="4">
        <v>-109508.93</v>
      </c>
    </row>
    <row r="653" spans="1:14">
      <c r="A653" s="24" t="s">
        <v>1650</v>
      </c>
      <c r="B653" s="24" t="s">
        <v>1651</v>
      </c>
      <c r="C653" s="24" t="s">
        <v>60</v>
      </c>
      <c r="D653" s="6">
        <v>0</v>
      </c>
      <c r="E653" s="24" t="s">
        <v>1651</v>
      </c>
      <c r="F653" s="24" t="s">
        <v>56</v>
      </c>
      <c r="G653" s="24" t="s">
        <v>1127</v>
      </c>
      <c r="H653" s="24" t="s">
        <v>1652</v>
      </c>
      <c r="I653" s="4">
        <v>-0.4</v>
      </c>
      <c r="L653" s="4">
        <v>-0.4</v>
      </c>
      <c r="N653" s="4">
        <v>-0.4</v>
      </c>
    </row>
    <row r="654" spans="1:14">
      <c r="A654" s="24" t="s">
        <v>1653</v>
      </c>
      <c r="B654" s="24" t="s">
        <v>689</v>
      </c>
      <c r="C654" s="24" t="s">
        <v>60</v>
      </c>
      <c r="D654" s="6">
        <v>0</v>
      </c>
      <c r="E654" s="24" t="s">
        <v>689</v>
      </c>
      <c r="F654" s="24" t="s">
        <v>56</v>
      </c>
      <c r="G654" s="24" t="s">
        <v>790</v>
      </c>
      <c r="H654" s="24" t="s">
        <v>1654</v>
      </c>
      <c r="I654" s="4">
        <v>-0.2</v>
      </c>
      <c r="L654" s="4">
        <v>-0.2</v>
      </c>
      <c r="N654" s="4">
        <v>-0.2</v>
      </c>
    </row>
    <row r="655" spans="1:14">
      <c r="A655" s="24" t="s">
        <v>1655</v>
      </c>
      <c r="B655" s="24" t="s">
        <v>1117</v>
      </c>
      <c r="C655" s="24" t="s">
        <v>34</v>
      </c>
      <c r="D655" s="6">
        <v>60</v>
      </c>
      <c r="E655" s="24" t="s">
        <v>1139</v>
      </c>
      <c r="F655" s="24" t="s">
        <v>329</v>
      </c>
      <c r="G655" s="24" t="s">
        <v>330</v>
      </c>
      <c r="H655" s="24" t="s">
        <v>1656</v>
      </c>
      <c r="I655" s="4">
        <v>-0.36</v>
      </c>
      <c r="L655" s="4">
        <v>-0.36</v>
      </c>
      <c r="N655" s="4">
        <v>-0.36</v>
      </c>
    </row>
    <row r="656" spans="1:14">
      <c r="A656" s="24" t="s">
        <v>1657</v>
      </c>
      <c r="B656" s="24" t="s">
        <v>1217</v>
      </c>
      <c r="C656" s="24" t="s">
        <v>146</v>
      </c>
      <c r="D656" s="6">
        <v>90</v>
      </c>
      <c r="E656" s="24" t="s">
        <v>1235</v>
      </c>
      <c r="F656" s="24" t="s">
        <v>50</v>
      </c>
      <c r="G656" s="24" t="s">
        <v>1658</v>
      </c>
      <c r="H656" s="24" t="s">
        <v>1659</v>
      </c>
      <c r="I656" s="4">
        <v>-0.43</v>
      </c>
      <c r="L656" s="4">
        <v>-0.43</v>
      </c>
      <c r="N656" s="4">
        <v>-0.43</v>
      </c>
    </row>
    <row r="657" spans="1:14">
      <c r="A657" s="24" t="s">
        <v>1660</v>
      </c>
      <c r="B657" s="24" t="s">
        <v>1553</v>
      </c>
      <c r="C657" s="24" t="s">
        <v>18</v>
      </c>
      <c r="D657" s="6">
        <v>0</v>
      </c>
      <c r="E657" s="24" t="s">
        <v>1553</v>
      </c>
      <c r="F657" s="24" t="s">
        <v>46</v>
      </c>
      <c r="G657" s="24" t="s">
        <v>1122</v>
      </c>
      <c r="H657" s="24" t="s">
        <v>1661</v>
      </c>
      <c r="I657" s="4">
        <v>-0.04</v>
      </c>
      <c r="L657" s="4">
        <v>-0.04</v>
      </c>
      <c r="N657" s="4">
        <v>-0.04</v>
      </c>
    </row>
    <row r="658" spans="1:14">
      <c r="A658" s="24" t="s">
        <v>1662</v>
      </c>
      <c r="B658" s="24" t="s">
        <v>1553</v>
      </c>
      <c r="C658" s="24" t="s">
        <v>104</v>
      </c>
      <c r="D658" s="6">
        <v>0</v>
      </c>
      <c r="E658" s="24" t="s">
        <v>1553</v>
      </c>
      <c r="F658" s="24" t="s">
        <v>30</v>
      </c>
      <c r="G658" s="24" t="s">
        <v>490</v>
      </c>
      <c r="H658" s="24" t="s">
        <v>1663</v>
      </c>
      <c r="I658" s="4">
        <v>-0.54</v>
      </c>
      <c r="L658" s="4">
        <v>-0.54</v>
      </c>
      <c r="N658" s="4">
        <v>-0.54</v>
      </c>
    </row>
    <row r="659" spans="1:14">
      <c r="A659" s="24" t="s">
        <v>1664</v>
      </c>
      <c r="B659" s="24" t="s">
        <v>1553</v>
      </c>
      <c r="C659" s="24" t="s">
        <v>23</v>
      </c>
      <c r="D659" s="6">
        <v>30</v>
      </c>
      <c r="E659" s="24" t="s">
        <v>1569</v>
      </c>
      <c r="F659" s="24" t="s">
        <v>180</v>
      </c>
      <c r="G659" s="24" t="s">
        <v>1665</v>
      </c>
      <c r="H659" s="24" t="s">
        <v>1666</v>
      </c>
      <c r="I659" s="4">
        <v>-0.69</v>
      </c>
      <c r="L659" s="4">
        <v>-0.69</v>
      </c>
      <c r="N659" s="4">
        <v>-0.69</v>
      </c>
    </row>
    <row r="660" spans="1:14">
      <c r="A660" s="24" t="s">
        <v>1667</v>
      </c>
      <c r="B660" s="24" t="s">
        <v>1553</v>
      </c>
      <c r="C660" s="24" t="s">
        <v>60</v>
      </c>
      <c r="D660" s="6">
        <v>0</v>
      </c>
      <c r="E660" s="24" t="s">
        <v>1553</v>
      </c>
      <c r="F660" s="24" t="s">
        <v>56</v>
      </c>
      <c r="G660" s="24" t="s">
        <v>1668</v>
      </c>
      <c r="H660" s="24" t="s">
        <v>1669</v>
      </c>
      <c r="I660" s="4">
        <v>-0.02</v>
      </c>
      <c r="L660" s="4">
        <v>-0.02</v>
      </c>
      <c r="N660" s="4">
        <v>-0.02</v>
      </c>
    </row>
    <row r="661" spans="1:14">
      <c r="A661" s="24" t="s">
        <v>1670</v>
      </c>
      <c r="B661" s="24" t="s">
        <v>1553</v>
      </c>
      <c r="C661" s="24" t="s">
        <v>104</v>
      </c>
      <c r="D661" s="6">
        <v>0</v>
      </c>
      <c r="E661" s="24" t="s">
        <v>1553</v>
      </c>
      <c r="F661" s="24" t="s">
        <v>30</v>
      </c>
      <c r="G661" s="24" t="s">
        <v>40</v>
      </c>
      <c r="H661" s="24" t="s">
        <v>1671</v>
      </c>
      <c r="I661" s="4">
        <v>-1</v>
      </c>
      <c r="L661" s="4">
        <v>-1</v>
      </c>
      <c r="N661" s="4">
        <v>-1</v>
      </c>
    </row>
    <row r="662" spans="1:14">
      <c r="A662" s="24" t="s">
        <v>1672</v>
      </c>
      <c r="B662" s="24" t="s">
        <v>1553</v>
      </c>
      <c r="C662" s="24" t="s">
        <v>60</v>
      </c>
      <c r="D662" s="6">
        <v>0</v>
      </c>
      <c r="E662" s="24" t="s">
        <v>1553</v>
      </c>
      <c r="F662" s="24" t="s">
        <v>139</v>
      </c>
      <c r="G662" s="24" t="s">
        <v>1097</v>
      </c>
      <c r="H662" s="24" t="s">
        <v>1673</v>
      </c>
      <c r="I662" s="4">
        <v>-0.5</v>
      </c>
      <c r="L662" s="4">
        <v>-0.5</v>
      </c>
      <c r="N662" s="4">
        <v>-0.5</v>
      </c>
    </row>
    <row r="663" spans="1:14">
      <c r="A663" s="24" t="s">
        <v>1674</v>
      </c>
      <c r="B663" s="24" t="s">
        <v>93</v>
      </c>
      <c r="C663" s="24" t="s">
        <v>237</v>
      </c>
      <c r="D663" s="6">
        <v>60</v>
      </c>
      <c r="E663" s="24" t="s">
        <v>136</v>
      </c>
      <c r="F663" s="24" t="s">
        <v>69</v>
      </c>
      <c r="G663" s="24" t="s">
        <v>303</v>
      </c>
      <c r="H663" s="24" t="s">
        <v>1675</v>
      </c>
      <c r="I663" s="4">
        <v>-108810.63</v>
      </c>
      <c r="L663" s="4">
        <v>-108810.63</v>
      </c>
      <c r="M663" s="4">
        <v>-97152.35</v>
      </c>
      <c r="N663" s="4">
        <v>-11658.28</v>
      </c>
    </row>
    <row r="664" spans="1:14">
      <c r="A664" s="24" t="s">
        <v>1676</v>
      </c>
      <c r="B664" s="24" t="s">
        <v>368</v>
      </c>
      <c r="C664" s="24" t="s">
        <v>60</v>
      </c>
      <c r="D664" s="6">
        <v>0</v>
      </c>
      <c r="E664" s="24" t="s">
        <v>368</v>
      </c>
      <c r="F664" s="24" t="s">
        <v>56</v>
      </c>
      <c r="G664" s="24" t="s">
        <v>412</v>
      </c>
      <c r="H664" s="24" t="s">
        <v>1677</v>
      </c>
      <c r="I664" s="4">
        <v>-153648</v>
      </c>
      <c r="L664" s="4">
        <v>-153648</v>
      </c>
      <c r="M664" s="4">
        <v>-16462.29</v>
      </c>
      <c r="N664" s="4">
        <v>-137185.71</v>
      </c>
    </row>
    <row r="665" spans="1:14">
      <c r="A665" s="24" t="s">
        <v>1678</v>
      </c>
      <c r="B665" s="24" t="s">
        <v>596</v>
      </c>
      <c r="C665" s="24" t="s">
        <v>162</v>
      </c>
      <c r="D665" s="6">
        <v>90</v>
      </c>
      <c r="E665" s="24" t="s">
        <v>597</v>
      </c>
      <c r="F665" s="24" t="s">
        <v>19</v>
      </c>
      <c r="G665" s="24" t="s">
        <v>543</v>
      </c>
      <c r="H665" s="24" t="s">
        <v>1679</v>
      </c>
      <c r="I665" s="4">
        <v>-93820</v>
      </c>
      <c r="L665" s="4">
        <v>-93820</v>
      </c>
      <c r="M665" s="4">
        <v>-10052.14</v>
      </c>
      <c r="N665" s="4">
        <v>-83767.86</v>
      </c>
    </row>
    <row r="666" spans="1:14">
      <c r="A666" s="24" t="s">
        <v>1680</v>
      </c>
      <c r="B666" s="24" t="s">
        <v>596</v>
      </c>
      <c r="C666" s="24" t="s">
        <v>29</v>
      </c>
      <c r="D666" s="6">
        <v>0</v>
      </c>
      <c r="E666" s="24" t="s">
        <v>596</v>
      </c>
      <c r="F666" s="24" t="s">
        <v>30</v>
      </c>
      <c r="G666" s="24" t="s">
        <v>40</v>
      </c>
      <c r="H666" s="24" t="s">
        <v>1681</v>
      </c>
      <c r="I666" s="4">
        <v>-1008800</v>
      </c>
      <c r="L666" s="4">
        <v>-1008800</v>
      </c>
      <c r="M666" s="4">
        <v>-108085.71</v>
      </c>
      <c r="N666" s="4">
        <v>-900714.29</v>
      </c>
    </row>
    <row r="667" spans="1:14">
      <c r="A667" s="24" t="s">
        <v>1682</v>
      </c>
      <c r="B667" s="24" t="s">
        <v>596</v>
      </c>
      <c r="C667" s="24" t="s">
        <v>29</v>
      </c>
      <c r="D667" s="6">
        <v>0</v>
      </c>
      <c r="E667" s="24" t="s">
        <v>596</v>
      </c>
      <c r="F667" s="24" t="s">
        <v>30</v>
      </c>
      <c r="G667" s="24" t="s">
        <v>40</v>
      </c>
      <c r="H667" s="24" t="s">
        <v>1683</v>
      </c>
      <c r="I667" s="4">
        <v>-70000</v>
      </c>
      <c r="L667" s="4">
        <v>-70000</v>
      </c>
      <c r="M667" s="4">
        <v>-7500</v>
      </c>
      <c r="N667" s="4">
        <v>-62500</v>
      </c>
    </row>
    <row r="668" spans="1:14">
      <c r="A668" s="24" t="s">
        <v>1684</v>
      </c>
      <c r="B668" s="24" t="s">
        <v>637</v>
      </c>
      <c r="C668" s="24" t="s">
        <v>162</v>
      </c>
      <c r="D668" s="6">
        <v>90</v>
      </c>
      <c r="E668" s="24" t="s">
        <v>655</v>
      </c>
      <c r="F668" s="24" t="s">
        <v>19</v>
      </c>
      <c r="G668" s="24" t="s">
        <v>672</v>
      </c>
      <c r="H668" s="24" t="s">
        <v>1685</v>
      </c>
      <c r="I668" s="4">
        <v>-11760</v>
      </c>
      <c r="L668" s="4">
        <v>-11760</v>
      </c>
      <c r="M668" s="4">
        <v>-1260</v>
      </c>
      <c r="N668" s="4">
        <v>-10500</v>
      </c>
    </row>
    <row r="669" spans="1:14">
      <c r="A669" s="24" t="s">
        <v>1686</v>
      </c>
      <c r="B669" s="24" t="s">
        <v>637</v>
      </c>
      <c r="C669" s="24" t="s">
        <v>146</v>
      </c>
      <c r="D669" s="6">
        <v>90</v>
      </c>
      <c r="E669" s="24" t="s">
        <v>655</v>
      </c>
      <c r="F669" s="24" t="s">
        <v>69</v>
      </c>
      <c r="G669" s="24" t="s">
        <v>1687</v>
      </c>
      <c r="H669" s="24" t="s">
        <v>1688</v>
      </c>
      <c r="I669" s="4">
        <v>-44226</v>
      </c>
      <c r="L669" s="4">
        <v>-44226</v>
      </c>
      <c r="M669" s="4">
        <v>-4738.5</v>
      </c>
      <c r="N669" s="4">
        <v>-39487.5</v>
      </c>
    </row>
    <row r="670" spans="1:14">
      <c r="A670" s="24" t="s">
        <v>1689</v>
      </c>
      <c r="B670" s="24" t="s">
        <v>1651</v>
      </c>
      <c r="C670" s="24" t="s">
        <v>237</v>
      </c>
      <c r="D670" s="6">
        <v>60</v>
      </c>
      <c r="E670" s="24" t="s">
        <v>1690</v>
      </c>
      <c r="F670" s="24" t="s">
        <v>69</v>
      </c>
      <c r="G670" s="24" t="s">
        <v>303</v>
      </c>
      <c r="H670" s="24" t="s">
        <v>1691</v>
      </c>
      <c r="I670" s="4">
        <v>-45284.47</v>
      </c>
      <c r="L670" s="4">
        <v>-45284.47</v>
      </c>
      <c r="M670" s="4">
        <v>-4851.91</v>
      </c>
      <c r="N670" s="4">
        <v>-40432.559999999998</v>
      </c>
    </row>
    <row r="671" spans="1:14">
      <c r="A671" s="24" t="s">
        <v>1692</v>
      </c>
      <c r="B671" s="24" t="s">
        <v>1651</v>
      </c>
      <c r="C671" s="24" t="s">
        <v>237</v>
      </c>
      <c r="D671" s="6">
        <v>60</v>
      </c>
      <c r="E671" s="24" t="s">
        <v>1690</v>
      </c>
      <c r="F671" s="24" t="s">
        <v>69</v>
      </c>
      <c r="G671" s="24" t="s">
        <v>303</v>
      </c>
      <c r="H671" s="24" t="s">
        <v>1693</v>
      </c>
      <c r="I671" s="4">
        <v>-28851.599999999999</v>
      </c>
      <c r="L671" s="4">
        <v>-28851.599999999999</v>
      </c>
      <c r="M671" s="4">
        <v>-3091.24</v>
      </c>
      <c r="N671" s="4">
        <v>-25760.36</v>
      </c>
    </row>
    <row r="672" spans="1:14">
      <c r="A672" s="24" t="s">
        <v>1694</v>
      </c>
      <c r="B672" s="24" t="s">
        <v>689</v>
      </c>
      <c r="C672" s="24" t="s">
        <v>151</v>
      </c>
      <c r="D672" s="6">
        <v>60</v>
      </c>
      <c r="E672" s="24" t="s">
        <v>692</v>
      </c>
      <c r="F672" s="24" t="s">
        <v>727</v>
      </c>
      <c r="G672" s="24" t="s">
        <v>728</v>
      </c>
      <c r="H672" s="24" t="s">
        <v>1695</v>
      </c>
      <c r="I672" s="4">
        <v>-313000</v>
      </c>
      <c r="L672" s="4">
        <v>-313000</v>
      </c>
      <c r="M672" s="4">
        <v>-33535.71</v>
      </c>
      <c r="N672" s="4">
        <v>-279464.28999999998</v>
      </c>
    </row>
    <row r="673" spans="1:14">
      <c r="A673" s="24" t="s">
        <v>1696</v>
      </c>
      <c r="B673" s="24" t="s">
        <v>769</v>
      </c>
      <c r="C673" s="24" t="s">
        <v>68</v>
      </c>
      <c r="D673" s="6">
        <v>60</v>
      </c>
      <c r="E673" s="24" t="s">
        <v>770</v>
      </c>
      <c r="F673" s="24" t="s">
        <v>69</v>
      </c>
      <c r="G673" s="24" t="s">
        <v>574</v>
      </c>
      <c r="H673" s="24" t="s">
        <v>1697</v>
      </c>
      <c r="I673" s="4">
        <v>-70510</v>
      </c>
      <c r="L673" s="4">
        <v>-70510</v>
      </c>
      <c r="M673" s="4">
        <v>-7554.64</v>
      </c>
      <c r="N673" s="4">
        <v>-62955.360000000001</v>
      </c>
    </row>
    <row r="674" spans="1:14">
      <c r="A674" s="24" t="s">
        <v>1698</v>
      </c>
      <c r="B674" s="24" t="s">
        <v>769</v>
      </c>
      <c r="C674" s="24" t="s">
        <v>151</v>
      </c>
      <c r="D674" s="6">
        <v>60</v>
      </c>
      <c r="E674" s="24" t="s">
        <v>770</v>
      </c>
      <c r="F674" s="24" t="s">
        <v>69</v>
      </c>
      <c r="G674" s="24" t="s">
        <v>574</v>
      </c>
      <c r="H674" s="24" t="s">
        <v>1699</v>
      </c>
      <c r="I674" s="4">
        <v>-70510</v>
      </c>
      <c r="L674" s="4">
        <v>-70510</v>
      </c>
      <c r="M674" s="4">
        <v>-7554.64</v>
      </c>
      <c r="N674" s="4">
        <v>-62955.360000000001</v>
      </c>
    </row>
    <row r="675" spans="1:14">
      <c r="A675" s="24" t="s">
        <v>1700</v>
      </c>
      <c r="B675" s="24" t="s">
        <v>866</v>
      </c>
      <c r="C675" s="24" t="s">
        <v>369</v>
      </c>
      <c r="D675" s="6">
        <v>30</v>
      </c>
      <c r="E675" s="24" t="s">
        <v>880</v>
      </c>
      <c r="F675" s="24" t="s">
        <v>139</v>
      </c>
      <c r="G675" s="24" t="s">
        <v>371</v>
      </c>
      <c r="H675" s="24" t="s">
        <v>1701</v>
      </c>
      <c r="I675" s="4">
        <v>-128240</v>
      </c>
      <c r="L675" s="4">
        <v>-128240</v>
      </c>
      <c r="M675" s="4">
        <v>-13740</v>
      </c>
      <c r="N675" s="4">
        <v>-114500</v>
      </c>
    </row>
    <row r="676" spans="1:14">
      <c r="A676" s="24" t="s">
        <v>1702</v>
      </c>
      <c r="B676" s="24" t="s">
        <v>866</v>
      </c>
      <c r="C676" s="24" t="s">
        <v>237</v>
      </c>
      <c r="D676" s="6">
        <v>60</v>
      </c>
      <c r="E676" s="24" t="s">
        <v>873</v>
      </c>
      <c r="F676" s="24" t="s">
        <v>759</v>
      </c>
      <c r="G676" s="24" t="s">
        <v>1703</v>
      </c>
      <c r="H676" s="24" t="s">
        <v>1704</v>
      </c>
      <c r="I676" s="4">
        <v>-10914.5</v>
      </c>
      <c r="L676" s="4">
        <v>-10914.5</v>
      </c>
      <c r="M676" s="4">
        <v>-1169.4100000000001</v>
      </c>
      <c r="N676" s="4">
        <v>-9745.09</v>
      </c>
    </row>
    <row r="677" spans="1:14">
      <c r="A677" s="24" t="s">
        <v>1705</v>
      </c>
      <c r="B677" s="24" t="s">
        <v>915</v>
      </c>
      <c r="C677" s="24" t="s">
        <v>73</v>
      </c>
      <c r="D677" s="6">
        <v>30</v>
      </c>
      <c r="E677" s="24" t="s">
        <v>916</v>
      </c>
      <c r="F677" s="24" t="s">
        <v>56</v>
      </c>
      <c r="G677" s="24" t="s">
        <v>812</v>
      </c>
      <c r="H677" s="24" t="s">
        <v>1706</v>
      </c>
      <c r="I677" s="4">
        <v>-127702</v>
      </c>
      <c r="L677" s="4">
        <v>-127702</v>
      </c>
      <c r="M677" s="4">
        <v>-13682.36</v>
      </c>
      <c r="N677" s="4">
        <v>-114019.64</v>
      </c>
    </row>
    <row r="678" spans="1:14">
      <c r="A678" s="24" t="s">
        <v>1707</v>
      </c>
      <c r="B678" s="24" t="s">
        <v>1048</v>
      </c>
      <c r="C678" s="24" t="s">
        <v>1074</v>
      </c>
      <c r="D678" s="6">
        <v>0</v>
      </c>
      <c r="E678" s="24" t="s">
        <v>1048</v>
      </c>
      <c r="F678" s="24" t="s">
        <v>56</v>
      </c>
      <c r="G678" s="24" t="s">
        <v>1075</v>
      </c>
      <c r="H678" s="24" t="s">
        <v>1708</v>
      </c>
      <c r="I678" s="4">
        <v>-901423.6</v>
      </c>
      <c r="L678" s="4">
        <v>-901423.6</v>
      </c>
      <c r="M678" s="4">
        <v>-96581.1</v>
      </c>
      <c r="N678" s="4">
        <v>-804842.5</v>
      </c>
    </row>
    <row r="679" spans="1:14">
      <c r="A679" s="24" t="s">
        <v>1709</v>
      </c>
      <c r="B679" s="24" t="s">
        <v>1048</v>
      </c>
      <c r="C679" s="24" t="s">
        <v>333</v>
      </c>
      <c r="D679" s="6">
        <v>30</v>
      </c>
      <c r="E679" s="24" t="s">
        <v>1056</v>
      </c>
      <c r="F679" s="24" t="s">
        <v>270</v>
      </c>
      <c r="G679" s="24" t="s">
        <v>340</v>
      </c>
      <c r="H679" s="24" t="s">
        <v>1710</v>
      </c>
      <c r="I679" s="4">
        <v>-196112</v>
      </c>
      <c r="L679" s="4">
        <v>-196112</v>
      </c>
      <c r="M679" s="4">
        <v>-21012</v>
      </c>
      <c r="N679" s="4">
        <v>-175100</v>
      </c>
    </row>
    <row r="680" spans="1:14">
      <c r="A680" s="24" t="s">
        <v>1711</v>
      </c>
      <c r="B680" s="24" t="s">
        <v>1048</v>
      </c>
      <c r="C680" s="24" t="s">
        <v>333</v>
      </c>
      <c r="D680" s="6">
        <v>30</v>
      </c>
      <c r="E680" s="24" t="s">
        <v>1056</v>
      </c>
      <c r="F680" s="24" t="s">
        <v>270</v>
      </c>
      <c r="G680" s="24" t="s">
        <v>340</v>
      </c>
      <c r="H680" s="24" t="s">
        <v>1712</v>
      </c>
      <c r="I680" s="4">
        <v>-309050</v>
      </c>
      <c r="L680" s="4">
        <v>-309050</v>
      </c>
      <c r="M680" s="4">
        <v>-33112.5</v>
      </c>
      <c r="N680" s="4">
        <v>-275937.5</v>
      </c>
    </row>
    <row r="681" spans="1:14">
      <c r="A681" s="24" t="s">
        <v>1713</v>
      </c>
      <c r="B681" s="24" t="s">
        <v>1048</v>
      </c>
      <c r="C681" s="24" t="s">
        <v>237</v>
      </c>
      <c r="D681" s="6">
        <v>60</v>
      </c>
      <c r="E681" s="24" t="s">
        <v>1067</v>
      </c>
      <c r="F681" s="24" t="s">
        <v>270</v>
      </c>
      <c r="G681" s="24" t="s">
        <v>337</v>
      </c>
      <c r="H681" s="24" t="s">
        <v>1714</v>
      </c>
      <c r="I681" s="4">
        <v>-143215</v>
      </c>
      <c r="L681" s="4">
        <v>-143215</v>
      </c>
      <c r="M681" s="4">
        <v>-15344.46</v>
      </c>
      <c r="N681" s="4">
        <v>-127870.54</v>
      </c>
    </row>
    <row r="682" spans="1:14">
      <c r="A682" s="24" t="s">
        <v>1715</v>
      </c>
      <c r="B682" s="24" t="s">
        <v>1287</v>
      </c>
      <c r="C682" s="24" t="s">
        <v>151</v>
      </c>
      <c r="D682" s="6">
        <v>60</v>
      </c>
      <c r="E682" s="24" t="s">
        <v>1331</v>
      </c>
      <c r="F682" s="24" t="s">
        <v>139</v>
      </c>
      <c r="G682" s="24" t="s">
        <v>264</v>
      </c>
      <c r="H682" s="24" t="s">
        <v>1716</v>
      </c>
      <c r="I682" s="4">
        <v>-736</v>
      </c>
      <c r="L682" s="4">
        <v>-736</v>
      </c>
      <c r="M682" s="4">
        <v>-78.86</v>
      </c>
      <c r="N682" s="4">
        <v>-657.14</v>
      </c>
    </row>
    <row r="683" spans="1:14">
      <c r="A683" s="24" t="s">
        <v>1717</v>
      </c>
      <c r="B683" s="24" t="s">
        <v>1372</v>
      </c>
      <c r="C683" s="24" t="s">
        <v>333</v>
      </c>
      <c r="D683" s="6">
        <v>30</v>
      </c>
      <c r="E683" s="24" t="s">
        <v>1389</v>
      </c>
      <c r="F683" s="24" t="s">
        <v>270</v>
      </c>
      <c r="G683" s="24" t="s">
        <v>1262</v>
      </c>
      <c r="H683" s="24" t="s">
        <v>1718</v>
      </c>
      <c r="I683" s="4">
        <v>-261896</v>
      </c>
      <c r="L683" s="4">
        <v>-261896</v>
      </c>
      <c r="M683" s="4">
        <v>-28060.29</v>
      </c>
      <c r="N683" s="4">
        <v>-233835.71</v>
      </c>
    </row>
    <row r="684" spans="1:14">
      <c r="A684" s="24" t="s">
        <v>1719</v>
      </c>
      <c r="B684" s="24" t="s">
        <v>1372</v>
      </c>
      <c r="C684" s="24" t="s">
        <v>333</v>
      </c>
      <c r="D684" s="6">
        <v>30</v>
      </c>
      <c r="E684" s="24" t="s">
        <v>1389</v>
      </c>
      <c r="F684" s="24" t="s">
        <v>270</v>
      </c>
      <c r="G684" s="24" t="s">
        <v>1262</v>
      </c>
      <c r="H684" s="24" t="s">
        <v>1720</v>
      </c>
      <c r="I684" s="4">
        <v>-212525</v>
      </c>
      <c r="L684" s="4">
        <v>-212525</v>
      </c>
      <c r="M684" s="4">
        <v>-22770.54</v>
      </c>
      <c r="N684" s="4">
        <v>-189754.46</v>
      </c>
    </row>
    <row r="685" spans="1:14">
      <c r="A685" s="24" t="s">
        <v>1721</v>
      </c>
      <c r="B685" s="24" t="s">
        <v>1372</v>
      </c>
      <c r="C685" s="24" t="s">
        <v>34</v>
      </c>
      <c r="D685" s="6">
        <v>60</v>
      </c>
      <c r="E685" s="24" t="s">
        <v>1373</v>
      </c>
      <c r="F685" s="24" t="s">
        <v>46</v>
      </c>
      <c r="G685" s="24" t="s">
        <v>1226</v>
      </c>
      <c r="H685" s="24" t="s">
        <v>1722</v>
      </c>
      <c r="I685" s="4">
        <v>-9261</v>
      </c>
      <c r="L685" s="4">
        <v>-9261</v>
      </c>
      <c r="M685" s="4">
        <v>-992.25</v>
      </c>
      <c r="N685" s="4">
        <v>-8268.75</v>
      </c>
    </row>
    <row r="686" spans="1:14">
      <c r="A686" s="24" t="s">
        <v>1723</v>
      </c>
      <c r="B686" s="24" t="s">
        <v>1467</v>
      </c>
      <c r="C686" s="24" t="s">
        <v>333</v>
      </c>
      <c r="D686" s="6">
        <v>30</v>
      </c>
      <c r="E686" s="24" t="s">
        <v>1492</v>
      </c>
      <c r="F686" s="24" t="s">
        <v>270</v>
      </c>
      <c r="G686" s="24" t="s">
        <v>1262</v>
      </c>
      <c r="H686" s="24" t="s">
        <v>1724</v>
      </c>
      <c r="I686" s="4">
        <v>-261896</v>
      </c>
      <c r="L686" s="4">
        <v>-261896</v>
      </c>
      <c r="M686" s="4">
        <v>-28060.29</v>
      </c>
      <c r="N686" s="4">
        <v>-233835.71</v>
      </c>
    </row>
    <row r="687" spans="1:14">
      <c r="A687" s="24" t="s">
        <v>1725</v>
      </c>
      <c r="B687" s="24" t="s">
        <v>1467</v>
      </c>
      <c r="C687" s="24" t="s">
        <v>333</v>
      </c>
      <c r="D687" s="6">
        <v>30</v>
      </c>
      <c r="E687" s="24" t="s">
        <v>1492</v>
      </c>
      <c r="F687" s="24" t="s">
        <v>270</v>
      </c>
      <c r="G687" s="24" t="s">
        <v>1262</v>
      </c>
      <c r="H687" s="24" t="s">
        <v>1726</v>
      </c>
      <c r="I687" s="4">
        <v>-212525</v>
      </c>
      <c r="L687" s="4">
        <v>-212525</v>
      </c>
      <c r="M687" s="4">
        <v>-22770.54</v>
      </c>
      <c r="N687" s="4">
        <v>-189754.46</v>
      </c>
    </row>
    <row r="688" spans="1:14">
      <c r="A688" s="24" t="s">
        <v>1727</v>
      </c>
      <c r="B688" s="24" t="s">
        <v>1553</v>
      </c>
      <c r="C688" s="24" t="s">
        <v>64</v>
      </c>
      <c r="D688" s="6">
        <v>30</v>
      </c>
      <c r="E688" s="24" t="s">
        <v>1569</v>
      </c>
      <c r="F688" s="24" t="s">
        <v>25</v>
      </c>
      <c r="G688" s="24" t="s">
        <v>26</v>
      </c>
      <c r="H688" s="24" t="s">
        <v>1728</v>
      </c>
      <c r="I688" s="4">
        <v>-299574</v>
      </c>
      <c r="L688" s="4">
        <v>-299574</v>
      </c>
      <c r="M688" s="4">
        <v>-32097.21</v>
      </c>
      <c r="N688" s="4">
        <v>-267476.78999999998</v>
      </c>
    </row>
    <row r="689" spans="1:14">
      <c r="A689" s="24" t="s">
        <v>1729</v>
      </c>
      <c r="B689" s="24" t="s">
        <v>1553</v>
      </c>
      <c r="C689" s="24" t="s">
        <v>18</v>
      </c>
      <c r="D689" s="6">
        <v>0</v>
      </c>
      <c r="E689" s="24" t="s">
        <v>1553</v>
      </c>
      <c r="F689" s="24" t="s">
        <v>56</v>
      </c>
      <c r="G689" s="24" t="s">
        <v>61</v>
      </c>
      <c r="H689" s="24" t="s">
        <v>1730</v>
      </c>
      <c r="I689" s="4">
        <v>-251365.1</v>
      </c>
      <c r="L689" s="4">
        <v>-251365.1</v>
      </c>
      <c r="M689" s="4">
        <v>-26931.98</v>
      </c>
      <c r="N689" s="4">
        <v>-224433.12</v>
      </c>
    </row>
    <row r="690" spans="1:14">
      <c r="A690" s="24" t="s">
        <v>1731</v>
      </c>
      <c r="B690" s="24" t="s">
        <v>1553</v>
      </c>
      <c r="C690" s="24" t="s">
        <v>681</v>
      </c>
      <c r="D690" s="6">
        <v>0</v>
      </c>
      <c r="E690" s="24" t="s">
        <v>1553</v>
      </c>
      <c r="F690" s="24" t="s">
        <v>46</v>
      </c>
      <c r="G690" s="24" t="s">
        <v>682</v>
      </c>
      <c r="H690" s="24" t="s">
        <v>1732</v>
      </c>
      <c r="I690" s="4">
        <v>-27968</v>
      </c>
      <c r="L690" s="4">
        <v>-27968</v>
      </c>
      <c r="M690" s="4">
        <v>-2996.57</v>
      </c>
      <c r="N690" s="4">
        <v>-24971.43</v>
      </c>
    </row>
    <row r="691" spans="1:14">
      <c r="A691" s="24" t="s">
        <v>1733</v>
      </c>
      <c r="B691" s="24" t="s">
        <v>1553</v>
      </c>
      <c r="C691" s="24" t="s">
        <v>23</v>
      </c>
      <c r="D691" s="6">
        <v>30</v>
      </c>
      <c r="E691" s="24" t="s">
        <v>1569</v>
      </c>
      <c r="F691" s="24" t="s">
        <v>139</v>
      </c>
      <c r="G691" s="24" t="s">
        <v>1734</v>
      </c>
      <c r="H691" s="24" t="s">
        <v>1735</v>
      </c>
      <c r="I691" s="4">
        <v>-68600</v>
      </c>
      <c r="L691" s="4">
        <v>-68600</v>
      </c>
      <c r="M691" s="4">
        <v>-7350</v>
      </c>
      <c r="N691" s="4">
        <v>-61250</v>
      </c>
    </row>
    <row r="692" spans="1:14">
      <c r="A692" s="24" t="s">
        <v>1736</v>
      </c>
      <c r="B692" s="24" t="s">
        <v>1553</v>
      </c>
      <c r="C692" s="24" t="s">
        <v>237</v>
      </c>
      <c r="D692" s="6">
        <v>60</v>
      </c>
      <c r="E692" s="24" t="s">
        <v>1557</v>
      </c>
      <c r="F692" s="24" t="s">
        <v>69</v>
      </c>
      <c r="G692" s="24" t="s">
        <v>303</v>
      </c>
      <c r="H692" s="24" t="s">
        <v>1737</v>
      </c>
      <c r="I692" s="4">
        <v>-10453.35</v>
      </c>
      <c r="L692" s="4">
        <v>-10453.35</v>
      </c>
      <c r="M692" s="4">
        <v>-1120</v>
      </c>
      <c r="N692" s="4">
        <v>-9333.35</v>
      </c>
    </row>
    <row r="693" spans="1:14">
      <c r="A693" s="24" t="s">
        <v>1738</v>
      </c>
      <c r="B693" s="24" t="s">
        <v>505</v>
      </c>
      <c r="C693" s="24" t="s">
        <v>60</v>
      </c>
      <c r="D693" s="6">
        <v>0</v>
      </c>
      <c r="E693" s="24" t="s">
        <v>505</v>
      </c>
      <c r="F693" s="24" t="s">
        <v>56</v>
      </c>
      <c r="G693" s="24" t="s">
        <v>196</v>
      </c>
      <c r="H693" s="24" t="s">
        <v>1739</v>
      </c>
      <c r="I693" s="5">
        <v>1250</v>
      </c>
      <c r="L693" s="5">
        <v>1250</v>
      </c>
      <c r="N693" s="5">
        <v>1250</v>
      </c>
    </row>
    <row r="694" spans="1:14">
      <c r="A694" s="24" t="s">
        <v>1740</v>
      </c>
      <c r="B694" s="24" t="s">
        <v>505</v>
      </c>
      <c r="C694" s="24" t="s">
        <v>60</v>
      </c>
      <c r="D694" s="6">
        <v>0</v>
      </c>
      <c r="E694" s="24" t="s">
        <v>505</v>
      </c>
      <c r="F694" s="24" t="s">
        <v>56</v>
      </c>
      <c r="G694" s="24" t="s">
        <v>190</v>
      </c>
      <c r="H694" s="24" t="s">
        <v>1741</v>
      </c>
      <c r="I694" s="7">
        <v>500</v>
      </c>
      <c r="L694" s="7">
        <v>500</v>
      </c>
      <c r="N694" s="7">
        <v>500</v>
      </c>
    </row>
    <row r="695" spans="1:14">
      <c r="A695" s="24" t="s">
        <v>1742</v>
      </c>
      <c r="B695" s="24" t="s">
        <v>505</v>
      </c>
      <c r="C695" s="24" t="s">
        <v>60</v>
      </c>
      <c r="D695" s="6">
        <v>0</v>
      </c>
      <c r="E695" s="24" t="s">
        <v>505</v>
      </c>
      <c r="F695" s="24" t="s">
        <v>56</v>
      </c>
      <c r="G695" s="24" t="s">
        <v>190</v>
      </c>
      <c r="H695" s="24" t="s">
        <v>1743</v>
      </c>
      <c r="I695" s="5">
        <v>2250</v>
      </c>
      <c r="L695" s="5">
        <v>2250</v>
      </c>
      <c r="N695" s="5">
        <v>2250</v>
      </c>
    </row>
    <row r="696" spans="1:14">
      <c r="A696" s="24" t="s">
        <v>1744</v>
      </c>
      <c r="B696" s="24" t="s">
        <v>637</v>
      </c>
      <c r="C696" s="24" t="s">
        <v>60</v>
      </c>
      <c r="D696" s="6">
        <v>0</v>
      </c>
      <c r="E696" s="24" t="s">
        <v>637</v>
      </c>
      <c r="F696" s="24" t="s">
        <v>56</v>
      </c>
      <c r="G696" s="24" t="s">
        <v>412</v>
      </c>
      <c r="H696" s="24" t="s">
        <v>1745</v>
      </c>
      <c r="I696" s="5">
        <v>2800</v>
      </c>
      <c r="L696" s="5">
        <v>2800</v>
      </c>
      <c r="N696" s="5">
        <v>2800</v>
      </c>
    </row>
    <row r="697" spans="1:14">
      <c r="A697" s="24" t="s">
        <v>1746</v>
      </c>
      <c r="B697" s="24" t="s">
        <v>1651</v>
      </c>
      <c r="C697" s="24" t="s">
        <v>18</v>
      </c>
      <c r="D697" s="6">
        <v>0</v>
      </c>
      <c r="E697" s="24" t="s">
        <v>1651</v>
      </c>
      <c r="F697" s="24" t="s">
        <v>56</v>
      </c>
      <c r="G697" s="24" t="s">
        <v>1127</v>
      </c>
      <c r="H697" s="24" t="s">
        <v>1747</v>
      </c>
      <c r="I697" s="5">
        <v>1500</v>
      </c>
      <c r="L697" s="5">
        <v>1500</v>
      </c>
      <c r="N697" s="5">
        <v>1500</v>
      </c>
    </row>
    <row r="698" spans="1:14">
      <c r="A698" s="24" t="s">
        <v>1748</v>
      </c>
      <c r="B698" s="24" t="s">
        <v>689</v>
      </c>
      <c r="E698" s="24" t="s">
        <v>689</v>
      </c>
      <c r="G698" s="24" t="s">
        <v>809</v>
      </c>
      <c r="H698" s="24" t="s">
        <v>1749</v>
      </c>
      <c r="I698" s="5">
        <v>6000</v>
      </c>
      <c r="L698" s="5">
        <v>6000</v>
      </c>
      <c r="N698" s="5">
        <v>6000</v>
      </c>
    </row>
    <row r="699" spans="1:14">
      <c r="A699" s="24" t="s">
        <v>1750</v>
      </c>
      <c r="B699" s="24" t="s">
        <v>866</v>
      </c>
      <c r="E699" s="24" t="s">
        <v>866</v>
      </c>
      <c r="G699" s="24" t="s">
        <v>581</v>
      </c>
      <c r="H699" s="24" t="s">
        <v>1751</v>
      </c>
      <c r="I699" s="7">
        <v>924</v>
      </c>
      <c r="L699" s="7">
        <v>924</v>
      </c>
      <c r="N699" s="7">
        <v>924</v>
      </c>
    </row>
    <row r="700" spans="1:14">
      <c r="A700" s="24" t="s">
        <v>1752</v>
      </c>
      <c r="B700" s="24" t="s">
        <v>971</v>
      </c>
      <c r="C700" s="24" t="s">
        <v>18</v>
      </c>
      <c r="D700" s="6">
        <v>0</v>
      </c>
      <c r="E700" s="24" t="s">
        <v>971</v>
      </c>
      <c r="F700" s="24" t="s">
        <v>270</v>
      </c>
      <c r="G700" s="24" t="s">
        <v>979</v>
      </c>
      <c r="H700" s="24" t="s">
        <v>1753</v>
      </c>
      <c r="I700" s="5">
        <v>30000</v>
      </c>
      <c r="L700" s="5">
        <v>30000</v>
      </c>
      <c r="N700" s="5">
        <v>30000</v>
      </c>
    </row>
    <row r="701" spans="1:14">
      <c r="A701" s="24" t="s">
        <v>1754</v>
      </c>
      <c r="B701" s="24" t="s">
        <v>971</v>
      </c>
      <c r="C701" s="24" t="s">
        <v>60</v>
      </c>
      <c r="D701" s="6">
        <v>0</v>
      </c>
      <c r="E701" s="24" t="s">
        <v>971</v>
      </c>
      <c r="F701" s="24" t="s">
        <v>56</v>
      </c>
      <c r="G701" s="24" t="s">
        <v>190</v>
      </c>
      <c r="H701" s="24" t="s">
        <v>1755</v>
      </c>
      <c r="I701" s="5">
        <v>4000</v>
      </c>
      <c r="L701" s="5">
        <v>4000</v>
      </c>
      <c r="N701" s="5">
        <v>4000</v>
      </c>
    </row>
    <row r="702" spans="1:14">
      <c r="A702" s="24" t="s">
        <v>1756</v>
      </c>
      <c r="B702" s="24" t="s">
        <v>1048</v>
      </c>
      <c r="C702" s="24" t="s">
        <v>167</v>
      </c>
      <c r="D702" s="6">
        <v>90</v>
      </c>
      <c r="E702" s="24" t="s">
        <v>1064</v>
      </c>
      <c r="F702" s="24" t="s">
        <v>56</v>
      </c>
      <c r="G702" s="24" t="s">
        <v>190</v>
      </c>
      <c r="H702" s="24" t="s">
        <v>1757</v>
      </c>
      <c r="I702" s="5">
        <v>3000</v>
      </c>
      <c r="L702" s="5">
        <v>3000</v>
      </c>
      <c r="N702" s="5">
        <v>3000</v>
      </c>
    </row>
    <row r="703" spans="1:14">
      <c r="A703" s="24" t="s">
        <v>1758</v>
      </c>
      <c r="B703" s="24" t="s">
        <v>1048</v>
      </c>
      <c r="E703" s="24" t="s">
        <v>1048</v>
      </c>
      <c r="G703" s="24" t="s">
        <v>190</v>
      </c>
      <c r="H703" s="24" t="s">
        <v>1759</v>
      </c>
      <c r="I703" s="5">
        <v>18000</v>
      </c>
      <c r="L703" s="5">
        <v>18000</v>
      </c>
      <c r="N703" s="5">
        <v>18000</v>
      </c>
    </row>
    <row r="704" spans="1:14">
      <c r="A704" s="24" t="s">
        <v>1760</v>
      </c>
      <c r="B704" s="24" t="s">
        <v>1287</v>
      </c>
      <c r="C704" s="24" t="s">
        <v>18</v>
      </c>
      <c r="D704" s="6">
        <v>0</v>
      </c>
      <c r="E704" s="24" t="s">
        <v>1287</v>
      </c>
      <c r="F704" s="24" t="s">
        <v>46</v>
      </c>
      <c r="G704" s="24" t="s">
        <v>1288</v>
      </c>
      <c r="H704" s="24" t="s">
        <v>1761</v>
      </c>
      <c r="I704" s="5">
        <v>8000</v>
      </c>
      <c r="L704" s="5">
        <v>8000</v>
      </c>
      <c r="N704" s="5">
        <v>8000</v>
      </c>
    </row>
    <row r="705" spans="1:14">
      <c r="A705" s="24" t="s">
        <v>1762</v>
      </c>
      <c r="B705" s="24" t="s">
        <v>1553</v>
      </c>
      <c r="C705" s="24" t="s">
        <v>60</v>
      </c>
      <c r="D705" s="6">
        <v>0</v>
      </c>
      <c r="E705" s="24" t="s">
        <v>1553</v>
      </c>
      <c r="F705" s="24" t="s">
        <v>56</v>
      </c>
      <c r="G705" s="24" t="s">
        <v>605</v>
      </c>
      <c r="H705" s="24" t="s">
        <v>1763</v>
      </c>
      <c r="I705" s="5">
        <v>6000</v>
      </c>
      <c r="L705" s="5">
        <v>6000</v>
      </c>
      <c r="N705" s="5">
        <v>6000</v>
      </c>
    </row>
    <row r="706" spans="1:14">
      <c r="A706" s="24" t="s">
        <v>1764</v>
      </c>
      <c r="B706" s="24" t="s">
        <v>1553</v>
      </c>
      <c r="C706" s="24" t="s">
        <v>60</v>
      </c>
      <c r="D706" s="6">
        <v>0</v>
      </c>
      <c r="E706" s="24" t="s">
        <v>1553</v>
      </c>
      <c r="F706" s="24" t="s">
        <v>56</v>
      </c>
      <c r="G706" s="24" t="s">
        <v>196</v>
      </c>
      <c r="H706" s="24" t="s">
        <v>1765</v>
      </c>
      <c r="I706" s="5">
        <v>1000</v>
      </c>
      <c r="L706" s="5">
        <v>1000</v>
      </c>
      <c r="N706" s="5">
        <v>1000</v>
      </c>
    </row>
    <row r="707" spans="1:14">
      <c r="H707" s="1" t="s">
        <v>1766</v>
      </c>
      <c r="I707" s="1">
        <v>147567400.16999999</v>
      </c>
      <c r="J707" s="1">
        <v>-361440.31</v>
      </c>
      <c r="K707" s="1">
        <v>193550</v>
      </c>
      <c r="L707" s="1">
        <v>147399509.86000001</v>
      </c>
      <c r="M707" s="1">
        <v>15598446.59</v>
      </c>
      <c r="N707" s="1">
        <v>131801063.27</v>
      </c>
    </row>
  </sheetData>
  <mergeCells count="2">
    <mergeCell ref="A1:N1"/>
    <mergeCell ref="A2:N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0"/>
  <sheetViews>
    <sheetView workbookViewId="0">
      <pane xSplit="7" ySplit="4" topLeftCell="H590" activePane="bottomRight" state="frozen"/>
      <selection pane="topRight" activeCell="I1" sqref="I1"/>
      <selection pane="bottomLeft" activeCell="A4" sqref="A4"/>
      <selection pane="bottomRight" activeCell="U632" sqref="U632"/>
    </sheetView>
  </sheetViews>
  <sheetFormatPr defaultColWidth="8.85546875" defaultRowHeight="15"/>
  <cols>
    <col min="1" max="1" width="10.28515625" style="24" customWidth="1"/>
    <col min="2" max="2" width="8.7109375" style="24" customWidth="1"/>
    <col min="3" max="3" width="29.85546875" style="24" hidden="1" customWidth="1"/>
    <col min="4" max="4" width="6" style="24" hidden="1" customWidth="1"/>
    <col min="5" max="5" width="13" style="24" hidden="1" customWidth="1"/>
    <col min="6" max="6" width="30.85546875" style="24" customWidth="1"/>
    <col min="7" max="8" width="18.28515625" style="24" hidden="1" customWidth="1"/>
    <col min="9" max="9" width="0.140625" style="24" customWidth="1"/>
    <col min="10" max="10" width="11.5703125" style="24" customWidth="1"/>
    <col min="11" max="11" width="14.7109375" style="24" customWidth="1"/>
    <col min="12" max="12" width="16.85546875" style="24" hidden="1" customWidth="1"/>
    <col min="13" max="13" width="18.28515625" style="24" hidden="1" customWidth="1"/>
    <col min="14" max="14" width="15.5703125" style="24" hidden="1" customWidth="1"/>
    <col min="15" max="15" width="10" style="24" hidden="1" customWidth="1"/>
    <col min="16" max="16" width="0.42578125" style="24" hidden="1" customWidth="1"/>
    <col min="17" max="17" width="15.28515625" style="24" customWidth="1"/>
    <col min="18" max="18" width="14.7109375" style="24" customWidth="1"/>
    <col min="19" max="19" width="15.140625" style="24" customWidth="1"/>
    <col min="20" max="16384" width="8.85546875" style="24"/>
  </cols>
  <sheetData>
    <row r="1" spans="1:20" s="14" customFormat="1">
      <c r="A1" s="14" t="s">
        <v>1774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0" s="14" customFormat="1">
      <c r="A2" s="15" t="s">
        <v>1778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0" s="3" customFormat="1">
      <c r="A3" s="13"/>
      <c r="R3" s="70" t="s">
        <v>1780</v>
      </c>
      <c r="S3" s="71"/>
    </row>
    <row r="4" spans="1:20">
      <c r="A4" s="22" t="s">
        <v>3</v>
      </c>
      <c r="B4" s="22" t="s">
        <v>1772</v>
      </c>
      <c r="C4" s="22" t="s">
        <v>4</v>
      </c>
      <c r="D4" s="22" t="s">
        <v>5</v>
      </c>
      <c r="E4" s="22" t="s">
        <v>6</v>
      </c>
      <c r="F4" s="22" t="s">
        <v>1773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1786</v>
      </c>
      <c r="L4" s="22" t="s">
        <v>14</v>
      </c>
      <c r="M4" s="22" t="s">
        <v>15</v>
      </c>
      <c r="N4" s="22" t="s">
        <v>1770</v>
      </c>
      <c r="O4" s="23"/>
      <c r="P4" s="23"/>
      <c r="Q4" s="29"/>
      <c r="R4" s="30" t="s">
        <v>1781</v>
      </c>
      <c r="S4" s="30" t="s">
        <v>1782</v>
      </c>
    </row>
    <row r="5" spans="1:20">
      <c r="A5" s="2" t="s">
        <v>282</v>
      </c>
      <c r="B5" s="2" t="s">
        <v>351</v>
      </c>
      <c r="C5" s="2" t="s">
        <v>34</v>
      </c>
      <c r="D5" s="16">
        <v>60</v>
      </c>
      <c r="E5" s="2" t="s">
        <v>286</v>
      </c>
      <c r="F5" s="2" t="s">
        <v>352</v>
      </c>
      <c r="G5" s="2" t="s">
        <v>353</v>
      </c>
      <c r="H5" s="17">
        <v>22908</v>
      </c>
      <c r="I5" s="2"/>
      <c r="J5" s="2"/>
      <c r="K5" s="17">
        <v>22908</v>
      </c>
      <c r="L5" s="17">
        <v>2454.4299999999998</v>
      </c>
      <c r="M5" s="17">
        <v>20453.57</v>
      </c>
      <c r="N5" s="17">
        <v>22908</v>
      </c>
      <c r="O5" s="2"/>
      <c r="P5" s="2"/>
      <c r="Q5" s="31" t="s">
        <v>180</v>
      </c>
      <c r="R5" s="32">
        <f>+K5</f>
        <v>22908</v>
      </c>
      <c r="S5" s="61">
        <f>+R5+R6+R7+R12+R22+R24</f>
        <v>1716482</v>
      </c>
      <c r="T5" s="5"/>
    </row>
    <row r="6" spans="1:20">
      <c r="A6" s="2" t="s">
        <v>1217</v>
      </c>
      <c r="B6" s="2" t="s">
        <v>1230</v>
      </c>
      <c r="C6" s="2" t="s">
        <v>23</v>
      </c>
      <c r="D6" s="16">
        <v>30</v>
      </c>
      <c r="E6" s="2" t="s">
        <v>1231</v>
      </c>
      <c r="F6" s="2" t="s">
        <v>1232</v>
      </c>
      <c r="G6" s="2" t="s">
        <v>1233</v>
      </c>
      <c r="H6" s="17">
        <v>73934</v>
      </c>
      <c r="I6" s="2"/>
      <c r="J6" s="2"/>
      <c r="K6" s="17">
        <v>73934</v>
      </c>
      <c r="L6" s="17">
        <v>7921.5</v>
      </c>
      <c r="M6" s="17">
        <v>66012.5</v>
      </c>
      <c r="N6" s="17">
        <v>73934</v>
      </c>
      <c r="O6" s="2"/>
      <c r="P6" s="2"/>
      <c r="Q6" s="31" t="s">
        <v>180</v>
      </c>
      <c r="R6" s="32">
        <f>+K6</f>
        <v>73934</v>
      </c>
      <c r="S6" s="62"/>
      <c r="T6" s="5"/>
    </row>
    <row r="7" spans="1:20">
      <c r="A7" s="2" t="s">
        <v>282</v>
      </c>
      <c r="B7" s="2" t="s">
        <v>318</v>
      </c>
      <c r="C7" s="2" t="s">
        <v>18</v>
      </c>
      <c r="D7" s="16">
        <v>0</v>
      </c>
      <c r="E7" s="2" t="s">
        <v>282</v>
      </c>
      <c r="F7" s="2" t="s">
        <v>319</v>
      </c>
      <c r="G7" s="2" t="s">
        <v>320</v>
      </c>
      <c r="H7" s="17">
        <v>120900</v>
      </c>
      <c r="I7" s="2"/>
      <c r="J7" s="2"/>
      <c r="K7" s="17">
        <v>120900</v>
      </c>
      <c r="L7" s="17">
        <v>12953.57</v>
      </c>
      <c r="M7" s="17">
        <v>107946.43</v>
      </c>
      <c r="N7" s="17">
        <v>120900</v>
      </c>
      <c r="O7" s="2"/>
      <c r="P7" s="2"/>
      <c r="Q7" s="31" t="s">
        <v>180</v>
      </c>
      <c r="R7" s="61">
        <f>+K7+K8+K9+K10+K11</f>
        <v>659000</v>
      </c>
      <c r="S7" s="62"/>
      <c r="T7" s="5"/>
    </row>
    <row r="8" spans="1:20">
      <c r="A8" s="2" t="s">
        <v>282</v>
      </c>
      <c r="B8" s="2" t="s">
        <v>321</v>
      </c>
      <c r="C8" s="2" t="s">
        <v>18</v>
      </c>
      <c r="D8" s="16">
        <v>0</v>
      </c>
      <c r="E8" s="2" t="s">
        <v>282</v>
      </c>
      <c r="F8" s="2" t="s">
        <v>319</v>
      </c>
      <c r="G8" s="2" t="s">
        <v>322</v>
      </c>
      <c r="H8" s="17">
        <v>27500</v>
      </c>
      <c r="I8" s="2"/>
      <c r="J8" s="2"/>
      <c r="K8" s="17">
        <v>27500</v>
      </c>
      <c r="L8" s="17">
        <v>2946.43</v>
      </c>
      <c r="M8" s="17">
        <v>24553.57</v>
      </c>
      <c r="N8" s="17">
        <v>27500</v>
      </c>
      <c r="O8" s="2"/>
      <c r="P8" s="2"/>
      <c r="Q8" s="31" t="s">
        <v>180</v>
      </c>
      <c r="R8" s="62"/>
      <c r="S8" s="62"/>
      <c r="T8" s="5"/>
    </row>
    <row r="9" spans="1:20">
      <c r="A9" s="2" t="s">
        <v>282</v>
      </c>
      <c r="B9" s="2" t="s">
        <v>323</v>
      </c>
      <c r="C9" s="2" t="s">
        <v>18</v>
      </c>
      <c r="D9" s="16">
        <v>0</v>
      </c>
      <c r="E9" s="2" t="s">
        <v>282</v>
      </c>
      <c r="F9" s="2" t="s">
        <v>319</v>
      </c>
      <c r="G9" s="2" t="s">
        <v>324</v>
      </c>
      <c r="H9" s="17">
        <v>181100</v>
      </c>
      <c r="I9" s="2"/>
      <c r="J9" s="2"/>
      <c r="K9" s="17">
        <v>181100</v>
      </c>
      <c r="L9" s="17">
        <v>19403.57</v>
      </c>
      <c r="M9" s="17">
        <v>161696.43</v>
      </c>
      <c r="N9" s="17">
        <v>181100</v>
      </c>
      <c r="O9" s="2"/>
      <c r="P9" s="2"/>
      <c r="Q9" s="31" t="s">
        <v>180</v>
      </c>
      <c r="R9" s="62"/>
      <c r="S9" s="62"/>
      <c r="T9" s="5"/>
    </row>
    <row r="10" spans="1:20">
      <c r="A10" s="2" t="s">
        <v>915</v>
      </c>
      <c r="B10" s="2" t="s">
        <v>964</v>
      </c>
      <c r="C10" s="2" t="s">
        <v>18</v>
      </c>
      <c r="D10" s="16">
        <v>0</v>
      </c>
      <c r="E10" s="2" t="s">
        <v>915</v>
      </c>
      <c r="F10" s="2" t="s">
        <v>319</v>
      </c>
      <c r="G10" s="2" t="s">
        <v>965</v>
      </c>
      <c r="H10" s="17">
        <v>88000</v>
      </c>
      <c r="I10" s="2"/>
      <c r="J10" s="2"/>
      <c r="K10" s="17">
        <v>88000</v>
      </c>
      <c r="L10" s="17">
        <v>9428.57</v>
      </c>
      <c r="M10" s="17">
        <v>78571.429999999993</v>
      </c>
      <c r="N10" s="17">
        <v>88000</v>
      </c>
      <c r="O10" s="2"/>
      <c r="P10" s="2"/>
      <c r="Q10" s="31" t="s">
        <v>180</v>
      </c>
      <c r="R10" s="62"/>
      <c r="S10" s="62"/>
      <c r="T10" s="5"/>
    </row>
    <row r="11" spans="1:20">
      <c r="A11" s="2" t="s">
        <v>915</v>
      </c>
      <c r="B11" s="2" t="s">
        <v>966</v>
      </c>
      <c r="C11" s="2" t="s">
        <v>18</v>
      </c>
      <c r="D11" s="16">
        <v>0</v>
      </c>
      <c r="E11" s="2" t="s">
        <v>915</v>
      </c>
      <c r="F11" s="2" t="s">
        <v>319</v>
      </c>
      <c r="G11" s="2" t="s">
        <v>967</v>
      </c>
      <c r="H11" s="17">
        <v>241500</v>
      </c>
      <c r="I11" s="2"/>
      <c r="J11" s="2"/>
      <c r="K11" s="17">
        <v>241500</v>
      </c>
      <c r="L11" s="17">
        <v>25875</v>
      </c>
      <c r="M11" s="17">
        <v>215625</v>
      </c>
      <c r="N11" s="17">
        <v>241500</v>
      </c>
      <c r="O11" s="2"/>
      <c r="P11" s="2"/>
      <c r="Q11" s="31" t="s">
        <v>180</v>
      </c>
      <c r="R11" s="63"/>
      <c r="S11" s="62"/>
      <c r="T11" s="5"/>
    </row>
    <row r="12" spans="1:20">
      <c r="A12" s="2" t="s">
        <v>199</v>
      </c>
      <c r="B12" s="2" t="s">
        <v>222</v>
      </c>
      <c r="C12" s="2" t="s">
        <v>23</v>
      </c>
      <c r="D12" s="16">
        <v>30</v>
      </c>
      <c r="E12" s="2" t="s">
        <v>223</v>
      </c>
      <c r="F12" s="2" t="s">
        <v>224</v>
      </c>
      <c r="G12" s="2" t="s">
        <v>225</v>
      </c>
      <c r="H12" s="17">
        <v>68700</v>
      </c>
      <c r="I12" s="2"/>
      <c r="J12" s="2"/>
      <c r="K12" s="17">
        <v>68700</v>
      </c>
      <c r="L12" s="17">
        <v>7360.71</v>
      </c>
      <c r="M12" s="17">
        <v>61339.29</v>
      </c>
      <c r="N12" s="17">
        <v>68700</v>
      </c>
      <c r="O12" s="2"/>
      <c r="P12" s="2"/>
      <c r="Q12" s="31" t="s">
        <v>180</v>
      </c>
      <c r="R12" s="61">
        <f>+K12+K13+K14+K15+K16+K17+K18+K19+K20+K21</f>
        <v>421300</v>
      </c>
      <c r="S12" s="62"/>
      <c r="T12" s="5"/>
    </row>
    <row r="13" spans="1:20">
      <c r="A13" s="2" t="s">
        <v>689</v>
      </c>
      <c r="B13" s="2" t="s">
        <v>720</v>
      </c>
      <c r="C13" s="2" t="s">
        <v>23</v>
      </c>
      <c r="D13" s="16">
        <v>30</v>
      </c>
      <c r="E13" s="2" t="s">
        <v>704</v>
      </c>
      <c r="F13" s="2" t="s">
        <v>224</v>
      </c>
      <c r="G13" s="2" t="s">
        <v>721</v>
      </c>
      <c r="H13" s="17">
        <v>22900</v>
      </c>
      <c r="I13" s="2"/>
      <c r="J13" s="2"/>
      <c r="K13" s="17">
        <v>22900</v>
      </c>
      <c r="L13" s="17">
        <v>2453.5700000000002</v>
      </c>
      <c r="M13" s="17">
        <v>20446.43</v>
      </c>
      <c r="N13" s="17">
        <v>22900</v>
      </c>
      <c r="O13" s="2"/>
      <c r="P13" s="2"/>
      <c r="Q13" s="31" t="s">
        <v>180</v>
      </c>
      <c r="R13" s="62"/>
      <c r="S13" s="62"/>
      <c r="T13" s="5"/>
    </row>
    <row r="14" spans="1:20">
      <c r="A14" s="2" t="s">
        <v>689</v>
      </c>
      <c r="B14" s="2" t="s">
        <v>722</v>
      </c>
      <c r="C14" s="2" t="s">
        <v>23</v>
      </c>
      <c r="D14" s="16">
        <v>30</v>
      </c>
      <c r="E14" s="2" t="s">
        <v>704</v>
      </c>
      <c r="F14" s="2" t="s">
        <v>224</v>
      </c>
      <c r="G14" s="2" t="s">
        <v>723</v>
      </c>
      <c r="H14" s="17">
        <v>57200</v>
      </c>
      <c r="I14" s="2"/>
      <c r="J14" s="2"/>
      <c r="K14" s="17">
        <v>57200</v>
      </c>
      <c r="L14" s="17">
        <v>6128.57</v>
      </c>
      <c r="M14" s="17">
        <v>51071.43</v>
      </c>
      <c r="N14" s="17">
        <v>57200</v>
      </c>
      <c r="O14" s="2"/>
      <c r="P14" s="2"/>
      <c r="Q14" s="31" t="s">
        <v>180</v>
      </c>
      <c r="R14" s="62"/>
      <c r="S14" s="62"/>
      <c r="T14" s="5"/>
    </row>
    <row r="15" spans="1:20">
      <c r="A15" s="2" t="s">
        <v>689</v>
      </c>
      <c r="B15" s="2" t="s">
        <v>724</v>
      </c>
      <c r="C15" s="2" t="s">
        <v>23</v>
      </c>
      <c r="D15" s="16">
        <v>30</v>
      </c>
      <c r="E15" s="2" t="s">
        <v>704</v>
      </c>
      <c r="F15" s="2" t="s">
        <v>224</v>
      </c>
      <c r="G15" s="2" t="s">
        <v>725</v>
      </c>
      <c r="H15" s="17">
        <v>22900</v>
      </c>
      <c r="I15" s="2"/>
      <c r="J15" s="2"/>
      <c r="K15" s="17">
        <v>22900</v>
      </c>
      <c r="L15" s="17">
        <v>2453.5700000000002</v>
      </c>
      <c r="M15" s="17">
        <v>20446.43</v>
      </c>
      <c r="N15" s="17">
        <v>22900</v>
      </c>
      <c r="O15" s="2"/>
      <c r="P15" s="2"/>
      <c r="Q15" s="31" t="s">
        <v>180</v>
      </c>
      <c r="R15" s="62"/>
      <c r="S15" s="62"/>
      <c r="T15" s="5"/>
    </row>
    <row r="16" spans="1:20">
      <c r="A16" s="2" t="s">
        <v>1048</v>
      </c>
      <c r="B16" s="2" t="s">
        <v>1059</v>
      </c>
      <c r="C16" s="2" t="s">
        <v>23</v>
      </c>
      <c r="D16" s="16">
        <v>30</v>
      </c>
      <c r="E16" s="2" t="s">
        <v>1056</v>
      </c>
      <c r="F16" s="2" t="s">
        <v>224</v>
      </c>
      <c r="G16" s="2" t="s">
        <v>1060</v>
      </c>
      <c r="H16" s="17">
        <v>50400</v>
      </c>
      <c r="I16" s="2"/>
      <c r="J16" s="2"/>
      <c r="K16" s="17">
        <v>50400</v>
      </c>
      <c r="L16" s="17">
        <v>5400</v>
      </c>
      <c r="M16" s="17">
        <v>45000</v>
      </c>
      <c r="N16" s="17">
        <v>50400</v>
      </c>
      <c r="O16" s="2"/>
      <c r="P16" s="2"/>
      <c r="Q16" s="31" t="s">
        <v>180</v>
      </c>
      <c r="R16" s="62"/>
      <c r="S16" s="62"/>
      <c r="T16" s="5"/>
    </row>
    <row r="17" spans="1:20">
      <c r="A17" s="2" t="s">
        <v>1048</v>
      </c>
      <c r="B17" s="2" t="s">
        <v>1061</v>
      </c>
      <c r="C17" s="2" t="s">
        <v>23</v>
      </c>
      <c r="D17" s="16">
        <v>30</v>
      </c>
      <c r="E17" s="2" t="s">
        <v>1056</v>
      </c>
      <c r="F17" s="2" t="s">
        <v>224</v>
      </c>
      <c r="G17" s="2" t="s">
        <v>1062</v>
      </c>
      <c r="H17" s="17">
        <v>22900</v>
      </c>
      <c r="I17" s="2"/>
      <c r="J17" s="2"/>
      <c r="K17" s="17">
        <v>22900</v>
      </c>
      <c r="L17" s="17">
        <v>2453.5700000000002</v>
      </c>
      <c r="M17" s="17">
        <v>20446.43</v>
      </c>
      <c r="N17" s="17">
        <v>22900</v>
      </c>
      <c r="O17" s="2"/>
      <c r="P17" s="2"/>
      <c r="Q17" s="31" t="s">
        <v>180</v>
      </c>
      <c r="R17" s="62"/>
      <c r="S17" s="62"/>
      <c r="T17" s="5"/>
    </row>
    <row r="18" spans="1:20">
      <c r="A18" s="2" t="s">
        <v>1117</v>
      </c>
      <c r="B18" s="2" t="s">
        <v>1151</v>
      </c>
      <c r="C18" s="2" t="s">
        <v>23</v>
      </c>
      <c r="D18" s="16">
        <v>30</v>
      </c>
      <c r="E18" s="2" t="s">
        <v>1118</v>
      </c>
      <c r="F18" s="2" t="s">
        <v>224</v>
      </c>
      <c r="G18" s="2" t="s">
        <v>1152</v>
      </c>
      <c r="H18" s="17">
        <v>22900</v>
      </c>
      <c r="I18" s="2"/>
      <c r="J18" s="2"/>
      <c r="K18" s="17">
        <v>22900</v>
      </c>
      <c r="L18" s="17">
        <v>2453.5700000000002</v>
      </c>
      <c r="M18" s="17">
        <v>20446.43</v>
      </c>
      <c r="N18" s="17">
        <v>22900</v>
      </c>
      <c r="O18" s="2"/>
      <c r="P18" s="2"/>
      <c r="Q18" s="31" t="s">
        <v>180</v>
      </c>
      <c r="R18" s="62"/>
      <c r="S18" s="62"/>
      <c r="T18" s="5"/>
    </row>
    <row r="19" spans="1:20">
      <c r="A19" s="2" t="s">
        <v>1117</v>
      </c>
      <c r="B19" s="2" t="s">
        <v>1153</v>
      </c>
      <c r="C19" s="2" t="s">
        <v>23</v>
      </c>
      <c r="D19" s="16">
        <v>30</v>
      </c>
      <c r="E19" s="2" t="s">
        <v>1118</v>
      </c>
      <c r="F19" s="2" t="s">
        <v>224</v>
      </c>
      <c r="G19" s="2" t="s">
        <v>1154</v>
      </c>
      <c r="H19" s="17">
        <v>50400</v>
      </c>
      <c r="I19" s="2"/>
      <c r="J19" s="2"/>
      <c r="K19" s="17">
        <v>50400</v>
      </c>
      <c r="L19" s="17">
        <v>5400</v>
      </c>
      <c r="M19" s="17">
        <v>45000</v>
      </c>
      <c r="N19" s="17">
        <v>50400</v>
      </c>
      <c r="O19" s="2"/>
      <c r="P19" s="2"/>
      <c r="Q19" s="31" t="s">
        <v>180</v>
      </c>
      <c r="R19" s="62"/>
      <c r="S19" s="62"/>
      <c r="T19" s="5"/>
    </row>
    <row r="20" spans="1:20">
      <c r="A20" s="2" t="s">
        <v>1553</v>
      </c>
      <c r="B20" s="2" t="s">
        <v>1584</v>
      </c>
      <c r="C20" s="2" t="s">
        <v>23</v>
      </c>
      <c r="D20" s="16">
        <v>30</v>
      </c>
      <c r="E20" s="2" t="s">
        <v>1569</v>
      </c>
      <c r="F20" s="2" t="s">
        <v>224</v>
      </c>
      <c r="G20" s="2" t="s">
        <v>1585</v>
      </c>
      <c r="H20" s="17">
        <v>57200</v>
      </c>
      <c r="I20" s="2"/>
      <c r="J20" s="2"/>
      <c r="K20" s="17">
        <v>57200</v>
      </c>
      <c r="L20" s="17">
        <v>6128.57</v>
      </c>
      <c r="M20" s="17">
        <v>51071.43</v>
      </c>
      <c r="N20" s="17">
        <v>57200</v>
      </c>
      <c r="O20" s="2"/>
      <c r="P20" s="2"/>
      <c r="Q20" s="31" t="s">
        <v>180</v>
      </c>
      <c r="R20" s="62"/>
      <c r="S20" s="62"/>
      <c r="T20" s="5"/>
    </row>
    <row r="21" spans="1:20">
      <c r="A21" s="2" t="s">
        <v>1553</v>
      </c>
      <c r="B21" s="2" t="s">
        <v>1587</v>
      </c>
      <c r="C21" s="2" t="s">
        <v>23</v>
      </c>
      <c r="D21" s="16">
        <v>30</v>
      </c>
      <c r="E21" s="2" t="s">
        <v>1569</v>
      </c>
      <c r="F21" s="2" t="s">
        <v>224</v>
      </c>
      <c r="G21" s="2" t="s">
        <v>1588</v>
      </c>
      <c r="H21" s="17">
        <v>45800</v>
      </c>
      <c r="I21" s="2"/>
      <c r="J21" s="2"/>
      <c r="K21" s="17">
        <v>45800</v>
      </c>
      <c r="L21" s="17">
        <v>4907.1400000000003</v>
      </c>
      <c r="M21" s="17">
        <v>40892.86</v>
      </c>
      <c r="N21" s="17">
        <v>45800</v>
      </c>
      <c r="O21" s="2"/>
      <c r="P21" s="2"/>
      <c r="Q21" s="31" t="s">
        <v>180</v>
      </c>
      <c r="R21" s="63"/>
      <c r="S21" s="62"/>
      <c r="T21" s="5"/>
    </row>
    <row r="22" spans="1:20">
      <c r="A22" s="2" t="s">
        <v>199</v>
      </c>
      <c r="B22" s="2" t="s">
        <v>236</v>
      </c>
      <c r="C22" s="2" t="s">
        <v>237</v>
      </c>
      <c r="D22" s="16">
        <v>60</v>
      </c>
      <c r="E22" s="2" t="s">
        <v>200</v>
      </c>
      <c r="F22" s="2" t="s">
        <v>238</v>
      </c>
      <c r="G22" s="2" t="s">
        <v>239</v>
      </c>
      <c r="H22" s="17">
        <v>250950</v>
      </c>
      <c r="I22" s="2"/>
      <c r="J22" s="2"/>
      <c r="K22" s="17">
        <v>250950</v>
      </c>
      <c r="L22" s="17">
        <v>26887.5</v>
      </c>
      <c r="M22" s="17">
        <v>224062.5</v>
      </c>
      <c r="N22" s="17">
        <v>250950</v>
      </c>
      <c r="O22" s="2"/>
      <c r="P22" s="2"/>
      <c r="Q22" s="31" t="s">
        <v>180</v>
      </c>
      <c r="R22" s="61">
        <f>+K22+K23</f>
        <v>402300</v>
      </c>
      <c r="S22" s="62"/>
      <c r="T22" s="5"/>
    </row>
    <row r="23" spans="1:20">
      <c r="A23" s="2" t="s">
        <v>915</v>
      </c>
      <c r="B23" s="2" t="s">
        <v>934</v>
      </c>
      <c r="C23" s="2" t="s">
        <v>237</v>
      </c>
      <c r="D23" s="16">
        <v>60</v>
      </c>
      <c r="E23" s="2" t="s">
        <v>918</v>
      </c>
      <c r="F23" s="2" t="s">
        <v>238</v>
      </c>
      <c r="G23" s="2" t="s">
        <v>935</v>
      </c>
      <c r="H23" s="17">
        <v>151350</v>
      </c>
      <c r="I23" s="2"/>
      <c r="J23" s="2"/>
      <c r="K23" s="17">
        <v>151350</v>
      </c>
      <c r="L23" s="17">
        <v>16216.07</v>
      </c>
      <c r="M23" s="17">
        <v>135133.93</v>
      </c>
      <c r="N23" s="17">
        <v>151350</v>
      </c>
      <c r="O23" s="2"/>
      <c r="P23" s="2"/>
      <c r="Q23" s="31" t="s">
        <v>180</v>
      </c>
      <c r="R23" s="63"/>
      <c r="S23" s="62"/>
      <c r="T23" s="5"/>
    </row>
    <row r="24" spans="1:20">
      <c r="A24" s="2" t="s">
        <v>93</v>
      </c>
      <c r="B24" s="2" t="s">
        <v>179</v>
      </c>
      <c r="C24" s="2" t="s">
        <v>18</v>
      </c>
      <c r="D24" s="16">
        <v>0</v>
      </c>
      <c r="E24" s="2" t="s">
        <v>93</v>
      </c>
      <c r="F24" s="2" t="s">
        <v>181</v>
      </c>
      <c r="G24" s="2" t="s">
        <v>182</v>
      </c>
      <c r="H24" s="17">
        <v>137040</v>
      </c>
      <c r="I24" s="2"/>
      <c r="J24" s="2"/>
      <c r="K24" s="17">
        <v>137040</v>
      </c>
      <c r="L24" s="17">
        <v>14682.86</v>
      </c>
      <c r="M24" s="17">
        <v>122357.14</v>
      </c>
      <c r="N24" s="17">
        <v>137040</v>
      </c>
      <c r="O24" s="2"/>
      <c r="P24" s="2"/>
      <c r="Q24" s="31" t="s">
        <v>180</v>
      </c>
      <c r="R24" s="32">
        <f>+K24</f>
        <v>137040</v>
      </c>
      <c r="S24" s="63"/>
      <c r="T24" s="5"/>
    </row>
    <row r="25" spans="1:20">
      <c r="A25" s="2" t="s">
        <v>971</v>
      </c>
      <c r="B25" s="2" t="s">
        <v>978</v>
      </c>
      <c r="C25" s="2" t="s">
        <v>18</v>
      </c>
      <c r="D25" s="16">
        <v>0</v>
      </c>
      <c r="E25" s="2" t="s">
        <v>971</v>
      </c>
      <c r="F25" s="2" t="s">
        <v>979</v>
      </c>
      <c r="G25" s="2" t="s">
        <v>980</v>
      </c>
      <c r="H25" s="17">
        <v>515828.54</v>
      </c>
      <c r="I25" s="2"/>
      <c r="J25" s="2"/>
      <c r="K25" s="17">
        <v>515828.54</v>
      </c>
      <c r="L25" s="17">
        <v>55267.34</v>
      </c>
      <c r="M25" s="17">
        <v>460561.2</v>
      </c>
      <c r="N25" s="17">
        <v>515828.54</v>
      </c>
      <c r="O25" s="2"/>
      <c r="P25" s="2"/>
      <c r="Q25" s="31" t="s">
        <v>270</v>
      </c>
      <c r="R25" s="61">
        <f>+K25+K26</f>
        <v>1467158.54</v>
      </c>
      <c r="S25" s="61">
        <f>+R25+R27+R30+R31+R35+R36+R38+R49+R50+R52+R53+R55+R56+R59+R60</f>
        <v>6078822.6799999997</v>
      </c>
      <c r="T25" s="5"/>
    </row>
    <row r="26" spans="1:20">
      <c r="A26" s="2" t="s">
        <v>971</v>
      </c>
      <c r="B26" s="2" t="s">
        <v>981</v>
      </c>
      <c r="C26" s="2" t="s">
        <v>18</v>
      </c>
      <c r="D26" s="16">
        <v>0</v>
      </c>
      <c r="E26" s="2" t="s">
        <v>971</v>
      </c>
      <c r="F26" s="2" t="s">
        <v>979</v>
      </c>
      <c r="G26" s="2" t="s">
        <v>982</v>
      </c>
      <c r="H26" s="17">
        <v>951330</v>
      </c>
      <c r="I26" s="2"/>
      <c r="J26" s="2"/>
      <c r="K26" s="17">
        <v>951330</v>
      </c>
      <c r="L26" s="17">
        <v>101928.21</v>
      </c>
      <c r="M26" s="17">
        <v>849401.79</v>
      </c>
      <c r="N26" s="17">
        <v>951330</v>
      </c>
      <c r="O26" s="2"/>
      <c r="P26" s="2"/>
      <c r="Q26" s="31" t="s">
        <v>270</v>
      </c>
      <c r="R26" s="63"/>
      <c r="S26" s="62"/>
      <c r="T26" s="5"/>
    </row>
    <row r="27" spans="1:20">
      <c r="A27" s="2" t="s">
        <v>1117</v>
      </c>
      <c r="B27" s="2" t="s">
        <v>1116</v>
      </c>
      <c r="C27" s="2" t="s">
        <v>333</v>
      </c>
      <c r="D27" s="16">
        <v>30</v>
      </c>
      <c r="E27" s="2" t="s">
        <v>1118</v>
      </c>
      <c r="F27" s="2" t="s">
        <v>1119</v>
      </c>
      <c r="G27" s="2" t="s">
        <v>1120</v>
      </c>
      <c r="H27" s="17">
        <v>1585</v>
      </c>
      <c r="I27" s="2"/>
      <c r="J27" s="2"/>
      <c r="K27" s="17">
        <v>1585</v>
      </c>
      <c r="L27" s="18">
        <v>169.82</v>
      </c>
      <c r="M27" s="17">
        <v>1415.18</v>
      </c>
      <c r="N27" s="17">
        <v>1585</v>
      </c>
      <c r="O27" s="2"/>
      <c r="P27" s="2"/>
      <c r="Q27" s="31" t="s">
        <v>270</v>
      </c>
      <c r="R27" s="61">
        <f>+K27+K28+K29</f>
        <v>124411</v>
      </c>
      <c r="S27" s="62"/>
      <c r="T27" s="5"/>
    </row>
    <row r="28" spans="1:20">
      <c r="A28" s="2" t="s">
        <v>1117</v>
      </c>
      <c r="B28" s="2" t="s">
        <v>1124</v>
      </c>
      <c r="C28" s="2" t="s">
        <v>333</v>
      </c>
      <c r="D28" s="16">
        <v>30</v>
      </c>
      <c r="E28" s="2" t="s">
        <v>1118</v>
      </c>
      <c r="F28" s="2" t="s">
        <v>1119</v>
      </c>
      <c r="G28" s="2" t="s">
        <v>1125</v>
      </c>
      <c r="H28" s="17">
        <v>95426</v>
      </c>
      <c r="I28" s="2"/>
      <c r="J28" s="2"/>
      <c r="K28" s="17">
        <v>95426</v>
      </c>
      <c r="L28" s="17">
        <v>10224.209999999999</v>
      </c>
      <c r="M28" s="17">
        <v>85201.79</v>
      </c>
      <c r="N28" s="17">
        <v>95426</v>
      </c>
      <c r="O28" s="2"/>
      <c r="P28" s="2"/>
      <c r="Q28" s="31" t="s">
        <v>270</v>
      </c>
      <c r="R28" s="62"/>
      <c r="S28" s="62"/>
      <c r="T28" s="5"/>
    </row>
    <row r="29" spans="1:20">
      <c r="A29" s="2" t="s">
        <v>1117</v>
      </c>
      <c r="B29" s="2" t="s">
        <v>1132</v>
      </c>
      <c r="C29" s="2" t="s">
        <v>333</v>
      </c>
      <c r="D29" s="16">
        <v>30</v>
      </c>
      <c r="E29" s="2" t="s">
        <v>1118</v>
      </c>
      <c r="F29" s="2" t="s">
        <v>1119</v>
      </c>
      <c r="G29" s="2" t="s">
        <v>1133</v>
      </c>
      <c r="H29" s="17">
        <v>27400</v>
      </c>
      <c r="I29" s="2"/>
      <c r="J29" s="2"/>
      <c r="K29" s="17">
        <v>27400</v>
      </c>
      <c r="L29" s="17">
        <v>2935.71</v>
      </c>
      <c r="M29" s="17">
        <v>24464.29</v>
      </c>
      <c r="N29" s="17">
        <v>27400</v>
      </c>
      <c r="O29" s="2"/>
      <c r="P29" s="2"/>
      <c r="Q29" s="31" t="s">
        <v>270</v>
      </c>
      <c r="R29" s="63"/>
      <c r="S29" s="62"/>
      <c r="T29" s="5"/>
    </row>
    <row r="30" spans="1:20">
      <c r="A30" s="2" t="s">
        <v>866</v>
      </c>
      <c r="B30" s="2" t="s">
        <v>890</v>
      </c>
      <c r="C30" s="2" t="s">
        <v>73</v>
      </c>
      <c r="D30" s="16">
        <v>30</v>
      </c>
      <c r="E30" s="2" t="s">
        <v>880</v>
      </c>
      <c r="F30" s="2" t="s">
        <v>891</v>
      </c>
      <c r="G30" s="2" t="s">
        <v>892</v>
      </c>
      <c r="H30" s="17">
        <v>528502</v>
      </c>
      <c r="I30" s="2"/>
      <c r="J30" s="2"/>
      <c r="K30" s="17">
        <v>528502</v>
      </c>
      <c r="L30" s="17">
        <v>56625.21</v>
      </c>
      <c r="M30" s="17">
        <v>471876.79</v>
      </c>
      <c r="N30" s="17">
        <v>528502</v>
      </c>
      <c r="O30" s="2"/>
      <c r="P30" s="2"/>
      <c r="Q30" s="31" t="s">
        <v>270</v>
      </c>
      <c r="R30" s="32">
        <f>+K30</f>
        <v>528502</v>
      </c>
      <c r="S30" s="62"/>
      <c r="T30" s="5"/>
    </row>
    <row r="31" spans="1:20">
      <c r="A31" s="2" t="s">
        <v>1217</v>
      </c>
      <c r="B31" s="2" t="s">
        <v>1261</v>
      </c>
      <c r="C31" s="2" t="s">
        <v>333</v>
      </c>
      <c r="D31" s="16">
        <v>30</v>
      </c>
      <c r="E31" s="2" t="s">
        <v>1231</v>
      </c>
      <c r="F31" s="2" t="s">
        <v>1262</v>
      </c>
      <c r="G31" s="2" t="s">
        <v>1263</v>
      </c>
      <c r="H31" s="17">
        <v>261896</v>
      </c>
      <c r="I31" s="2"/>
      <c r="J31" s="2"/>
      <c r="K31" s="17">
        <v>261896</v>
      </c>
      <c r="L31" s="17">
        <v>28060.29</v>
      </c>
      <c r="M31" s="17">
        <v>233835.71</v>
      </c>
      <c r="N31" s="17">
        <v>261896</v>
      </c>
      <c r="O31" s="2"/>
      <c r="P31" s="2"/>
      <c r="Q31" s="31" t="s">
        <v>270</v>
      </c>
      <c r="R31" s="61">
        <f>+K31+K32+K33+K34</f>
        <v>948842</v>
      </c>
      <c r="S31" s="62"/>
      <c r="T31" s="5"/>
    </row>
    <row r="32" spans="1:20">
      <c r="A32" s="2" t="s">
        <v>1217</v>
      </c>
      <c r="B32" s="2" t="s">
        <v>1264</v>
      </c>
      <c r="C32" s="2" t="s">
        <v>333</v>
      </c>
      <c r="D32" s="16">
        <v>30</v>
      </c>
      <c r="E32" s="2" t="s">
        <v>1231</v>
      </c>
      <c r="F32" s="2" t="s">
        <v>1262</v>
      </c>
      <c r="G32" s="2" t="s">
        <v>1265</v>
      </c>
      <c r="H32" s="17">
        <v>212525</v>
      </c>
      <c r="I32" s="2"/>
      <c r="J32" s="2"/>
      <c r="K32" s="17">
        <v>212525</v>
      </c>
      <c r="L32" s="17">
        <v>22770.54</v>
      </c>
      <c r="M32" s="17">
        <v>189754.46</v>
      </c>
      <c r="N32" s="17">
        <v>212525</v>
      </c>
      <c r="O32" s="2"/>
      <c r="P32" s="2"/>
      <c r="Q32" s="31" t="s">
        <v>270</v>
      </c>
      <c r="R32" s="62"/>
      <c r="S32" s="62"/>
      <c r="T32" s="5"/>
    </row>
    <row r="33" spans="1:20">
      <c r="A33" s="2" t="s">
        <v>1372</v>
      </c>
      <c r="B33" s="2" t="s">
        <v>1388</v>
      </c>
      <c r="C33" s="2" t="s">
        <v>333</v>
      </c>
      <c r="D33" s="16">
        <v>30</v>
      </c>
      <c r="E33" s="2" t="s">
        <v>1389</v>
      </c>
      <c r="F33" s="2" t="s">
        <v>1262</v>
      </c>
      <c r="G33" s="2" t="s">
        <v>1263</v>
      </c>
      <c r="H33" s="17">
        <v>261896</v>
      </c>
      <c r="I33" s="2"/>
      <c r="J33" s="2"/>
      <c r="K33" s="17">
        <v>261896</v>
      </c>
      <c r="L33" s="17">
        <v>28060.29</v>
      </c>
      <c r="M33" s="17">
        <v>233835.71</v>
      </c>
      <c r="N33" s="17">
        <v>261896</v>
      </c>
      <c r="O33" s="2"/>
      <c r="P33" s="2"/>
      <c r="Q33" s="31" t="s">
        <v>270</v>
      </c>
      <c r="R33" s="62"/>
      <c r="S33" s="62"/>
      <c r="T33" s="5"/>
    </row>
    <row r="34" spans="1:20">
      <c r="A34" s="2" t="s">
        <v>1372</v>
      </c>
      <c r="B34" s="2" t="s">
        <v>1390</v>
      </c>
      <c r="C34" s="2" t="s">
        <v>333</v>
      </c>
      <c r="D34" s="16">
        <v>30</v>
      </c>
      <c r="E34" s="2" t="s">
        <v>1389</v>
      </c>
      <c r="F34" s="2" t="s">
        <v>1262</v>
      </c>
      <c r="G34" s="2" t="s">
        <v>1265</v>
      </c>
      <c r="H34" s="17">
        <v>212525</v>
      </c>
      <c r="I34" s="2"/>
      <c r="J34" s="2"/>
      <c r="K34" s="17">
        <v>212525</v>
      </c>
      <c r="L34" s="17">
        <v>22770.54</v>
      </c>
      <c r="M34" s="17">
        <v>189754.46</v>
      </c>
      <c r="N34" s="17">
        <v>212525</v>
      </c>
      <c r="O34" s="2"/>
      <c r="P34" s="2"/>
      <c r="Q34" s="31" t="s">
        <v>270</v>
      </c>
      <c r="R34" s="63"/>
      <c r="S34" s="62"/>
      <c r="T34" s="5"/>
    </row>
    <row r="35" spans="1:20">
      <c r="A35" s="2" t="s">
        <v>448</v>
      </c>
      <c r="B35" s="2" t="s">
        <v>486</v>
      </c>
      <c r="C35" s="2" t="s">
        <v>18</v>
      </c>
      <c r="D35" s="16">
        <v>0</v>
      </c>
      <c r="E35" s="2" t="s">
        <v>448</v>
      </c>
      <c r="F35" s="2" t="s">
        <v>487</v>
      </c>
      <c r="G35" s="2" t="s">
        <v>488</v>
      </c>
      <c r="H35" s="17">
        <v>272346.90000000002</v>
      </c>
      <c r="I35" s="2"/>
      <c r="J35" s="2"/>
      <c r="K35" s="17">
        <v>272346.90000000002</v>
      </c>
      <c r="L35" s="17">
        <v>29180.02</v>
      </c>
      <c r="M35" s="17">
        <v>243166.88</v>
      </c>
      <c r="N35" s="17">
        <v>272346.90000000002</v>
      </c>
      <c r="O35" s="2"/>
      <c r="P35" s="2"/>
      <c r="Q35" s="31" t="s">
        <v>270</v>
      </c>
      <c r="R35" s="32">
        <f>+K35</f>
        <v>272346.90000000002</v>
      </c>
      <c r="S35" s="62"/>
      <c r="T35" s="5"/>
    </row>
    <row r="36" spans="1:20">
      <c r="A36" s="2" t="s">
        <v>282</v>
      </c>
      <c r="B36" s="2" t="s">
        <v>332</v>
      </c>
      <c r="C36" s="2" t="s">
        <v>333</v>
      </c>
      <c r="D36" s="16">
        <v>30</v>
      </c>
      <c r="E36" s="2" t="s">
        <v>296</v>
      </c>
      <c r="F36" s="2" t="s">
        <v>334</v>
      </c>
      <c r="G36" s="2" t="s">
        <v>335</v>
      </c>
      <c r="H36" s="17">
        <v>88200</v>
      </c>
      <c r="I36" s="2"/>
      <c r="J36" s="2"/>
      <c r="K36" s="17">
        <v>88200</v>
      </c>
      <c r="L36" s="17">
        <v>9450</v>
      </c>
      <c r="M36" s="17">
        <v>78750</v>
      </c>
      <c r="N36" s="17">
        <v>88200</v>
      </c>
      <c r="O36" s="2"/>
      <c r="P36" s="2"/>
      <c r="Q36" s="31" t="s">
        <v>270</v>
      </c>
      <c r="R36" s="61">
        <f>+K36+K37</f>
        <v>294380</v>
      </c>
      <c r="S36" s="62"/>
      <c r="T36" s="5"/>
    </row>
    <row r="37" spans="1:20">
      <c r="A37" s="2" t="s">
        <v>1117</v>
      </c>
      <c r="B37" s="2" t="s">
        <v>1134</v>
      </c>
      <c r="C37" s="2" t="s">
        <v>333</v>
      </c>
      <c r="D37" s="16">
        <v>30</v>
      </c>
      <c r="E37" s="2" t="s">
        <v>1118</v>
      </c>
      <c r="F37" s="2" t="s">
        <v>334</v>
      </c>
      <c r="G37" s="2" t="s">
        <v>1135</v>
      </c>
      <c r="H37" s="17">
        <v>206180</v>
      </c>
      <c r="I37" s="2"/>
      <c r="J37" s="2"/>
      <c r="K37" s="17">
        <v>206180</v>
      </c>
      <c r="L37" s="17">
        <v>22090.71</v>
      </c>
      <c r="M37" s="17">
        <v>184089.29</v>
      </c>
      <c r="N37" s="17">
        <v>206180</v>
      </c>
      <c r="O37" s="2"/>
      <c r="P37" s="2"/>
      <c r="Q37" s="31" t="s">
        <v>270</v>
      </c>
      <c r="R37" s="63"/>
      <c r="S37" s="62"/>
      <c r="T37" s="5"/>
    </row>
    <row r="38" spans="1:20">
      <c r="A38" s="2" t="s">
        <v>199</v>
      </c>
      <c r="B38" s="2" t="s">
        <v>269</v>
      </c>
      <c r="C38" s="2" t="s">
        <v>73</v>
      </c>
      <c r="D38" s="16">
        <v>30</v>
      </c>
      <c r="E38" s="2" t="s">
        <v>223</v>
      </c>
      <c r="F38" s="2" t="s">
        <v>271</v>
      </c>
      <c r="G38" s="2" t="s">
        <v>272</v>
      </c>
      <c r="H38" s="17">
        <v>220750</v>
      </c>
      <c r="I38" s="2"/>
      <c r="J38" s="2"/>
      <c r="K38" s="17">
        <v>220750</v>
      </c>
      <c r="L38" s="2"/>
      <c r="M38" s="17">
        <v>220750</v>
      </c>
      <c r="N38" s="17">
        <v>220750</v>
      </c>
      <c r="O38" s="2"/>
      <c r="P38" s="2"/>
      <c r="Q38" s="31" t="s">
        <v>270</v>
      </c>
      <c r="R38" s="61">
        <f>+K38+K39+K40+K41+K42+K43+K44+K45+K46+K47+K48</f>
        <v>547668</v>
      </c>
      <c r="S38" s="62"/>
      <c r="T38" s="5"/>
    </row>
    <row r="39" spans="1:20">
      <c r="A39" s="2" t="s">
        <v>368</v>
      </c>
      <c r="B39" s="2" t="s">
        <v>432</v>
      </c>
      <c r="C39" s="2" t="s">
        <v>73</v>
      </c>
      <c r="D39" s="16">
        <v>30</v>
      </c>
      <c r="E39" s="2" t="s">
        <v>370</v>
      </c>
      <c r="F39" s="2" t="s">
        <v>271</v>
      </c>
      <c r="G39" s="2" t="s">
        <v>433</v>
      </c>
      <c r="H39" s="17">
        <v>55288</v>
      </c>
      <c r="I39" s="2"/>
      <c r="J39" s="2"/>
      <c r="K39" s="17">
        <v>55288</v>
      </c>
      <c r="L39" s="2"/>
      <c r="M39" s="17">
        <v>55288</v>
      </c>
      <c r="N39" s="17">
        <v>55288</v>
      </c>
      <c r="O39" s="2"/>
      <c r="P39" s="2"/>
      <c r="Q39" s="31" t="s">
        <v>270</v>
      </c>
      <c r="R39" s="62"/>
      <c r="S39" s="62"/>
      <c r="T39" s="5"/>
    </row>
    <row r="40" spans="1:20">
      <c r="A40" s="2" t="s">
        <v>368</v>
      </c>
      <c r="B40" s="2" t="s">
        <v>434</v>
      </c>
      <c r="C40" s="2" t="s">
        <v>73</v>
      </c>
      <c r="D40" s="16">
        <v>30</v>
      </c>
      <c r="E40" s="2" t="s">
        <v>370</v>
      </c>
      <c r="F40" s="2" t="s">
        <v>271</v>
      </c>
      <c r="G40" s="2" t="s">
        <v>435</v>
      </c>
      <c r="H40" s="17">
        <v>35234</v>
      </c>
      <c r="I40" s="2"/>
      <c r="J40" s="2"/>
      <c r="K40" s="17">
        <v>35234</v>
      </c>
      <c r="L40" s="2"/>
      <c r="M40" s="17">
        <v>35234</v>
      </c>
      <c r="N40" s="17">
        <v>35234</v>
      </c>
      <c r="O40" s="2"/>
      <c r="P40" s="2"/>
      <c r="Q40" s="31" t="s">
        <v>270</v>
      </c>
      <c r="R40" s="62"/>
      <c r="S40" s="62"/>
      <c r="T40" s="5"/>
    </row>
    <row r="41" spans="1:20">
      <c r="A41" s="2" t="s">
        <v>368</v>
      </c>
      <c r="B41" s="2" t="s">
        <v>436</v>
      </c>
      <c r="C41" s="2" t="s">
        <v>73</v>
      </c>
      <c r="D41" s="16">
        <v>30</v>
      </c>
      <c r="E41" s="2" t="s">
        <v>370</v>
      </c>
      <c r="F41" s="2" t="s">
        <v>271</v>
      </c>
      <c r="G41" s="2" t="s">
        <v>437</v>
      </c>
      <c r="H41" s="17">
        <v>55100</v>
      </c>
      <c r="I41" s="2"/>
      <c r="J41" s="2"/>
      <c r="K41" s="17">
        <v>55100</v>
      </c>
      <c r="L41" s="2"/>
      <c r="M41" s="17">
        <v>55100</v>
      </c>
      <c r="N41" s="17">
        <v>55100</v>
      </c>
      <c r="O41" s="2"/>
      <c r="P41" s="2"/>
      <c r="Q41" s="31" t="s">
        <v>270</v>
      </c>
      <c r="R41" s="62"/>
      <c r="S41" s="62"/>
      <c r="T41" s="5"/>
    </row>
    <row r="42" spans="1:20">
      <c r="A42" s="2" t="s">
        <v>368</v>
      </c>
      <c r="B42" s="2" t="s">
        <v>438</v>
      </c>
      <c r="C42" s="2" t="s">
        <v>73</v>
      </c>
      <c r="D42" s="16">
        <v>30</v>
      </c>
      <c r="E42" s="2" t="s">
        <v>370</v>
      </c>
      <c r="F42" s="2" t="s">
        <v>271</v>
      </c>
      <c r="G42" s="2" t="s">
        <v>439</v>
      </c>
      <c r="H42" s="17">
        <v>40975</v>
      </c>
      <c r="I42" s="2"/>
      <c r="J42" s="2"/>
      <c r="K42" s="17">
        <v>40975</v>
      </c>
      <c r="L42" s="2"/>
      <c r="M42" s="17">
        <v>40975</v>
      </c>
      <c r="N42" s="17">
        <v>40975</v>
      </c>
      <c r="O42" s="2"/>
      <c r="P42" s="2"/>
      <c r="Q42" s="31" t="s">
        <v>270</v>
      </c>
      <c r="R42" s="62"/>
      <c r="S42" s="62"/>
      <c r="T42" s="5"/>
    </row>
    <row r="43" spans="1:20">
      <c r="A43" s="2" t="s">
        <v>1372</v>
      </c>
      <c r="B43" s="2" t="s">
        <v>1438</v>
      </c>
      <c r="C43" s="2" t="s">
        <v>73</v>
      </c>
      <c r="D43" s="16">
        <v>30</v>
      </c>
      <c r="E43" s="2" t="s">
        <v>1389</v>
      </c>
      <c r="F43" s="2" t="s">
        <v>271</v>
      </c>
      <c r="G43" s="2" t="s">
        <v>1439</v>
      </c>
      <c r="H43" s="17">
        <v>33500</v>
      </c>
      <c r="I43" s="2"/>
      <c r="J43" s="2"/>
      <c r="K43" s="17">
        <v>33500</v>
      </c>
      <c r="L43" s="2"/>
      <c r="M43" s="17">
        <v>33500</v>
      </c>
      <c r="N43" s="17">
        <v>33500</v>
      </c>
      <c r="O43" s="2"/>
      <c r="P43" s="2"/>
      <c r="Q43" s="31" t="s">
        <v>270</v>
      </c>
      <c r="R43" s="62"/>
      <c r="S43" s="62"/>
      <c r="T43" s="5"/>
    </row>
    <row r="44" spans="1:20">
      <c r="A44" s="2" t="s">
        <v>1372</v>
      </c>
      <c r="B44" s="2" t="s">
        <v>1440</v>
      </c>
      <c r="C44" s="2" t="s">
        <v>73</v>
      </c>
      <c r="D44" s="16">
        <v>30</v>
      </c>
      <c r="E44" s="2" t="s">
        <v>1389</v>
      </c>
      <c r="F44" s="2" t="s">
        <v>271</v>
      </c>
      <c r="G44" s="2" t="s">
        <v>1441</v>
      </c>
      <c r="H44" s="17">
        <v>20460</v>
      </c>
      <c r="I44" s="2"/>
      <c r="J44" s="2"/>
      <c r="K44" s="17">
        <v>20460</v>
      </c>
      <c r="L44" s="2"/>
      <c r="M44" s="17">
        <v>20460</v>
      </c>
      <c r="N44" s="17">
        <v>20460</v>
      </c>
      <c r="O44" s="2"/>
      <c r="P44" s="2"/>
      <c r="Q44" s="31" t="s">
        <v>270</v>
      </c>
      <c r="R44" s="62"/>
      <c r="S44" s="62"/>
      <c r="T44" s="5"/>
    </row>
    <row r="45" spans="1:20">
      <c r="A45" s="2" t="s">
        <v>1372</v>
      </c>
      <c r="B45" s="2" t="s">
        <v>1442</v>
      </c>
      <c r="C45" s="2" t="s">
        <v>73</v>
      </c>
      <c r="D45" s="16">
        <v>30</v>
      </c>
      <c r="E45" s="2" t="s">
        <v>1389</v>
      </c>
      <c r="F45" s="2" t="s">
        <v>271</v>
      </c>
      <c r="G45" s="2" t="s">
        <v>1443</v>
      </c>
      <c r="H45" s="17">
        <v>1492</v>
      </c>
      <c r="I45" s="2"/>
      <c r="J45" s="2"/>
      <c r="K45" s="17">
        <v>1492</v>
      </c>
      <c r="L45" s="2"/>
      <c r="M45" s="17">
        <v>1492</v>
      </c>
      <c r="N45" s="17">
        <v>1492</v>
      </c>
      <c r="O45" s="2"/>
      <c r="P45" s="2"/>
      <c r="Q45" s="31" t="s">
        <v>270</v>
      </c>
      <c r="R45" s="62"/>
      <c r="S45" s="62"/>
      <c r="T45" s="5"/>
    </row>
    <row r="46" spans="1:20">
      <c r="A46" s="2" t="s">
        <v>1372</v>
      </c>
      <c r="B46" s="2" t="s">
        <v>1444</v>
      </c>
      <c r="C46" s="2" t="s">
        <v>73</v>
      </c>
      <c r="D46" s="16">
        <v>30</v>
      </c>
      <c r="E46" s="2" t="s">
        <v>1389</v>
      </c>
      <c r="F46" s="2" t="s">
        <v>271</v>
      </c>
      <c r="G46" s="2" t="s">
        <v>1445</v>
      </c>
      <c r="H46" s="17">
        <v>67230</v>
      </c>
      <c r="I46" s="2"/>
      <c r="J46" s="2"/>
      <c r="K46" s="17">
        <v>67230</v>
      </c>
      <c r="L46" s="2"/>
      <c r="M46" s="17">
        <v>67230</v>
      </c>
      <c r="N46" s="17">
        <v>67230</v>
      </c>
      <c r="O46" s="2"/>
      <c r="P46" s="2"/>
      <c r="Q46" s="31" t="s">
        <v>270</v>
      </c>
      <c r="R46" s="62"/>
      <c r="S46" s="62"/>
      <c r="T46" s="5"/>
    </row>
    <row r="47" spans="1:20">
      <c r="A47" s="2" t="s">
        <v>1372</v>
      </c>
      <c r="B47" s="2" t="s">
        <v>1446</v>
      </c>
      <c r="C47" s="2" t="s">
        <v>73</v>
      </c>
      <c r="D47" s="16">
        <v>30</v>
      </c>
      <c r="E47" s="2" t="s">
        <v>1389</v>
      </c>
      <c r="F47" s="2" t="s">
        <v>271</v>
      </c>
      <c r="G47" s="2" t="s">
        <v>1447</v>
      </c>
      <c r="H47" s="17">
        <v>14655</v>
      </c>
      <c r="I47" s="2"/>
      <c r="J47" s="2"/>
      <c r="K47" s="17">
        <v>14655</v>
      </c>
      <c r="L47" s="2"/>
      <c r="M47" s="17">
        <v>14655</v>
      </c>
      <c r="N47" s="17">
        <v>14655</v>
      </c>
      <c r="O47" s="2"/>
      <c r="P47" s="2"/>
      <c r="Q47" s="31" t="s">
        <v>270</v>
      </c>
      <c r="R47" s="62"/>
      <c r="S47" s="62"/>
      <c r="T47" s="5"/>
    </row>
    <row r="48" spans="1:20">
      <c r="A48" s="2" t="s">
        <v>1372</v>
      </c>
      <c r="B48" s="2" t="s">
        <v>1448</v>
      </c>
      <c r="C48" s="2" t="s">
        <v>73</v>
      </c>
      <c r="D48" s="16">
        <v>30</v>
      </c>
      <c r="E48" s="2" t="s">
        <v>1389</v>
      </c>
      <c r="F48" s="2" t="s">
        <v>271</v>
      </c>
      <c r="G48" s="2" t="s">
        <v>1449</v>
      </c>
      <c r="H48" s="17">
        <v>2984</v>
      </c>
      <c r="I48" s="2"/>
      <c r="J48" s="2"/>
      <c r="K48" s="17">
        <v>2984</v>
      </c>
      <c r="L48" s="2"/>
      <c r="M48" s="17">
        <v>2984</v>
      </c>
      <c r="N48" s="17">
        <v>2984</v>
      </c>
      <c r="O48" s="2"/>
      <c r="P48" s="2"/>
      <c r="Q48" s="31" t="s">
        <v>270</v>
      </c>
      <c r="R48" s="63"/>
      <c r="S48" s="62"/>
      <c r="T48" s="5"/>
    </row>
    <row r="49" spans="1:20">
      <c r="A49" s="2" t="s">
        <v>689</v>
      </c>
      <c r="B49" s="2" t="s">
        <v>703</v>
      </c>
      <c r="C49" s="2" t="s">
        <v>73</v>
      </c>
      <c r="D49" s="16">
        <v>30</v>
      </c>
      <c r="E49" s="2" t="s">
        <v>704</v>
      </c>
      <c r="F49" s="2" t="s">
        <v>705</v>
      </c>
      <c r="G49" s="2" t="s">
        <v>706</v>
      </c>
      <c r="H49" s="17">
        <v>88200</v>
      </c>
      <c r="I49" s="2"/>
      <c r="J49" s="2"/>
      <c r="K49" s="17">
        <v>88200</v>
      </c>
      <c r="L49" s="17">
        <v>9450</v>
      </c>
      <c r="M49" s="17">
        <v>78750</v>
      </c>
      <c r="N49" s="17">
        <v>88200</v>
      </c>
      <c r="O49" s="2"/>
      <c r="P49" s="2"/>
      <c r="Q49" s="31" t="s">
        <v>270</v>
      </c>
      <c r="R49" s="32">
        <f>+K49</f>
        <v>88200</v>
      </c>
      <c r="S49" s="62"/>
      <c r="T49" s="5"/>
    </row>
    <row r="50" spans="1:20">
      <c r="A50" s="2" t="s">
        <v>1217</v>
      </c>
      <c r="B50" s="2" t="s">
        <v>1216</v>
      </c>
      <c r="C50" s="2" t="s">
        <v>60</v>
      </c>
      <c r="D50" s="16">
        <v>0</v>
      </c>
      <c r="E50" s="2" t="s">
        <v>1217</v>
      </c>
      <c r="F50" s="2" t="s">
        <v>1218</v>
      </c>
      <c r="G50" s="2" t="s">
        <v>1219</v>
      </c>
      <c r="H50" s="17">
        <v>37000</v>
      </c>
      <c r="I50" s="2"/>
      <c r="J50" s="2"/>
      <c r="K50" s="17">
        <v>37000</v>
      </c>
      <c r="L50" s="17">
        <v>3964.29</v>
      </c>
      <c r="M50" s="17">
        <v>33035.71</v>
      </c>
      <c r="N50" s="17">
        <v>37000</v>
      </c>
      <c r="O50" s="2"/>
      <c r="P50" s="2"/>
      <c r="Q50" s="31" t="s">
        <v>270</v>
      </c>
      <c r="R50" s="61">
        <f>+K50+K51</f>
        <v>59200</v>
      </c>
      <c r="S50" s="62"/>
      <c r="T50" s="5"/>
    </row>
    <row r="51" spans="1:20">
      <c r="A51" s="2" t="s">
        <v>1217</v>
      </c>
      <c r="B51" s="2" t="s">
        <v>1228</v>
      </c>
      <c r="C51" s="2" t="s">
        <v>60</v>
      </c>
      <c r="D51" s="16">
        <v>0</v>
      </c>
      <c r="E51" s="2" t="s">
        <v>1217</v>
      </c>
      <c r="F51" s="2" t="s">
        <v>1218</v>
      </c>
      <c r="G51" s="2" t="s">
        <v>1229</v>
      </c>
      <c r="H51" s="17">
        <v>22200</v>
      </c>
      <c r="I51" s="2"/>
      <c r="J51" s="2"/>
      <c r="K51" s="17">
        <v>22200</v>
      </c>
      <c r="L51" s="17">
        <v>2378.5700000000002</v>
      </c>
      <c r="M51" s="17">
        <v>19821.43</v>
      </c>
      <c r="N51" s="17">
        <v>22200</v>
      </c>
      <c r="O51" s="2"/>
      <c r="P51" s="2"/>
      <c r="Q51" s="31" t="s">
        <v>270</v>
      </c>
      <c r="R51" s="63"/>
      <c r="S51" s="62"/>
      <c r="T51" s="5"/>
    </row>
    <row r="52" spans="1:20">
      <c r="A52" s="2" t="s">
        <v>282</v>
      </c>
      <c r="B52" s="2" t="s">
        <v>299</v>
      </c>
      <c r="C52" s="2" t="s">
        <v>60</v>
      </c>
      <c r="D52" s="16">
        <v>0</v>
      </c>
      <c r="E52" s="2" t="s">
        <v>282</v>
      </c>
      <c r="F52" s="2" t="s">
        <v>300</v>
      </c>
      <c r="G52" s="2" t="s">
        <v>301</v>
      </c>
      <c r="H52" s="17">
        <v>67461.240000000005</v>
      </c>
      <c r="I52" s="2"/>
      <c r="J52" s="2"/>
      <c r="K52" s="17">
        <v>67461.240000000005</v>
      </c>
      <c r="L52" s="17">
        <v>7227.99</v>
      </c>
      <c r="M52" s="17">
        <v>60233.25</v>
      </c>
      <c r="N52" s="17">
        <v>67461.240000000005</v>
      </c>
      <c r="O52" s="2"/>
      <c r="P52" s="2"/>
      <c r="Q52" s="31" t="s">
        <v>270</v>
      </c>
      <c r="R52" s="32">
        <f>+K52</f>
        <v>67461.240000000005</v>
      </c>
      <c r="S52" s="62"/>
      <c r="T52" s="5"/>
    </row>
    <row r="53" spans="1:20">
      <c r="A53" s="2" t="s">
        <v>282</v>
      </c>
      <c r="B53" s="2" t="s">
        <v>339</v>
      </c>
      <c r="C53" s="2" t="s">
        <v>333</v>
      </c>
      <c r="D53" s="16">
        <v>30</v>
      </c>
      <c r="E53" s="2" t="s">
        <v>296</v>
      </c>
      <c r="F53" s="2" t="s">
        <v>340</v>
      </c>
      <c r="G53" s="2" t="s">
        <v>341</v>
      </c>
      <c r="H53" s="17">
        <v>309050</v>
      </c>
      <c r="I53" s="2"/>
      <c r="J53" s="2"/>
      <c r="K53" s="17">
        <v>309050</v>
      </c>
      <c r="L53" s="17">
        <v>33112.5</v>
      </c>
      <c r="M53" s="17">
        <v>275937.5</v>
      </c>
      <c r="N53" s="17">
        <v>309050</v>
      </c>
      <c r="O53" s="2"/>
      <c r="P53" s="2"/>
      <c r="Q53" s="31" t="s">
        <v>270</v>
      </c>
      <c r="R53" s="61">
        <f>+K53+K54</f>
        <v>505162</v>
      </c>
      <c r="S53" s="62"/>
      <c r="T53" s="5"/>
    </row>
    <row r="54" spans="1:20">
      <c r="A54" s="2" t="s">
        <v>282</v>
      </c>
      <c r="B54" s="2" t="s">
        <v>342</v>
      </c>
      <c r="C54" s="2" t="s">
        <v>333</v>
      </c>
      <c r="D54" s="16">
        <v>30</v>
      </c>
      <c r="E54" s="2" t="s">
        <v>296</v>
      </c>
      <c r="F54" s="2" t="s">
        <v>340</v>
      </c>
      <c r="G54" s="2" t="s">
        <v>343</v>
      </c>
      <c r="H54" s="17">
        <v>196112</v>
      </c>
      <c r="I54" s="2"/>
      <c r="J54" s="2"/>
      <c r="K54" s="17">
        <v>196112</v>
      </c>
      <c r="L54" s="17">
        <v>21012</v>
      </c>
      <c r="M54" s="17">
        <v>175100</v>
      </c>
      <c r="N54" s="17">
        <v>196112</v>
      </c>
      <c r="O54" s="2"/>
      <c r="P54" s="2"/>
      <c r="Q54" s="31" t="s">
        <v>270</v>
      </c>
      <c r="R54" s="63"/>
      <c r="S54" s="62"/>
      <c r="T54" s="5"/>
    </row>
    <row r="55" spans="1:20">
      <c r="A55" s="2" t="s">
        <v>1372</v>
      </c>
      <c r="B55" s="2" t="s">
        <v>1383</v>
      </c>
      <c r="C55" s="2" t="s">
        <v>60</v>
      </c>
      <c r="D55" s="16">
        <v>0</v>
      </c>
      <c r="E55" s="2" t="s">
        <v>1372</v>
      </c>
      <c r="F55" s="2" t="s">
        <v>1384</v>
      </c>
      <c r="G55" s="2" t="s">
        <v>1385</v>
      </c>
      <c r="H55" s="17">
        <v>241920</v>
      </c>
      <c r="I55" s="2"/>
      <c r="J55" s="2"/>
      <c r="K55" s="17">
        <v>241920</v>
      </c>
      <c r="L55" s="17">
        <v>25920</v>
      </c>
      <c r="M55" s="17">
        <v>216000</v>
      </c>
      <c r="N55" s="17">
        <v>241920</v>
      </c>
      <c r="O55" s="2"/>
      <c r="P55" s="2"/>
      <c r="Q55" s="31" t="s">
        <v>270</v>
      </c>
      <c r="R55" s="32">
        <f>+K55</f>
        <v>241920</v>
      </c>
      <c r="S55" s="62"/>
      <c r="T55" s="5"/>
    </row>
    <row r="56" spans="1:20">
      <c r="A56" s="2" t="s">
        <v>282</v>
      </c>
      <c r="B56" s="2" t="s">
        <v>336</v>
      </c>
      <c r="C56" s="2" t="s">
        <v>237</v>
      </c>
      <c r="D56" s="16">
        <v>60</v>
      </c>
      <c r="E56" s="2" t="s">
        <v>286</v>
      </c>
      <c r="F56" s="2" t="s">
        <v>337</v>
      </c>
      <c r="G56" s="2" t="s">
        <v>338</v>
      </c>
      <c r="H56" s="17">
        <v>143215</v>
      </c>
      <c r="I56" s="2"/>
      <c r="J56" s="2"/>
      <c r="K56" s="17">
        <v>143215</v>
      </c>
      <c r="L56" s="17">
        <v>15344.46</v>
      </c>
      <c r="M56" s="17">
        <v>127870.54</v>
      </c>
      <c r="N56" s="17">
        <v>143215</v>
      </c>
      <c r="O56" s="2"/>
      <c r="P56" s="2"/>
      <c r="Q56" s="31" t="s">
        <v>270</v>
      </c>
      <c r="R56" s="61">
        <f>+K56+K57+K58</f>
        <v>855310</v>
      </c>
      <c r="S56" s="62"/>
      <c r="T56" s="5"/>
    </row>
    <row r="57" spans="1:20">
      <c r="A57" s="2" t="s">
        <v>1117</v>
      </c>
      <c r="B57" s="2" t="s">
        <v>1136</v>
      </c>
      <c r="C57" s="2" t="s">
        <v>333</v>
      </c>
      <c r="D57" s="16">
        <v>30</v>
      </c>
      <c r="E57" s="2" t="s">
        <v>1118</v>
      </c>
      <c r="F57" s="2" t="s">
        <v>337</v>
      </c>
      <c r="G57" s="2" t="s">
        <v>1137</v>
      </c>
      <c r="H57" s="17">
        <v>568880</v>
      </c>
      <c r="I57" s="2"/>
      <c r="J57" s="2"/>
      <c r="K57" s="17">
        <v>568880</v>
      </c>
      <c r="L57" s="17">
        <v>60951.43</v>
      </c>
      <c r="M57" s="17">
        <v>507928.57</v>
      </c>
      <c r="N57" s="17">
        <v>568880</v>
      </c>
      <c r="O57" s="2"/>
      <c r="P57" s="2"/>
      <c r="Q57" s="31" t="s">
        <v>270</v>
      </c>
      <c r="R57" s="62"/>
      <c r="S57" s="62"/>
      <c r="T57" s="5"/>
    </row>
    <row r="58" spans="1:20">
      <c r="A58" s="2" t="s">
        <v>1117</v>
      </c>
      <c r="B58" s="2" t="s">
        <v>1138</v>
      </c>
      <c r="C58" s="2" t="s">
        <v>237</v>
      </c>
      <c r="D58" s="16">
        <v>60</v>
      </c>
      <c r="E58" s="2" t="s">
        <v>1139</v>
      </c>
      <c r="F58" s="2" t="s">
        <v>337</v>
      </c>
      <c r="G58" s="2" t="s">
        <v>338</v>
      </c>
      <c r="H58" s="17">
        <v>143215</v>
      </c>
      <c r="I58" s="2"/>
      <c r="J58" s="2"/>
      <c r="K58" s="17">
        <v>143215</v>
      </c>
      <c r="L58" s="17">
        <v>15344.46</v>
      </c>
      <c r="M58" s="17">
        <v>127870.54</v>
      </c>
      <c r="N58" s="17">
        <v>143215</v>
      </c>
      <c r="O58" s="2"/>
      <c r="P58" s="2"/>
      <c r="Q58" s="31" t="s">
        <v>270</v>
      </c>
      <c r="R58" s="63"/>
      <c r="S58" s="62"/>
      <c r="T58" s="5"/>
    </row>
    <row r="59" spans="1:20">
      <c r="A59" s="2" t="s">
        <v>1553</v>
      </c>
      <c r="B59" s="2" t="s">
        <v>1573</v>
      </c>
      <c r="C59" s="2" t="s">
        <v>18</v>
      </c>
      <c r="D59" s="16">
        <v>0</v>
      </c>
      <c r="E59" s="2" t="s">
        <v>1553</v>
      </c>
      <c r="F59" s="2" t="s">
        <v>70</v>
      </c>
      <c r="G59" s="2" t="s">
        <v>1574</v>
      </c>
      <c r="H59" s="17">
        <v>24540</v>
      </c>
      <c r="I59" s="2"/>
      <c r="J59" s="2"/>
      <c r="K59" s="17">
        <v>24540</v>
      </c>
      <c r="L59" s="17">
        <v>2629.29</v>
      </c>
      <c r="M59" s="17">
        <v>21910.71</v>
      </c>
      <c r="N59" s="17">
        <v>24540</v>
      </c>
      <c r="O59" s="2"/>
      <c r="P59" s="2"/>
      <c r="Q59" s="31" t="s">
        <v>270</v>
      </c>
      <c r="R59" s="32">
        <f>+K59</f>
        <v>24540</v>
      </c>
      <c r="S59" s="62"/>
      <c r="T59" s="5"/>
    </row>
    <row r="60" spans="1:20">
      <c r="A60" s="2" t="s">
        <v>596</v>
      </c>
      <c r="B60" s="2" t="s">
        <v>595</v>
      </c>
      <c r="C60" s="2" t="s">
        <v>146</v>
      </c>
      <c r="D60" s="16">
        <v>90</v>
      </c>
      <c r="E60" s="2" t="s">
        <v>597</v>
      </c>
      <c r="F60" s="2" t="s">
        <v>598</v>
      </c>
      <c r="G60" s="2" t="s">
        <v>599</v>
      </c>
      <c r="H60" s="17">
        <v>53721</v>
      </c>
      <c r="I60" s="2"/>
      <c r="J60" s="2"/>
      <c r="K60" s="17">
        <v>53721</v>
      </c>
      <c r="L60" s="17">
        <v>5755.82</v>
      </c>
      <c r="M60" s="17">
        <v>47965.18</v>
      </c>
      <c r="N60" s="17">
        <v>53721</v>
      </c>
      <c r="O60" s="2"/>
      <c r="P60" s="2"/>
      <c r="Q60" s="31" t="s">
        <v>270</v>
      </c>
      <c r="R60" s="32">
        <f>+K60</f>
        <v>53721</v>
      </c>
      <c r="S60" s="63"/>
      <c r="T60" s="5"/>
    </row>
    <row r="61" spans="1:20">
      <c r="A61" s="2" t="s">
        <v>689</v>
      </c>
      <c r="B61" s="2" t="s">
        <v>726</v>
      </c>
      <c r="C61" s="2" t="s">
        <v>151</v>
      </c>
      <c r="D61" s="16">
        <v>60</v>
      </c>
      <c r="E61" s="2" t="s">
        <v>692</v>
      </c>
      <c r="F61" s="2" t="s">
        <v>728</v>
      </c>
      <c r="G61" s="2" t="s">
        <v>729</v>
      </c>
      <c r="H61" s="17">
        <v>113168</v>
      </c>
      <c r="I61" s="2"/>
      <c r="J61" s="2"/>
      <c r="K61" s="17">
        <v>113168</v>
      </c>
      <c r="L61" s="17">
        <v>12125.14</v>
      </c>
      <c r="M61" s="17">
        <v>101042.86</v>
      </c>
      <c r="N61" s="17">
        <v>113168</v>
      </c>
      <c r="O61" s="2"/>
      <c r="P61" s="2"/>
      <c r="Q61" s="31" t="s">
        <v>727</v>
      </c>
      <c r="R61" s="61">
        <f>+K61+K62+K63+K64+K65+K66+K67</f>
        <v>2195878</v>
      </c>
      <c r="S61" s="61">
        <f>+R61</f>
        <v>2195878</v>
      </c>
      <c r="T61" s="5"/>
    </row>
    <row r="62" spans="1:20">
      <c r="A62" s="2" t="s">
        <v>689</v>
      </c>
      <c r="B62" s="2" t="s">
        <v>730</v>
      </c>
      <c r="C62" s="2" t="s">
        <v>151</v>
      </c>
      <c r="D62" s="16">
        <v>60</v>
      </c>
      <c r="E62" s="2" t="s">
        <v>692</v>
      </c>
      <c r="F62" s="2" t="s">
        <v>728</v>
      </c>
      <c r="G62" s="2" t="s">
        <v>731</v>
      </c>
      <c r="H62" s="17">
        <v>686000</v>
      </c>
      <c r="I62" s="2"/>
      <c r="J62" s="2"/>
      <c r="K62" s="17">
        <v>686000</v>
      </c>
      <c r="L62" s="17">
        <v>73500</v>
      </c>
      <c r="M62" s="17">
        <v>612500</v>
      </c>
      <c r="N62" s="17">
        <v>686000</v>
      </c>
      <c r="O62" s="2"/>
      <c r="P62" s="2"/>
      <c r="Q62" s="31" t="s">
        <v>727</v>
      </c>
      <c r="R62" s="62"/>
      <c r="S62" s="62"/>
      <c r="T62" s="5"/>
    </row>
    <row r="63" spans="1:20">
      <c r="A63" s="2" t="s">
        <v>689</v>
      </c>
      <c r="B63" s="2" t="s">
        <v>732</v>
      </c>
      <c r="C63" s="2" t="s">
        <v>151</v>
      </c>
      <c r="D63" s="16">
        <v>60</v>
      </c>
      <c r="E63" s="2" t="s">
        <v>692</v>
      </c>
      <c r="F63" s="2" t="s">
        <v>728</v>
      </c>
      <c r="G63" s="2" t="s">
        <v>733</v>
      </c>
      <c r="H63" s="17">
        <v>313000</v>
      </c>
      <c r="I63" s="2"/>
      <c r="J63" s="2"/>
      <c r="K63" s="17">
        <v>313000</v>
      </c>
      <c r="L63" s="17">
        <v>33535.71</v>
      </c>
      <c r="M63" s="17">
        <v>279464.28999999998</v>
      </c>
      <c r="N63" s="17">
        <v>313000</v>
      </c>
      <c r="O63" s="2"/>
      <c r="P63" s="2"/>
      <c r="Q63" s="31" t="s">
        <v>727</v>
      </c>
      <c r="R63" s="62"/>
      <c r="S63" s="62"/>
      <c r="T63" s="5"/>
    </row>
    <row r="64" spans="1:20">
      <c r="A64" s="2" t="s">
        <v>689</v>
      </c>
      <c r="B64" s="2" t="s">
        <v>734</v>
      </c>
      <c r="C64" s="2" t="s">
        <v>151</v>
      </c>
      <c r="D64" s="16">
        <v>60</v>
      </c>
      <c r="E64" s="2" t="s">
        <v>692</v>
      </c>
      <c r="F64" s="2" t="s">
        <v>728</v>
      </c>
      <c r="G64" s="2" t="s">
        <v>735</v>
      </c>
      <c r="H64" s="17">
        <v>111830</v>
      </c>
      <c r="I64" s="2"/>
      <c r="J64" s="2"/>
      <c r="K64" s="17">
        <v>111830</v>
      </c>
      <c r="L64" s="17">
        <v>11981.79</v>
      </c>
      <c r="M64" s="17">
        <v>99848.21</v>
      </c>
      <c r="N64" s="17">
        <v>111830</v>
      </c>
      <c r="O64" s="2"/>
      <c r="P64" s="2"/>
      <c r="Q64" s="31" t="s">
        <v>727</v>
      </c>
      <c r="R64" s="62"/>
      <c r="S64" s="62"/>
      <c r="T64" s="5"/>
    </row>
    <row r="65" spans="1:20">
      <c r="A65" s="2" t="s">
        <v>689</v>
      </c>
      <c r="B65" s="2" t="s">
        <v>736</v>
      </c>
      <c r="C65" s="2" t="s">
        <v>151</v>
      </c>
      <c r="D65" s="16">
        <v>60</v>
      </c>
      <c r="E65" s="2" t="s">
        <v>692</v>
      </c>
      <c r="F65" s="2" t="s">
        <v>728</v>
      </c>
      <c r="G65" s="2" t="s">
        <v>737</v>
      </c>
      <c r="H65" s="17">
        <v>313000</v>
      </c>
      <c r="I65" s="2"/>
      <c r="J65" s="2"/>
      <c r="K65" s="17">
        <v>313000</v>
      </c>
      <c r="L65" s="17">
        <v>33535.71</v>
      </c>
      <c r="M65" s="17">
        <v>279464.28999999998</v>
      </c>
      <c r="N65" s="17">
        <v>313000</v>
      </c>
      <c r="O65" s="2"/>
      <c r="P65" s="2"/>
      <c r="Q65" s="31" t="s">
        <v>727</v>
      </c>
      <c r="R65" s="62"/>
      <c r="S65" s="62"/>
      <c r="T65" s="5"/>
    </row>
    <row r="66" spans="1:20">
      <c r="A66" s="2" t="s">
        <v>689</v>
      </c>
      <c r="B66" s="2" t="s">
        <v>746</v>
      </c>
      <c r="C66" s="2" t="s">
        <v>151</v>
      </c>
      <c r="D66" s="16">
        <v>60</v>
      </c>
      <c r="E66" s="2" t="s">
        <v>692</v>
      </c>
      <c r="F66" s="2" t="s">
        <v>728</v>
      </c>
      <c r="G66" s="2" t="s">
        <v>747</v>
      </c>
      <c r="H66" s="17">
        <v>408480</v>
      </c>
      <c r="I66" s="2"/>
      <c r="J66" s="2"/>
      <c r="K66" s="17">
        <v>408480</v>
      </c>
      <c r="L66" s="17">
        <v>43765.71</v>
      </c>
      <c r="M66" s="17">
        <v>364714.29</v>
      </c>
      <c r="N66" s="17">
        <v>408480</v>
      </c>
      <c r="O66" s="2"/>
      <c r="P66" s="2"/>
      <c r="Q66" s="31" t="s">
        <v>727</v>
      </c>
      <c r="R66" s="62"/>
      <c r="S66" s="62"/>
      <c r="T66" s="5"/>
    </row>
    <row r="67" spans="1:20">
      <c r="A67" s="2" t="s">
        <v>689</v>
      </c>
      <c r="B67" s="2" t="s">
        <v>748</v>
      </c>
      <c r="C67" s="2" t="s">
        <v>151</v>
      </c>
      <c r="D67" s="16">
        <v>60</v>
      </c>
      <c r="E67" s="2" t="s">
        <v>692</v>
      </c>
      <c r="F67" s="2" t="s">
        <v>728</v>
      </c>
      <c r="G67" s="2" t="s">
        <v>749</v>
      </c>
      <c r="H67" s="17">
        <v>250400</v>
      </c>
      <c r="I67" s="2"/>
      <c r="J67" s="2"/>
      <c r="K67" s="17">
        <v>250400</v>
      </c>
      <c r="L67" s="17">
        <v>26828.57</v>
      </c>
      <c r="M67" s="17">
        <v>223571.43</v>
      </c>
      <c r="N67" s="17">
        <v>250400</v>
      </c>
      <c r="O67" s="2"/>
      <c r="P67" s="2"/>
      <c r="Q67" s="31" t="s">
        <v>727</v>
      </c>
      <c r="R67" s="63"/>
      <c r="S67" s="63"/>
      <c r="T67" s="5"/>
    </row>
    <row r="68" spans="1:20">
      <c r="A68" s="2" t="s">
        <v>1467</v>
      </c>
      <c r="B68" s="2" t="s">
        <v>1469</v>
      </c>
      <c r="C68" s="2" t="s">
        <v>18</v>
      </c>
      <c r="D68" s="16">
        <v>0</v>
      </c>
      <c r="E68" s="2" t="s">
        <v>1467</v>
      </c>
      <c r="F68" s="2" t="s">
        <v>1470</v>
      </c>
      <c r="G68" s="2" t="s">
        <v>1471</v>
      </c>
      <c r="H68" s="17">
        <v>107922</v>
      </c>
      <c r="I68" s="2"/>
      <c r="J68" s="17">
        <v>7500</v>
      </c>
      <c r="K68" s="17">
        <f>115422-J68</f>
        <v>107922</v>
      </c>
      <c r="L68" s="17">
        <v>12366.64</v>
      </c>
      <c r="M68" s="17">
        <v>103055.36</v>
      </c>
      <c r="N68" s="17">
        <v>115422</v>
      </c>
      <c r="O68" s="17" t="s">
        <v>1768</v>
      </c>
      <c r="P68" s="2"/>
      <c r="Q68" s="31" t="s">
        <v>25</v>
      </c>
      <c r="R68" s="32">
        <f>+K68</f>
        <v>107922</v>
      </c>
      <c r="S68" s="61">
        <f>+R68+R69+R70+R71+R72</f>
        <v>2849521</v>
      </c>
      <c r="T68" s="5"/>
    </row>
    <row r="69" spans="1:20">
      <c r="A69" s="2" t="s">
        <v>1217</v>
      </c>
      <c r="B69" s="2" t="s">
        <v>1241</v>
      </c>
      <c r="C69" s="2" t="s">
        <v>34</v>
      </c>
      <c r="D69" s="16">
        <v>60</v>
      </c>
      <c r="E69" s="2" t="s">
        <v>1223</v>
      </c>
      <c r="F69" s="2" t="s">
        <v>1242</v>
      </c>
      <c r="G69" s="2" t="s">
        <v>1243</v>
      </c>
      <c r="H69" s="17">
        <v>126034</v>
      </c>
      <c r="I69" s="2"/>
      <c r="J69" s="2"/>
      <c r="K69" s="17">
        <v>126034</v>
      </c>
      <c r="L69" s="17">
        <v>13503.64</v>
      </c>
      <c r="M69" s="17">
        <v>112530.36</v>
      </c>
      <c r="N69" s="17">
        <v>126034</v>
      </c>
      <c r="O69" s="2"/>
      <c r="P69" s="2"/>
      <c r="Q69" s="31" t="s">
        <v>25</v>
      </c>
      <c r="R69" s="32">
        <f>+K69</f>
        <v>126034</v>
      </c>
      <c r="S69" s="62"/>
      <c r="T69" s="5"/>
    </row>
    <row r="70" spans="1:20">
      <c r="A70" s="2" t="s">
        <v>866</v>
      </c>
      <c r="B70" s="2" t="s">
        <v>906</v>
      </c>
      <c r="C70" s="2" t="s">
        <v>146</v>
      </c>
      <c r="D70" s="16">
        <v>90</v>
      </c>
      <c r="E70" s="2" t="s">
        <v>885</v>
      </c>
      <c r="F70" s="2" t="s">
        <v>907</v>
      </c>
      <c r="G70" s="2" t="s">
        <v>908</v>
      </c>
      <c r="H70" s="17">
        <v>133902</v>
      </c>
      <c r="I70" s="2"/>
      <c r="J70" s="2"/>
      <c r="K70" s="17">
        <v>133902</v>
      </c>
      <c r="L70" s="17">
        <v>14346.64</v>
      </c>
      <c r="M70" s="17">
        <v>119555.36</v>
      </c>
      <c r="N70" s="17">
        <v>133902</v>
      </c>
      <c r="O70" s="2"/>
      <c r="P70" s="2"/>
      <c r="Q70" s="31" t="s">
        <v>25</v>
      </c>
      <c r="R70" s="32">
        <f>+K70</f>
        <v>133902</v>
      </c>
      <c r="S70" s="62"/>
      <c r="T70" s="5"/>
    </row>
    <row r="71" spans="1:20">
      <c r="A71" s="2" t="s">
        <v>1117</v>
      </c>
      <c r="B71" s="2" t="s">
        <v>1129</v>
      </c>
      <c r="C71" s="2" t="s">
        <v>18</v>
      </c>
      <c r="D71" s="16">
        <v>0</v>
      </c>
      <c r="E71" s="2" t="s">
        <v>1117</v>
      </c>
      <c r="F71" s="2" t="s">
        <v>1130</v>
      </c>
      <c r="G71" s="2" t="s">
        <v>1131</v>
      </c>
      <c r="H71" s="17">
        <v>104800</v>
      </c>
      <c r="I71" s="2"/>
      <c r="J71" s="2"/>
      <c r="K71" s="17">
        <v>104800</v>
      </c>
      <c r="L71" s="17">
        <v>11228.57</v>
      </c>
      <c r="M71" s="17">
        <v>93571.43</v>
      </c>
      <c r="N71" s="17">
        <v>104800</v>
      </c>
      <c r="O71" s="2"/>
      <c r="P71" s="2"/>
      <c r="Q71" s="31" t="s">
        <v>25</v>
      </c>
      <c r="R71" s="32">
        <f>+K71</f>
        <v>104800</v>
      </c>
      <c r="S71" s="62"/>
      <c r="T71" s="5"/>
    </row>
    <row r="72" spans="1:20">
      <c r="A72" s="2" t="s">
        <v>17</v>
      </c>
      <c r="B72" s="2" t="s">
        <v>22</v>
      </c>
      <c r="C72" s="2" t="s">
        <v>23</v>
      </c>
      <c r="D72" s="16">
        <v>30</v>
      </c>
      <c r="E72" s="2" t="s">
        <v>24</v>
      </c>
      <c r="F72" s="2" t="s">
        <v>26</v>
      </c>
      <c r="G72" s="2" t="s">
        <v>27</v>
      </c>
      <c r="H72" s="17">
        <v>344364.5</v>
      </c>
      <c r="I72" s="2"/>
      <c r="J72" s="2"/>
      <c r="K72" s="17">
        <v>344364.5</v>
      </c>
      <c r="L72" s="17">
        <v>36896.199999999997</v>
      </c>
      <c r="M72" s="17">
        <v>307468.3</v>
      </c>
      <c r="N72" s="17">
        <v>344364.5</v>
      </c>
      <c r="O72" s="2"/>
      <c r="P72" s="2"/>
      <c r="Q72" s="31" t="s">
        <v>25</v>
      </c>
      <c r="R72" s="61">
        <f>+K72+K73+K74+K75+K76+K77</f>
        <v>2376863</v>
      </c>
      <c r="S72" s="62"/>
      <c r="T72" s="5"/>
    </row>
    <row r="73" spans="1:20">
      <c r="A73" s="2" t="s">
        <v>1372</v>
      </c>
      <c r="B73" s="2" t="s">
        <v>1413</v>
      </c>
      <c r="C73" s="2" t="s">
        <v>64</v>
      </c>
      <c r="D73" s="16">
        <v>30</v>
      </c>
      <c r="E73" s="2" t="s">
        <v>1389</v>
      </c>
      <c r="F73" s="2" t="s">
        <v>26</v>
      </c>
      <c r="G73" s="2" t="s">
        <v>1414</v>
      </c>
      <c r="H73" s="17">
        <v>352731.5</v>
      </c>
      <c r="I73" s="2"/>
      <c r="J73" s="2"/>
      <c r="K73" s="17">
        <v>352731.5</v>
      </c>
      <c r="L73" s="17">
        <v>37792.660000000003</v>
      </c>
      <c r="M73" s="17">
        <v>314938.84000000003</v>
      </c>
      <c r="N73" s="17">
        <v>352731.5</v>
      </c>
      <c r="O73" s="2"/>
      <c r="P73" s="2"/>
      <c r="Q73" s="31" t="s">
        <v>25</v>
      </c>
      <c r="R73" s="62"/>
      <c r="S73" s="62"/>
      <c r="T73" s="5"/>
    </row>
    <row r="74" spans="1:20">
      <c r="A74" s="2" t="s">
        <v>1372</v>
      </c>
      <c r="B74" s="2" t="s">
        <v>1415</v>
      </c>
      <c r="C74" s="2" t="s">
        <v>64</v>
      </c>
      <c r="D74" s="16">
        <v>30</v>
      </c>
      <c r="E74" s="2" t="s">
        <v>1389</v>
      </c>
      <c r="F74" s="2" t="s">
        <v>26</v>
      </c>
      <c r="G74" s="2" t="s">
        <v>1416</v>
      </c>
      <c r="H74" s="17">
        <v>278419</v>
      </c>
      <c r="I74" s="2"/>
      <c r="J74" s="2"/>
      <c r="K74" s="17">
        <v>278419</v>
      </c>
      <c r="L74" s="17">
        <v>29830.61</v>
      </c>
      <c r="M74" s="17">
        <v>248588.39</v>
      </c>
      <c r="N74" s="17">
        <v>278419</v>
      </c>
      <c r="O74" s="2"/>
      <c r="P74" s="2"/>
      <c r="Q74" s="31" t="s">
        <v>25</v>
      </c>
      <c r="R74" s="62"/>
      <c r="S74" s="62"/>
      <c r="T74" s="5"/>
    </row>
    <row r="75" spans="1:20">
      <c r="A75" s="2" t="s">
        <v>1372</v>
      </c>
      <c r="B75" s="2" t="s">
        <v>1417</v>
      </c>
      <c r="C75" s="2" t="s">
        <v>64</v>
      </c>
      <c r="D75" s="16">
        <v>30</v>
      </c>
      <c r="E75" s="2" t="s">
        <v>1389</v>
      </c>
      <c r="F75" s="2" t="s">
        <v>26</v>
      </c>
      <c r="G75" s="2" t="s">
        <v>1418</v>
      </c>
      <c r="H75" s="17">
        <v>872800</v>
      </c>
      <c r="I75" s="2"/>
      <c r="J75" s="2"/>
      <c r="K75" s="17">
        <v>872800</v>
      </c>
      <c r="L75" s="17">
        <v>93514.29</v>
      </c>
      <c r="M75" s="17">
        <v>779285.71</v>
      </c>
      <c r="N75" s="17">
        <v>872800</v>
      </c>
      <c r="O75" s="2"/>
      <c r="P75" s="2"/>
      <c r="Q75" s="31" t="s">
        <v>25</v>
      </c>
      <c r="R75" s="62"/>
      <c r="S75" s="62"/>
      <c r="T75" s="5"/>
    </row>
    <row r="76" spans="1:20">
      <c r="A76" s="2" t="s">
        <v>1372</v>
      </c>
      <c r="B76" s="2" t="s">
        <v>1419</v>
      </c>
      <c r="C76" s="2" t="s">
        <v>64</v>
      </c>
      <c r="D76" s="16">
        <v>30</v>
      </c>
      <c r="E76" s="2" t="s">
        <v>1389</v>
      </c>
      <c r="F76" s="2" t="s">
        <v>26</v>
      </c>
      <c r="G76" s="2" t="s">
        <v>1420</v>
      </c>
      <c r="H76" s="17">
        <v>264274</v>
      </c>
      <c r="I76" s="2"/>
      <c r="J76" s="17">
        <v>35300</v>
      </c>
      <c r="K76" s="17">
        <f>299574-J76</f>
        <v>264274</v>
      </c>
      <c r="L76" s="17">
        <v>32097.21</v>
      </c>
      <c r="M76" s="17">
        <v>267476.78999999998</v>
      </c>
      <c r="N76" s="17">
        <v>299574</v>
      </c>
      <c r="O76" s="2"/>
      <c r="P76" s="2"/>
      <c r="Q76" s="31" t="s">
        <v>25</v>
      </c>
      <c r="R76" s="62"/>
      <c r="S76" s="62"/>
      <c r="T76" s="5"/>
    </row>
    <row r="77" spans="1:20">
      <c r="A77" s="2" t="s">
        <v>1553</v>
      </c>
      <c r="B77" s="2" t="s">
        <v>1586</v>
      </c>
      <c r="C77" s="2" t="s">
        <v>64</v>
      </c>
      <c r="D77" s="16">
        <v>30</v>
      </c>
      <c r="E77" s="2" t="s">
        <v>1569</v>
      </c>
      <c r="F77" s="2" t="s">
        <v>26</v>
      </c>
      <c r="G77" s="2" t="s">
        <v>1420</v>
      </c>
      <c r="H77" s="17">
        <v>264274</v>
      </c>
      <c r="I77" s="2"/>
      <c r="J77" s="17">
        <v>35300</v>
      </c>
      <c r="K77" s="17">
        <f>299574-J77</f>
        <v>264274</v>
      </c>
      <c r="L77" s="17">
        <v>32097.21</v>
      </c>
      <c r="M77" s="17">
        <v>267476.78999999998</v>
      </c>
      <c r="N77" s="17">
        <v>299574</v>
      </c>
      <c r="O77" s="2"/>
      <c r="P77" s="2"/>
      <c r="Q77" s="31" t="s">
        <v>25</v>
      </c>
      <c r="R77" s="63"/>
      <c r="S77" s="63"/>
      <c r="T77" s="5"/>
    </row>
    <row r="78" spans="1:20" hidden="1">
      <c r="A78" s="2" t="s">
        <v>915</v>
      </c>
      <c r="B78" s="2" t="s">
        <v>942</v>
      </c>
      <c r="C78" s="2" t="s">
        <v>104</v>
      </c>
      <c r="D78" s="16">
        <v>0</v>
      </c>
      <c r="E78" s="2" t="s">
        <v>915</v>
      </c>
      <c r="F78" s="2" t="s">
        <v>943</v>
      </c>
      <c r="G78" s="2" t="s">
        <v>944</v>
      </c>
      <c r="H78" s="17">
        <v>7500</v>
      </c>
      <c r="I78" s="2"/>
      <c r="J78" s="17">
        <v>7500</v>
      </c>
      <c r="K78" s="2">
        <v>0</v>
      </c>
      <c r="L78" s="2"/>
      <c r="M78" s="17">
        <v>7500</v>
      </c>
      <c r="N78" s="17">
        <v>7500</v>
      </c>
      <c r="O78" s="2" t="s">
        <v>1768</v>
      </c>
      <c r="P78" s="2"/>
      <c r="Q78" s="31" t="s">
        <v>25</v>
      </c>
      <c r="R78" s="5"/>
      <c r="S78" s="5"/>
      <c r="T78" s="5"/>
    </row>
    <row r="79" spans="1:20">
      <c r="A79" s="2" t="s">
        <v>1048</v>
      </c>
      <c r="B79" s="2" t="s">
        <v>1092</v>
      </c>
      <c r="C79" s="2" t="s">
        <v>60</v>
      </c>
      <c r="D79" s="16">
        <v>0</v>
      </c>
      <c r="E79" s="2" t="s">
        <v>1048</v>
      </c>
      <c r="F79" s="2" t="s">
        <v>1094</v>
      </c>
      <c r="G79" s="2" t="s">
        <v>1095</v>
      </c>
      <c r="H79" s="17">
        <v>220540</v>
      </c>
      <c r="I79" s="2"/>
      <c r="J79" s="2"/>
      <c r="K79" s="17">
        <v>220540</v>
      </c>
      <c r="L79" s="17">
        <v>23629.29</v>
      </c>
      <c r="M79" s="17">
        <v>196910.71</v>
      </c>
      <c r="N79" s="17">
        <v>220540</v>
      </c>
      <c r="O79" s="2"/>
      <c r="P79" s="2"/>
      <c r="Q79" s="31" t="s">
        <v>1093</v>
      </c>
      <c r="R79" s="32">
        <f>+K79</f>
        <v>220540</v>
      </c>
      <c r="S79" s="32">
        <f>+R79</f>
        <v>220540</v>
      </c>
      <c r="T79" s="5"/>
    </row>
    <row r="80" spans="1:20">
      <c r="A80" s="2" t="s">
        <v>368</v>
      </c>
      <c r="B80" s="2" t="s">
        <v>398</v>
      </c>
      <c r="C80" s="2" t="s">
        <v>162</v>
      </c>
      <c r="D80" s="16">
        <v>90</v>
      </c>
      <c r="E80" s="2" t="s">
        <v>383</v>
      </c>
      <c r="F80" s="2" t="s">
        <v>399</v>
      </c>
      <c r="G80" s="2" t="s">
        <v>400</v>
      </c>
      <c r="H80" s="17">
        <v>73090</v>
      </c>
      <c r="I80" s="2"/>
      <c r="J80" s="2"/>
      <c r="K80" s="17">
        <v>73090</v>
      </c>
      <c r="L80" s="17">
        <v>7831.07</v>
      </c>
      <c r="M80" s="17">
        <v>65258.93</v>
      </c>
      <c r="N80" s="17">
        <v>73090</v>
      </c>
      <c r="O80" s="2"/>
      <c r="P80" s="2"/>
      <c r="Q80" s="31" t="s">
        <v>204</v>
      </c>
      <c r="R80" s="64">
        <f>+K80+K81+K82+K83+K84</f>
        <v>206356</v>
      </c>
      <c r="S80" s="61">
        <f>+R80+R85+R87+R88+R90+R92+R93</f>
        <v>1047008</v>
      </c>
      <c r="T80" s="5"/>
    </row>
    <row r="81" spans="1:20">
      <c r="A81" s="2" t="s">
        <v>596</v>
      </c>
      <c r="B81" s="2" t="s">
        <v>616</v>
      </c>
      <c r="C81" s="2" t="s">
        <v>162</v>
      </c>
      <c r="D81" s="16">
        <v>90</v>
      </c>
      <c r="E81" s="2" t="s">
        <v>597</v>
      </c>
      <c r="F81" s="2" t="s">
        <v>399</v>
      </c>
      <c r="G81" s="2" t="s">
        <v>617</v>
      </c>
      <c r="H81" s="17">
        <v>24500</v>
      </c>
      <c r="I81" s="2"/>
      <c r="J81" s="2"/>
      <c r="K81" s="17">
        <v>24500</v>
      </c>
      <c r="L81" s="17">
        <v>2625</v>
      </c>
      <c r="M81" s="17">
        <v>21875</v>
      </c>
      <c r="N81" s="17">
        <v>24500</v>
      </c>
      <c r="O81" s="2"/>
      <c r="P81" s="2"/>
      <c r="Q81" s="31" t="s">
        <v>204</v>
      </c>
      <c r="R81" s="66"/>
      <c r="S81" s="62"/>
      <c r="T81" s="5"/>
    </row>
    <row r="82" spans="1:20">
      <c r="A82" s="2" t="s">
        <v>1467</v>
      </c>
      <c r="B82" s="2" t="s">
        <v>1524</v>
      </c>
      <c r="C82" s="2" t="s">
        <v>162</v>
      </c>
      <c r="D82" s="16">
        <v>90</v>
      </c>
      <c r="E82" s="2" t="s">
        <v>1479</v>
      </c>
      <c r="F82" s="2" t="s">
        <v>399</v>
      </c>
      <c r="G82" s="2" t="s">
        <v>1525</v>
      </c>
      <c r="H82" s="17">
        <v>27447</v>
      </c>
      <c r="I82" s="2"/>
      <c r="J82" s="2"/>
      <c r="K82" s="17">
        <v>27447</v>
      </c>
      <c r="L82" s="17">
        <v>2940.75</v>
      </c>
      <c r="M82" s="17">
        <v>24506.25</v>
      </c>
      <c r="N82" s="17">
        <v>27447</v>
      </c>
      <c r="O82" s="2"/>
      <c r="P82" s="2"/>
      <c r="Q82" s="31" t="s">
        <v>204</v>
      </c>
      <c r="R82" s="66"/>
      <c r="S82" s="62"/>
      <c r="T82" s="5"/>
    </row>
    <row r="83" spans="1:20">
      <c r="A83" s="2" t="s">
        <v>1467</v>
      </c>
      <c r="B83" s="2" t="s">
        <v>1526</v>
      </c>
      <c r="C83" s="2" t="s">
        <v>162</v>
      </c>
      <c r="D83" s="16">
        <v>90</v>
      </c>
      <c r="E83" s="2" t="s">
        <v>1479</v>
      </c>
      <c r="F83" s="2" t="s">
        <v>399</v>
      </c>
      <c r="G83" s="2" t="s">
        <v>1527</v>
      </c>
      <c r="H83" s="17">
        <v>54544</v>
      </c>
      <c r="I83" s="2"/>
      <c r="J83" s="2"/>
      <c r="K83" s="17">
        <v>54544</v>
      </c>
      <c r="L83" s="17">
        <v>5844</v>
      </c>
      <c r="M83" s="17">
        <v>48700</v>
      </c>
      <c r="N83" s="17">
        <v>54544</v>
      </c>
      <c r="O83" s="2"/>
      <c r="P83" s="2"/>
      <c r="Q83" s="31" t="s">
        <v>204</v>
      </c>
      <c r="R83" s="66"/>
      <c r="S83" s="62"/>
      <c r="T83" s="5"/>
    </row>
    <row r="84" spans="1:20">
      <c r="A84" s="2" t="s">
        <v>1467</v>
      </c>
      <c r="B84" s="2" t="s">
        <v>1528</v>
      </c>
      <c r="C84" s="2" t="s">
        <v>162</v>
      </c>
      <c r="D84" s="16">
        <v>90</v>
      </c>
      <c r="E84" s="2" t="s">
        <v>1479</v>
      </c>
      <c r="F84" s="2" t="s">
        <v>399</v>
      </c>
      <c r="G84" s="2" t="s">
        <v>1529</v>
      </c>
      <c r="H84" s="17">
        <v>26775</v>
      </c>
      <c r="I84" s="2"/>
      <c r="J84" s="2"/>
      <c r="K84" s="17">
        <v>26775</v>
      </c>
      <c r="L84" s="17">
        <v>2868.75</v>
      </c>
      <c r="M84" s="17">
        <v>23906.25</v>
      </c>
      <c r="N84" s="17">
        <v>26775</v>
      </c>
      <c r="O84" s="2"/>
      <c r="P84" s="2"/>
      <c r="Q84" s="31" t="s">
        <v>204</v>
      </c>
      <c r="R84" s="65"/>
      <c r="S84" s="62"/>
      <c r="T84" s="5"/>
    </row>
    <row r="85" spans="1:20">
      <c r="A85" s="2" t="s">
        <v>1553</v>
      </c>
      <c r="B85" s="2" t="s">
        <v>1613</v>
      </c>
      <c r="C85" s="2" t="s">
        <v>1011</v>
      </c>
      <c r="D85" s="16">
        <v>60</v>
      </c>
      <c r="E85" s="2" t="s">
        <v>1557</v>
      </c>
      <c r="F85" s="2" t="s">
        <v>1614</v>
      </c>
      <c r="G85" s="2" t="s">
        <v>1615</v>
      </c>
      <c r="H85" s="17">
        <v>163920</v>
      </c>
      <c r="I85" s="2"/>
      <c r="J85" s="2"/>
      <c r="K85" s="17">
        <v>163920</v>
      </c>
      <c r="L85" s="17">
        <v>17562.86</v>
      </c>
      <c r="M85" s="17">
        <v>146357.14000000001</v>
      </c>
      <c r="N85" s="17">
        <v>163920</v>
      </c>
      <c r="O85" s="2"/>
      <c r="P85" s="2"/>
      <c r="Q85" s="31" t="s">
        <v>204</v>
      </c>
      <c r="R85" s="64">
        <f>+K85+K86</f>
        <v>444898</v>
      </c>
      <c r="S85" s="62"/>
      <c r="T85" s="5"/>
    </row>
    <row r="86" spans="1:20">
      <c r="A86" s="2" t="s">
        <v>1553</v>
      </c>
      <c r="B86" s="2" t="s">
        <v>1616</v>
      </c>
      <c r="C86" s="2" t="s">
        <v>1011</v>
      </c>
      <c r="D86" s="16">
        <v>60</v>
      </c>
      <c r="E86" s="2" t="s">
        <v>1557</v>
      </c>
      <c r="F86" s="2" t="s">
        <v>1614</v>
      </c>
      <c r="G86" s="2" t="s">
        <v>1617</v>
      </c>
      <c r="H86" s="17">
        <v>280978</v>
      </c>
      <c r="I86" s="2"/>
      <c r="J86" s="2"/>
      <c r="K86" s="17">
        <v>280978</v>
      </c>
      <c r="L86" s="17">
        <v>30104.79</v>
      </c>
      <c r="M86" s="17">
        <v>250873.21</v>
      </c>
      <c r="N86" s="17">
        <v>280978</v>
      </c>
      <c r="O86" s="2"/>
      <c r="P86" s="2"/>
      <c r="Q86" s="31" t="s">
        <v>204</v>
      </c>
      <c r="R86" s="65"/>
      <c r="S86" s="62"/>
      <c r="T86" s="5"/>
    </row>
    <row r="87" spans="1:20">
      <c r="A87" s="2" t="s">
        <v>199</v>
      </c>
      <c r="B87" s="2" t="s">
        <v>203</v>
      </c>
      <c r="C87" s="2" t="s">
        <v>34</v>
      </c>
      <c r="D87" s="16">
        <v>60</v>
      </c>
      <c r="E87" s="2" t="s">
        <v>200</v>
      </c>
      <c r="F87" s="2" t="s">
        <v>205</v>
      </c>
      <c r="G87" s="2" t="s">
        <v>206</v>
      </c>
      <c r="H87" s="17">
        <v>45500</v>
      </c>
      <c r="I87" s="2"/>
      <c r="J87" s="2"/>
      <c r="K87" s="17">
        <v>45500</v>
      </c>
      <c r="L87" s="17">
        <v>4875</v>
      </c>
      <c r="M87" s="17">
        <v>40625</v>
      </c>
      <c r="N87" s="17">
        <v>45500</v>
      </c>
      <c r="O87" s="2"/>
      <c r="P87" s="2"/>
      <c r="Q87" s="31" t="s">
        <v>204</v>
      </c>
      <c r="R87" s="41">
        <f>+K87</f>
        <v>45500</v>
      </c>
      <c r="S87" s="62"/>
      <c r="T87" s="5"/>
    </row>
    <row r="88" spans="1:20">
      <c r="A88" s="2" t="s">
        <v>1117</v>
      </c>
      <c r="B88" s="2" t="s">
        <v>1155</v>
      </c>
      <c r="C88" s="2" t="s">
        <v>162</v>
      </c>
      <c r="D88" s="16">
        <v>90</v>
      </c>
      <c r="E88" s="2" t="s">
        <v>1156</v>
      </c>
      <c r="F88" s="2" t="s">
        <v>1157</v>
      </c>
      <c r="G88" s="2" t="s">
        <v>1158</v>
      </c>
      <c r="H88" s="17">
        <v>58498</v>
      </c>
      <c r="I88" s="2"/>
      <c r="J88" s="2"/>
      <c r="K88" s="17">
        <v>58498</v>
      </c>
      <c r="L88" s="17">
        <v>6267.64</v>
      </c>
      <c r="M88" s="17">
        <v>52230.36</v>
      </c>
      <c r="N88" s="17">
        <v>58498</v>
      </c>
      <c r="O88" s="2"/>
      <c r="P88" s="2"/>
      <c r="Q88" s="31" t="s">
        <v>204</v>
      </c>
      <c r="R88" s="64">
        <f>+K88+K89</f>
        <v>66802</v>
      </c>
      <c r="S88" s="62"/>
      <c r="T88" s="5"/>
    </row>
    <row r="89" spans="1:20">
      <c r="A89" s="2" t="s">
        <v>1117</v>
      </c>
      <c r="B89" s="2" t="s">
        <v>1159</v>
      </c>
      <c r="C89" s="2" t="s">
        <v>162</v>
      </c>
      <c r="D89" s="16">
        <v>90</v>
      </c>
      <c r="E89" s="2" t="s">
        <v>1156</v>
      </c>
      <c r="F89" s="2" t="s">
        <v>1157</v>
      </c>
      <c r="G89" s="2" t="s">
        <v>1160</v>
      </c>
      <c r="H89" s="17">
        <v>8304</v>
      </c>
      <c r="I89" s="2"/>
      <c r="J89" s="2"/>
      <c r="K89" s="17">
        <v>8304</v>
      </c>
      <c r="L89" s="18">
        <v>889.71</v>
      </c>
      <c r="M89" s="17">
        <v>7414.29</v>
      </c>
      <c r="N89" s="17">
        <v>8304</v>
      </c>
      <c r="O89" s="2"/>
      <c r="P89" s="2"/>
      <c r="Q89" s="31" t="s">
        <v>204</v>
      </c>
      <c r="R89" s="65"/>
      <c r="S89" s="62"/>
      <c r="T89" s="5"/>
    </row>
    <row r="90" spans="1:20">
      <c r="A90" s="2" t="s">
        <v>866</v>
      </c>
      <c r="B90" s="2" t="s">
        <v>903</v>
      </c>
      <c r="C90" s="2" t="s">
        <v>162</v>
      </c>
      <c r="D90" s="16">
        <v>90</v>
      </c>
      <c r="E90" s="2" t="s">
        <v>885</v>
      </c>
      <c r="F90" s="2" t="s">
        <v>904</v>
      </c>
      <c r="G90" s="2" t="s">
        <v>905</v>
      </c>
      <c r="H90" s="17">
        <v>80432</v>
      </c>
      <c r="I90" s="2"/>
      <c r="J90" s="2"/>
      <c r="K90" s="17">
        <v>80432</v>
      </c>
      <c r="L90" s="17">
        <v>8617.7099999999991</v>
      </c>
      <c r="M90" s="17">
        <v>71814.289999999994</v>
      </c>
      <c r="N90" s="17">
        <v>80432</v>
      </c>
      <c r="O90" s="2"/>
      <c r="P90" s="2"/>
      <c r="Q90" s="31" t="s">
        <v>204</v>
      </c>
      <c r="R90" s="64">
        <f>+K90+K91</f>
        <v>121532</v>
      </c>
      <c r="S90" s="62"/>
      <c r="T90" s="5"/>
    </row>
    <row r="91" spans="1:20">
      <c r="A91" s="2" t="s">
        <v>915</v>
      </c>
      <c r="B91" s="2" t="s">
        <v>945</v>
      </c>
      <c r="C91" s="2" t="s">
        <v>162</v>
      </c>
      <c r="D91" s="16">
        <v>90</v>
      </c>
      <c r="E91" s="2" t="s">
        <v>924</v>
      </c>
      <c r="F91" s="2" t="s">
        <v>904</v>
      </c>
      <c r="G91" s="2" t="s">
        <v>946</v>
      </c>
      <c r="H91" s="17">
        <v>41100</v>
      </c>
      <c r="I91" s="2"/>
      <c r="J91" s="2"/>
      <c r="K91" s="17">
        <v>41100</v>
      </c>
      <c r="L91" s="17">
        <v>4403.57</v>
      </c>
      <c r="M91" s="17">
        <v>36696.43</v>
      </c>
      <c r="N91" s="17">
        <v>41100</v>
      </c>
      <c r="O91" s="2"/>
      <c r="P91" s="2"/>
      <c r="Q91" s="31" t="s">
        <v>204</v>
      </c>
      <c r="R91" s="65"/>
      <c r="S91" s="62"/>
      <c r="T91" s="5"/>
    </row>
    <row r="92" spans="1:20">
      <c r="A92" s="2" t="s">
        <v>1372</v>
      </c>
      <c r="B92" s="2" t="s">
        <v>1375</v>
      </c>
      <c r="C92" s="2" t="s">
        <v>162</v>
      </c>
      <c r="D92" s="16">
        <v>90</v>
      </c>
      <c r="E92" s="2" t="s">
        <v>1376</v>
      </c>
      <c r="F92" s="2" t="s">
        <v>1377</v>
      </c>
      <c r="G92" s="2" t="s">
        <v>1378</v>
      </c>
      <c r="H92" s="17">
        <v>116200</v>
      </c>
      <c r="I92" s="2"/>
      <c r="J92" s="2"/>
      <c r="K92" s="17">
        <v>116200</v>
      </c>
      <c r="L92" s="17">
        <v>12450</v>
      </c>
      <c r="M92" s="17">
        <v>103750</v>
      </c>
      <c r="N92" s="17">
        <v>116200</v>
      </c>
      <c r="O92" s="2"/>
      <c r="P92" s="2"/>
      <c r="Q92" s="31" t="s">
        <v>204</v>
      </c>
      <c r="R92" s="41">
        <f>+K92</f>
        <v>116200</v>
      </c>
      <c r="S92" s="62"/>
      <c r="T92" s="5"/>
    </row>
    <row r="93" spans="1:20">
      <c r="A93" s="2" t="s">
        <v>1287</v>
      </c>
      <c r="B93" s="2" t="s">
        <v>1314</v>
      </c>
      <c r="C93" s="2" t="s">
        <v>162</v>
      </c>
      <c r="D93" s="16">
        <v>90</v>
      </c>
      <c r="E93" s="2" t="s">
        <v>1315</v>
      </c>
      <c r="F93" s="2" t="s">
        <v>1316</v>
      </c>
      <c r="G93" s="2" t="s">
        <v>1317</v>
      </c>
      <c r="H93" s="17">
        <v>45720</v>
      </c>
      <c r="I93" s="2"/>
      <c r="J93" s="2"/>
      <c r="K93" s="17">
        <v>45720</v>
      </c>
      <c r="L93" s="17">
        <v>4898.57</v>
      </c>
      <c r="M93" s="17">
        <v>40821.43</v>
      </c>
      <c r="N93" s="17">
        <v>45720</v>
      </c>
      <c r="O93" s="2"/>
      <c r="P93" s="2"/>
      <c r="Q93" s="31" t="s">
        <v>204</v>
      </c>
      <c r="R93" s="39">
        <f>+K93</f>
        <v>45720</v>
      </c>
      <c r="S93" s="63"/>
      <c r="T93" s="5"/>
    </row>
    <row r="94" spans="1:20">
      <c r="A94" s="2" t="s">
        <v>1553</v>
      </c>
      <c r="B94" s="2" t="s">
        <v>1579</v>
      </c>
      <c r="C94" s="2" t="s">
        <v>146</v>
      </c>
      <c r="D94" s="16">
        <v>90</v>
      </c>
      <c r="E94" s="2" t="s">
        <v>1554</v>
      </c>
      <c r="F94" s="2" t="s">
        <v>1580</v>
      </c>
      <c r="G94" s="2" t="s">
        <v>1581</v>
      </c>
      <c r="H94" s="17">
        <v>2105000</v>
      </c>
      <c r="I94" s="2"/>
      <c r="J94" s="2"/>
      <c r="K94" s="17">
        <v>2105000</v>
      </c>
      <c r="L94" s="17">
        <v>225535.71</v>
      </c>
      <c r="M94" s="17">
        <v>1879464.29</v>
      </c>
      <c r="N94" s="17">
        <v>2105000</v>
      </c>
      <c r="O94" s="2"/>
      <c r="P94" s="2"/>
      <c r="Q94" s="31" t="s">
        <v>759</v>
      </c>
      <c r="R94" s="61">
        <f>+K94+K95</f>
        <v>3601900</v>
      </c>
      <c r="S94" s="61">
        <f>+R94+R96+R99+R100+R102</f>
        <v>8375219</v>
      </c>
      <c r="T94" s="5"/>
    </row>
    <row r="95" spans="1:20">
      <c r="A95" s="2" t="s">
        <v>1553</v>
      </c>
      <c r="B95" s="2" t="s">
        <v>1582</v>
      </c>
      <c r="C95" s="2" t="s">
        <v>146</v>
      </c>
      <c r="D95" s="16">
        <v>90</v>
      </c>
      <c r="E95" s="2" t="s">
        <v>1554</v>
      </c>
      <c r="F95" s="2" t="s">
        <v>1580</v>
      </c>
      <c r="G95" s="2" t="s">
        <v>1583</v>
      </c>
      <c r="H95" s="17">
        <v>1496900</v>
      </c>
      <c r="I95" s="2"/>
      <c r="J95" s="2"/>
      <c r="K95" s="17">
        <v>1496900</v>
      </c>
      <c r="L95" s="17">
        <v>160382.14000000001</v>
      </c>
      <c r="M95" s="17">
        <v>1336517.8600000001</v>
      </c>
      <c r="N95" s="17">
        <v>1496900</v>
      </c>
      <c r="O95" s="2"/>
      <c r="P95" s="2"/>
      <c r="Q95" s="31" t="s">
        <v>759</v>
      </c>
      <c r="R95" s="63"/>
      <c r="S95" s="62"/>
      <c r="T95" s="5"/>
    </row>
    <row r="96" spans="1:20">
      <c r="A96" s="2" t="s">
        <v>689</v>
      </c>
      <c r="B96" s="2" t="s">
        <v>758</v>
      </c>
      <c r="C96" s="2" t="s">
        <v>237</v>
      </c>
      <c r="D96" s="16">
        <v>60</v>
      </c>
      <c r="E96" s="2" t="s">
        <v>692</v>
      </c>
      <c r="F96" s="2" t="s">
        <v>760</v>
      </c>
      <c r="G96" s="2" t="s">
        <v>761</v>
      </c>
      <c r="H96" s="17">
        <v>89550</v>
      </c>
      <c r="I96" s="2"/>
      <c r="J96" s="2"/>
      <c r="K96" s="17">
        <v>89550</v>
      </c>
      <c r="L96" s="17">
        <v>9594.64</v>
      </c>
      <c r="M96" s="17">
        <v>79955.360000000001</v>
      </c>
      <c r="N96" s="17">
        <v>89550</v>
      </c>
      <c r="O96" s="2"/>
      <c r="P96" s="2"/>
      <c r="Q96" s="31" t="s">
        <v>759</v>
      </c>
      <c r="R96" s="61">
        <f>+K96+K97+K98</f>
        <v>574350</v>
      </c>
      <c r="S96" s="62"/>
      <c r="T96" s="5"/>
    </row>
    <row r="97" spans="1:20">
      <c r="A97" s="2" t="s">
        <v>1372</v>
      </c>
      <c r="B97" s="2" t="s">
        <v>1426</v>
      </c>
      <c r="C97" s="2" t="s">
        <v>237</v>
      </c>
      <c r="D97" s="16">
        <v>60</v>
      </c>
      <c r="E97" s="2" t="s">
        <v>1373</v>
      </c>
      <c r="F97" s="2" t="s">
        <v>760</v>
      </c>
      <c r="G97" s="2" t="s">
        <v>1427</v>
      </c>
      <c r="H97" s="17">
        <v>242400</v>
      </c>
      <c r="I97" s="2"/>
      <c r="J97" s="2"/>
      <c r="K97" s="17">
        <v>242400</v>
      </c>
      <c r="L97" s="17">
        <v>25971.43</v>
      </c>
      <c r="M97" s="17">
        <v>216428.57</v>
      </c>
      <c r="N97" s="17">
        <v>242400</v>
      </c>
      <c r="O97" s="2"/>
      <c r="P97" s="2"/>
      <c r="Q97" s="31" t="s">
        <v>759</v>
      </c>
      <c r="R97" s="62"/>
      <c r="S97" s="62"/>
      <c r="T97" s="5"/>
    </row>
    <row r="98" spans="1:20">
      <c r="A98" s="2" t="s">
        <v>1372</v>
      </c>
      <c r="B98" s="2" t="s">
        <v>1428</v>
      </c>
      <c r="C98" s="2" t="s">
        <v>237</v>
      </c>
      <c r="D98" s="16">
        <v>60</v>
      </c>
      <c r="E98" s="2" t="s">
        <v>1373</v>
      </c>
      <c r="F98" s="2" t="s">
        <v>760</v>
      </c>
      <c r="G98" s="2" t="s">
        <v>1429</v>
      </c>
      <c r="H98" s="17">
        <v>242400</v>
      </c>
      <c r="I98" s="2"/>
      <c r="J98" s="2"/>
      <c r="K98" s="17">
        <v>242400</v>
      </c>
      <c r="L98" s="17">
        <v>25971.43</v>
      </c>
      <c r="M98" s="17">
        <v>216428.57</v>
      </c>
      <c r="N98" s="17">
        <v>242400</v>
      </c>
      <c r="O98" s="2"/>
      <c r="P98" s="2"/>
      <c r="Q98" s="31" t="s">
        <v>759</v>
      </c>
      <c r="R98" s="63"/>
      <c r="S98" s="62"/>
      <c r="T98" s="5"/>
    </row>
    <row r="99" spans="1:20">
      <c r="A99" s="2" t="s">
        <v>1217</v>
      </c>
      <c r="B99" s="2" t="s">
        <v>1254</v>
      </c>
      <c r="C99" s="2" t="s">
        <v>146</v>
      </c>
      <c r="D99" s="16">
        <v>90</v>
      </c>
      <c r="E99" s="2" t="s">
        <v>1235</v>
      </c>
      <c r="F99" s="2" t="s">
        <v>1255</v>
      </c>
      <c r="G99" s="2" t="s">
        <v>1256</v>
      </c>
      <c r="H99" s="17">
        <v>2280000</v>
      </c>
      <c r="I99" s="2"/>
      <c r="J99" s="2"/>
      <c r="K99" s="17">
        <v>2280000</v>
      </c>
      <c r="L99" s="17">
        <v>244285.71</v>
      </c>
      <c r="M99" s="17">
        <v>2035714.29</v>
      </c>
      <c r="N99" s="17">
        <v>2280000</v>
      </c>
      <c r="O99" s="2"/>
      <c r="P99" s="2"/>
      <c r="Q99" s="31" t="s">
        <v>759</v>
      </c>
      <c r="R99" s="32">
        <f>+K99</f>
        <v>2280000</v>
      </c>
      <c r="S99" s="62"/>
      <c r="T99" s="5"/>
    </row>
    <row r="100" spans="1:20">
      <c r="A100" s="2" t="s">
        <v>689</v>
      </c>
      <c r="B100" s="2" t="s">
        <v>765</v>
      </c>
      <c r="C100" s="2" t="s">
        <v>146</v>
      </c>
      <c r="D100" s="16">
        <v>90</v>
      </c>
      <c r="E100" s="2" t="s">
        <v>751</v>
      </c>
      <c r="F100" s="2" t="s">
        <v>766</v>
      </c>
      <c r="G100" s="2" t="s">
        <v>767</v>
      </c>
      <c r="H100" s="17">
        <v>89550</v>
      </c>
      <c r="I100" s="2"/>
      <c r="J100" s="2"/>
      <c r="K100" s="17">
        <v>89550</v>
      </c>
      <c r="L100" s="17">
        <v>9594.64</v>
      </c>
      <c r="M100" s="17">
        <v>79955.360000000001</v>
      </c>
      <c r="N100" s="17">
        <v>89550</v>
      </c>
      <c r="O100" s="2"/>
      <c r="P100" s="2"/>
      <c r="Q100" s="31" t="s">
        <v>759</v>
      </c>
      <c r="R100" s="61">
        <f>+K100+K101</f>
        <v>331911</v>
      </c>
      <c r="S100" s="62"/>
      <c r="T100" s="5"/>
    </row>
    <row r="101" spans="1:20">
      <c r="A101" s="2" t="s">
        <v>915</v>
      </c>
      <c r="B101" s="2" t="s">
        <v>923</v>
      </c>
      <c r="C101" s="2" t="s">
        <v>146</v>
      </c>
      <c r="D101" s="16">
        <v>90</v>
      </c>
      <c r="E101" s="2" t="s">
        <v>924</v>
      </c>
      <c r="F101" s="2" t="s">
        <v>766</v>
      </c>
      <c r="G101" s="2" t="s">
        <v>925</v>
      </c>
      <c r="H101" s="17">
        <v>242361</v>
      </c>
      <c r="I101" s="2"/>
      <c r="J101" s="2"/>
      <c r="K101" s="17">
        <v>242361</v>
      </c>
      <c r="L101" s="17">
        <v>25967.25</v>
      </c>
      <c r="M101" s="17">
        <v>216393.75</v>
      </c>
      <c r="N101" s="17">
        <v>242361</v>
      </c>
      <c r="O101" s="2"/>
      <c r="P101" s="2"/>
      <c r="Q101" s="31" t="s">
        <v>759</v>
      </c>
      <c r="R101" s="63"/>
      <c r="S101" s="62"/>
      <c r="T101" s="5"/>
    </row>
    <row r="102" spans="1:20">
      <c r="A102" s="2" t="s">
        <v>689</v>
      </c>
      <c r="B102" s="2" t="s">
        <v>762</v>
      </c>
      <c r="C102" s="2" t="s">
        <v>146</v>
      </c>
      <c r="D102" s="16">
        <v>90</v>
      </c>
      <c r="E102" s="2" t="s">
        <v>751</v>
      </c>
      <c r="F102" s="2" t="s">
        <v>763</v>
      </c>
      <c r="G102" s="2" t="s">
        <v>764</v>
      </c>
      <c r="H102" s="17">
        <v>49500</v>
      </c>
      <c r="I102" s="2"/>
      <c r="J102" s="2"/>
      <c r="K102" s="17">
        <v>49500</v>
      </c>
      <c r="L102" s="17">
        <v>5303.57</v>
      </c>
      <c r="M102" s="17">
        <v>44196.43</v>
      </c>
      <c r="N102" s="17">
        <v>49500</v>
      </c>
      <c r="O102" s="2"/>
      <c r="P102" s="2"/>
      <c r="Q102" s="31" t="s">
        <v>759</v>
      </c>
      <c r="R102" s="61">
        <f>+K102+K103+K104+K105</f>
        <v>1587058</v>
      </c>
      <c r="S102" s="62"/>
      <c r="T102" s="5"/>
    </row>
    <row r="103" spans="1:20">
      <c r="A103" s="2" t="s">
        <v>971</v>
      </c>
      <c r="B103" s="2" t="s">
        <v>985</v>
      </c>
      <c r="C103" s="2" t="s">
        <v>162</v>
      </c>
      <c r="D103" s="16">
        <v>90</v>
      </c>
      <c r="E103" s="2" t="s">
        <v>986</v>
      </c>
      <c r="F103" s="2" t="s">
        <v>763</v>
      </c>
      <c r="G103" s="2" t="s">
        <v>987</v>
      </c>
      <c r="H103" s="17">
        <v>20070</v>
      </c>
      <c r="I103" s="2"/>
      <c r="J103" s="2"/>
      <c r="K103" s="17">
        <v>20070</v>
      </c>
      <c r="L103" s="17">
        <v>2150.36</v>
      </c>
      <c r="M103" s="17">
        <v>17919.64</v>
      </c>
      <c r="N103" s="17">
        <v>20070</v>
      </c>
      <c r="O103" s="2"/>
      <c r="P103" s="2"/>
      <c r="Q103" s="31" t="s">
        <v>759</v>
      </c>
      <c r="R103" s="62"/>
      <c r="S103" s="62"/>
      <c r="T103" s="5"/>
    </row>
    <row r="104" spans="1:20">
      <c r="A104" s="2" t="s">
        <v>971</v>
      </c>
      <c r="B104" s="2" t="s">
        <v>988</v>
      </c>
      <c r="C104" s="2" t="s">
        <v>162</v>
      </c>
      <c r="D104" s="16">
        <v>90</v>
      </c>
      <c r="E104" s="2" t="s">
        <v>986</v>
      </c>
      <c r="F104" s="2" t="s">
        <v>763</v>
      </c>
      <c r="G104" s="2" t="s">
        <v>989</v>
      </c>
      <c r="H104" s="17">
        <v>781060</v>
      </c>
      <c r="I104" s="2"/>
      <c r="J104" s="2"/>
      <c r="K104" s="17">
        <v>781060</v>
      </c>
      <c r="L104" s="17">
        <v>83685</v>
      </c>
      <c r="M104" s="17">
        <v>697375</v>
      </c>
      <c r="N104" s="17">
        <v>781060</v>
      </c>
      <c r="O104" s="2"/>
      <c r="P104" s="2"/>
      <c r="Q104" s="31" t="s">
        <v>759</v>
      </c>
      <c r="R104" s="62"/>
      <c r="S104" s="62"/>
      <c r="T104" s="5"/>
    </row>
    <row r="105" spans="1:20">
      <c r="A105" s="2" t="s">
        <v>1467</v>
      </c>
      <c r="B105" s="2" t="s">
        <v>1522</v>
      </c>
      <c r="C105" s="2" t="s">
        <v>162</v>
      </c>
      <c r="D105" s="16">
        <v>90</v>
      </c>
      <c r="E105" s="2" t="s">
        <v>1479</v>
      </c>
      <c r="F105" s="2" t="s">
        <v>763</v>
      </c>
      <c r="G105" s="2" t="s">
        <v>1523</v>
      </c>
      <c r="H105" s="17">
        <v>736428</v>
      </c>
      <c r="I105" s="2"/>
      <c r="J105" s="2"/>
      <c r="K105" s="17">
        <v>736428</v>
      </c>
      <c r="L105" s="17">
        <v>78903</v>
      </c>
      <c r="M105" s="17">
        <v>657525</v>
      </c>
      <c r="N105" s="17">
        <v>736428</v>
      </c>
      <c r="O105" s="2"/>
      <c r="P105" s="2"/>
      <c r="Q105" s="31" t="s">
        <v>759</v>
      </c>
      <c r="R105" s="63"/>
      <c r="S105" s="63"/>
      <c r="T105" s="5"/>
    </row>
    <row r="106" spans="1:20">
      <c r="A106" s="2" t="s">
        <v>368</v>
      </c>
      <c r="B106" s="2" t="s">
        <v>422</v>
      </c>
      <c r="C106" s="2" t="s">
        <v>162</v>
      </c>
      <c r="D106" s="16">
        <v>90</v>
      </c>
      <c r="E106" s="2" t="s">
        <v>383</v>
      </c>
      <c r="F106" s="2" t="s">
        <v>424</v>
      </c>
      <c r="G106" s="2" t="s">
        <v>425</v>
      </c>
      <c r="H106" s="17">
        <v>32000</v>
      </c>
      <c r="I106" s="2"/>
      <c r="J106" s="2"/>
      <c r="K106" s="17">
        <v>32000</v>
      </c>
      <c r="L106" s="17">
        <v>3428.57</v>
      </c>
      <c r="M106" s="17">
        <v>28571.43</v>
      </c>
      <c r="N106" s="17">
        <v>32000</v>
      </c>
      <c r="O106" s="2"/>
      <c r="P106" s="2"/>
      <c r="Q106" s="31" t="s">
        <v>423</v>
      </c>
      <c r="R106" s="61">
        <f>+K106+K107+K108</f>
        <v>137000</v>
      </c>
      <c r="S106" s="61">
        <f>+R106</f>
        <v>137000</v>
      </c>
      <c r="T106" s="5"/>
    </row>
    <row r="107" spans="1:20">
      <c r="A107" s="2" t="s">
        <v>637</v>
      </c>
      <c r="B107" s="2" t="s">
        <v>675</v>
      </c>
      <c r="C107" s="2" t="s">
        <v>162</v>
      </c>
      <c r="D107" s="16">
        <v>90</v>
      </c>
      <c r="E107" s="2" t="s">
        <v>655</v>
      </c>
      <c r="F107" s="2" t="s">
        <v>424</v>
      </c>
      <c r="G107" s="2" t="s">
        <v>676</v>
      </c>
      <c r="H107" s="17">
        <v>88200</v>
      </c>
      <c r="I107" s="2"/>
      <c r="J107" s="2"/>
      <c r="K107" s="17">
        <v>88200</v>
      </c>
      <c r="L107" s="17">
        <v>9450</v>
      </c>
      <c r="M107" s="17">
        <v>78750</v>
      </c>
      <c r="N107" s="17">
        <v>88200</v>
      </c>
      <c r="O107" s="2"/>
      <c r="P107" s="2"/>
      <c r="Q107" s="31" t="s">
        <v>423</v>
      </c>
      <c r="R107" s="62"/>
      <c r="S107" s="62"/>
      <c r="T107" s="5"/>
    </row>
    <row r="108" spans="1:20">
      <c r="A108" s="2" t="s">
        <v>1287</v>
      </c>
      <c r="B108" s="2" t="s">
        <v>1369</v>
      </c>
      <c r="C108" s="2" t="s">
        <v>162</v>
      </c>
      <c r="D108" s="16">
        <v>90</v>
      </c>
      <c r="E108" s="2" t="s">
        <v>1315</v>
      </c>
      <c r="F108" s="2" t="s">
        <v>424</v>
      </c>
      <c r="G108" s="2" t="s">
        <v>1370</v>
      </c>
      <c r="H108" s="17">
        <v>16800</v>
      </c>
      <c r="I108" s="2"/>
      <c r="J108" s="2"/>
      <c r="K108" s="17">
        <v>16800</v>
      </c>
      <c r="L108" s="17">
        <v>1800</v>
      </c>
      <c r="M108" s="17">
        <v>15000</v>
      </c>
      <c r="N108" s="17">
        <v>16800</v>
      </c>
      <c r="O108" s="2"/>
      <c r="P108" s="2"/>
      <c r="Q108" s="31" t="s">
        <v>423</v>
      </c>
      <c r="R108" s="63"/>
      <c r="S108" s="63"/>
      <c r="T108" s="5"/>
    </row>
    <row r="109" spans="1:20">
      <c r="A109" s="2" t="s">
        <v>368</v>
      </c>
      <c r="B109" s="2" t="s">
        <v>405</v>
      </c>
      <c r="C109" s="2" t="s">
        <v>60</v>
      </c>
      <c r="D109" s="16">
        <v>0</v>
      </c>
      <c r="E109" s="2" t="s">
        <v>368</v>
      </c>
      <c r="F109" s="2" t="s">
        <v>406</v>
      </c>
      <c r="G109" s="2" t="s">
        <v>407</v>
      </c>
      <c r="H109" s="17">
        <v>117600</v>
      </c>
      <c r="I109" s="19">
        <v>-3528</v>
      </c>
      <c r="J109" s="2"/>
      <c r="K109" s="17">
        <v>114072</v>
      </c>
      <c r="L109" s="17">
        <v>12222</v>
      </c>
      <c r="M109" s="17">
        <v>101850</v>
      </c>
      <c r="N109" s="17">
        <v>114072</v>
      </c>
      <c r="O109" s="2"/>
      <c r="P109" s="2"/>
      <c r="Q109" s="31" t="s">
        <v>30</v>
      </c>
      <c r="R109" s="64">
        <f>+K109+K110</f>
        <v>820232</v>
      </c>
      <c r="S109" s="61">
        <f>+R109+R111+R114+R115+R116+R118+R119+R120+R122+R125+R126+R132+R133+R134+R174+R176+R179+R183+R184+R195+R200</f>
        <v>16117059.59</v>
      </c>
      <c r="T109" s="5"/>
    </row>
    <row r="110" spans="1:20">
      <c r="A110" s="2" t="s">
        <v>1553</v>
      </c>
      <c r="B110" s="2" t="s">
        <v>1591</v>
      </c>
      <c r="C110" s="2" t="s">
        <v>60</v>
      </c>
      <c r="D110" s="16">
        <v>0</v>
      </c>
      <c r="E110" s="2" t="s">
        <v>1553</v>
      </c>
      <c r="F110" s="2" t="s">
        <v>406</v>
      </c>
      <c r="G110" s="2" t="s">
        <v>1592</v>
      </c>
      <c r="H110" s="17">
        <v>728000</v>
      </c>
      <c r="I110" s="19">
        <v>-21840</v>
      </c>
      <c r="J110" s="2"/>
      <c r="K110" s="17">
        <v>706160</v>
      </c>
      <c r="L110" s="17">
        <v>75660</v>
      </c>
      <c r="M110" s="17">
        <v>630500</v>
      </c>
      <c r="N110" s="17">
        <v>706160</v>
      </c>
      <c r="O110" s="2"/>
      <c r="P110" s="2"/>
      <c r="Q110" s="31" t="s">
        <v>30</v>
      </c>
      <c r="R110" s="65"/>
      <c r="S110" s="62"/>
      <c r="T110" s="5"/>
    </row>
    <row r="111" spans="1:20">
      <c r="A111" s="2" t="s">
        <v>448</v>
      </c>
      <c r="B111" s="2" t="s">
        <v>489</v>
      </c>
      <c r="C111" s="2" t="s">
        <v>104</v>
      </c>
      <c r="D111" s="16">
        <v>0</v>
      </c>
      <c r="E111" s="2" t="s">
        <v>448</v>
      </c>
      <c r="F111" s="2" t="s">
        <v>490</v>
      </c>
      <c r="G111" s="2" t="s">
        <v>491</v>
      </c>
      <c r="H111" s="17">
        <v>625460</v>
      </c>
      <c r="I111" s="2"/>
      <c r="J111" s="2"/>
      <c r="K111" s="17">
        <v>625460</v>
      </c>
      <c r="L111" s="17">
        <v>67013.570000000007</v>
      </c>
      <c r="M111" s="17">
        <v>558446.43000000005</v>
      </c>
      <c r="N111" s="17">
        <v>625460</v>
      </c>
      <c r="O111" s="2"/>
      <c r="P111" s="2"/>
      <c r="Q111" s="31" t="s">
        <v>30</v>
      </c>
      <c r="R111" s="64">
        <f>+K111+K112+K113</f>
        <v>1698032</v>
      </c>
      <c r="S111" s="62"/>
      <c r="T111" s="5"/>
    </row>
    <row r="112" spans="1:20">
      <c r="A112" s="2" t="s">
        <v>689</v>
      </c>
      <c r="B112" s="2" t="s">
        <v>740</v>
      </c>
      <c r="C112" s="2" t="s">
        <v>104</v>
      </c>
      <c r="D112" s="16">
        <v>0</v>
      </c>
      <c r="E112" s="2" t="s">
        <v>689</v>
      </c>
      <c r="F112" s="2" t="s">
        <v>490</v>
      </c>
      <c r="G112" s="2" t="s">
        <v>741</v>
      </c>
      <c r="H112" s="17">
        <v>770100</v>
      </c>
      <c r="I112" s="2"/>
      <c r="J112" s="2"/>
      <c r="K112" s="17">
        <v>770100</v>
      </c>
      <c r="L112" s="17">
        <v>82510.710000000006</v>
      </c>
      <c r="M112" s="17">
        <v>687589.29</v>
      </c>
      <c r="N112" s="17">
        <v>770100</v>
      </c>
      <c r="O112" s="2"/>
      <c r="P112" s="2"/>
      <c r="Q112" s="31" t="s">
        <v>30</v>
      </c>
      <c r="R112" s="66"/>
      <c r="S112" s="62"/>
      <c r="T112" s="5"/>
    </row>
    <row r="113" spans="1:20">
      <c r="A113" s="2" t="s">
        <v>769</v>
      </c>
      <c r="B113" s="2" t="s">
        <v>843</v>
      </c>
      <c r="C113" s="2" t="s">
        <v>104</v>
      </c>
      <c r="D113" s="16">
        <v>0</v>
      </c>
      <c r="E113" s="2" t="s">
        <v>769</v>
      </c>
      <c r="F113" s="2" t="s">
        <v>490</v>
      </c>
      <c r="G113" s="2" t="s">
        <v>844</v>
      </c>
      <c r="H113" s="17">
        <v>302472</v>
      </c>
      <c r="I113" s="2"/>
      <c r="J113" s="2"/>
      <c r="K113" s="17">
        <v>302472</v>
      </c>
      <c r="L113" s="17">
        <v>32407.71</v>
      </c>
      <c r="M113" s="17">
        <v>270064.28999999998</v>
      </c>
      <c r="N113" s="17">
        <v>302472</v>
      </c>
      <c r="O113" s="2"/>
      <c r="P113" s="2"/>
      <c r="Q113" s="31" t="s">
        <v>30</v>
      </c>
      <c r="R113" s="65"/>
      <c r="S113" s="62"/>
      <c r="T113" s="5"/>
    </row>
    <row r="114" spans="1:20">
      <c r="A114" s="2" t="s">
        <v>505</v>
      </c>
      <c r="B114" s="2" t="s">
        <v>585</v>
      </c>
      <c r="C114" s="2" t="s">
        <v>18</v>
      </c>
      <c r="D114" s="16">
        <v>0</v>
      </c>
      <c r="E114" s="2" t="s">
        <v>505</v>
      </c>
      <c r="F114" s="2" t="s">
        <v>586</v>
      </c>
      <c r="G114" s="2" t="s">
        <v>587</v>
      </c>
      <c r="H114" s="17">
        <v>140000</v>
      </c>
      <c r="I114" s="2"/>
      <c r="J114" s="2"/>
      <c r="K114" s="17">
        <v>140000</v>
      </c>
      <c r="L114" s="17">
        <v>15000</v>
      </c>
      <c r="M114" s="17">
        <v>125000</v>
      </c>
      <c r="N114" s="17">
        <v>140000</v>
      </c>
      <c r="O114" s="2"/>
      <c r="P114" s="2"/>
      <c r="Q114" s="31" t="s">
        <v>30</v>
      </c>
      <c r="R114" s="41">
        <f>+K114</f>
        <v>140000</v>
      </c>
      <c r="S114" s="62"/>
      <c r="T114" s="5"/>
    </row>
    <row r="115" spans="1:20">
      <c r="A115" s="2" t="s">
        <v>93</v>
      </c>
      <c r="B115" s="2" t="s">
        <v>131</v>
      </c>
      <c r="C115" s="2" t="s">
        <v>132</v>
      </c>
      <c r="D115" s="16">
        <v>0</v>
      </c>
      <c r="E115" s="2" t="s">
        <v>93</v>
      </c>
      <c r="F115" s="2" t="s">
        <v>133</v>
      </c>
      <c r="G115" s="2" t="s">
        <v>134</v>
      </c>
      <c r="H115" s="17">
        <v>55350</v>
      </c>
      <c r="I115" s="2"/>
      <c r="J115" s="2"/>
      <c r="K115" s="17">
        <v>55350</v>
      </c>
      <c r="L115" s="17">
        <v>5930.36</v>
      </c>
      <c r="M115" s="17">
        <v>49419.64</v>
      </c>
      <c r="N115" s="17">
        <v>55350</v>
      </c>
      <c r="O115" s="2"/>
      <c r="P115" s="2"/>
      <c r="Q115" s="31" t="s">
        <v>30</v>
      </c>
      <c r="R115" s="41">
        <f>+K115</f>
        <v>55350</v>
      </c>
      <c r="S115" s="62"/>
      <c r="T115" s="5"/>
    </row>
    <row r="116" spans="1:20">
      <c r="A116" s="2" t="s">
        <v>93</v>
      </c>
      <c r="B116" s="2" t="s">
        <v>183</v>
      </c>
      <c r="C116" s="2" t="s">
        <v>60</v>
      </c>
      <c r="D116" s="16">
        <v>0</v>
      </c>
      <c r="E116" s="2" t="s">
        <v>93</v>
      </c>
      <c r="F116" s="2" t="s">
        <v>184</v>
      </c>
      <c r="G116" s="2" t="s">
        <v>185</v>
      </c>
      <c r="H116" s="17">
        <v>110631.75</v>
      </c>
      <c r="I116" s="2"/>
      <c r="J116" s="2"/>
      <c r="K116" s="17">
        <v>110631.75</v>
      </c>
      <c r="L116" s="17">
        <v>11853.4</v>
      </c>
      <c r="M116" s="17">
        <v>98778.35</v>
      </c>
      <c r="N116" s="17">
        <v>110631.75</v>
      </c>
      <c r="O116" s="2"/>
      <c r="P116" s="2"/>
      <c r="Q116" s="31" t="s">
        <v>30</v>
      </c>
      <c r="R116" s="64">
        <f>+K116+K117</f>
        <v>315631.75</v>
      </c>
      <c r="S116" s="62"/>
      <c r="T116" s="5"/>
    </row>
    <row r="117" spans="1:20">
      <c r="A117" s="2" t="s">
        <v>769</v>
      </c>
      <c r="B117" s="2" t="s">
        <v>776</v>
      </c>
      <c r="C117" s="2" t="s">
        <v>60</v>
      </c>
      <c r="D117" s="16">
        <v>0</v>
      </c>
      <c r="E117" s="2" t="s">
        <v>769</v>
      </c>
      <c r="F117" s="2" t="s">
        <v>184</v>
      </c>
      <c r="G117" s="2" t="s">
        <v>777</v>
      </c>
      <c r="H117" s="17">
        <v>205000</v>
      </c>
      <c r="I117" s="2"/>
      <c r="J117" s="2"/>
      <c r="K117" s="17">
        <v>205000</v>
      </c>
      <c r="L117" s="17">
        <v>21964.29</v>
      </c>
      <c r="M117" s="17">
        <v>183035.71</v>
      </c>
      <c r="N117" s="17">
        <v>205000</v>
      </c>
      <c r="O117" s="2"/>
      <c r="P117" s="2"/>
      <c r="Q117" s="31" t="s">
        <v>30</v>
      </c>
      <c r="R117" s="65"/>
      <c r="S117" s="62"/>
      <c r="T117" s="5"/>
    </row>
    <row r="118" spans="1:20">
      <c r="A118" s="2" t="s">
        <v>971</v>
      </c>
      <c r="B118" s="2" t="s">
        <v>970</v>
      </c>
      <c r="C118" s="2" t="s">
        <v>972</v>
      </c>
      <c r="D118" s="16">
        <v>15</v>
      </c>
      <c r="E118" s="2" t="s">
        <v>296</v>
      </c>
      <c r="F118" s="2" t="s">
        <v>973</v>
      </c>
      <c r="G118" s="2" t="s">
        <v>974</v>
      </c>
      <c r="H118" s="17">
        <v>45600</v>
      </c>
      <c r="I118" s="2"/>
      <c r="J118" s="2"/>
      <c r="K118" s="17">
        <v>45600</v>
      </c>
      <c r="L118" s="17">
        <v>4885.71</v>
      </c>
      <c r="M118" s="17">
        <v>40714.29</v>
      </c>
      <c r="N118" s="17">
        <v>45600</v>
      </c>
      <c r="O118" s="2"/>
      <c r="P118" s="2"/>
      <c r="Q118" s="31" t="s">
        <v>30</v>
      </c>
      <c r="R118" s="41">
        <f>+K118</f>
        <v>45600</v>
      </c>
      <c r="S118" s="62"/>
      <c r="T118" s="5"/>
    </row>
    <row r="119" spans="1:20">
      <c r="A119" s="2" t="s">
        <v>1117</v>
      </c>
      <c r="B119" s="2" t="s">
        <v>1148</v>
      </c>
      <c r="C119" s="2" t="s">
        <v>23</v>
      </c>
      <c r="D119" s="16">
        <v>30</v>
      </c>
      <c r="E119" s="2" t="s">
        <v>1118</v>
      </c>
      <c r="F119" s="2" t="s">
        <v>1149</v>
      </c>
      <c r="G119" s="2" t="s">
        <v>1150</v>
      </c>
      <c r="H119" s="17">
        <v>77750</v>
      </c>
      <c r="I119" s="2"/>
      <c r="J119" s="2"/>
      <c r="K119" s="17">
        <v>77750</v>
      </c>
      <c r="L119" s="17">
        <v>8330.36</v>
      </c>
      <c r="M119" s="17">
        <v>69419.64</v>
      </c>
      <c r="N119" s="17">
        <v>77750</v>
      </c>
      <c r="O119" s="2"/>
      <c r="P119" s="2"/>
      <c r="Q119" s="31" t="s">
        <v>30</v>
      </c>
      <c r="R119" s="41">
        <f>+K119</f>
        <v>77750</v>
      </c>
      <c r="S119" s="62"/>
      <c r="T119" s="5"/>
    </row>
    <row r="120" spans="1:20">
      <c r="A120" s="2" t="s">
        <v>368</v>
      </c>
      <c r="B120" s="2" t="s">
        <v>382</v>
      </c>
      <c r="C120" s="2" t="s">
        <v>146</v>
      </c>
      <c r="D120" s="16">
        <v>90</v>
      </c>
      <c r="E120" s="2" t="s">
        <v>383</v>
      </c>
      <c r="F120" s="2" t="s">
        <v>384</v>
      </c>
      <c r="G120" s="2" t="s">
        <v>385</v>
      </c>
      <c r="H120" s="17">
        <v>723750</v>
      </c>
      <c r="I120" s="2"/>
      <c r="J120" s="2"/>
      <c r="K120" s="17">
        <v>723750</v>
      </c>
      <c r="L120" s="17">
        <v>77544.639999999999</v>
      </c>
      <c r="M120" s="17">
        <v>646205.36</v>
      </c>
      <c r="N120" s="17">
        <v>723750</v>
      </c>
      <c r="O120" s="2"/>
      <c r="P120" s="2"/>
      <c r="Q120" s="31" t="s">
        <v>30</v>
      </c>
      <c r="R120" s="64">
        <f>+K120+K121</f>
        <v>2039550</v>
      </c>
      <c r="S120" s="62"/>
      <c r="T120" s="5"/>
    </row>
    <row r="121" spans="1:20">
      <c r="A121" s="2" t="s">
        <v>866</v>
      </c>
      <c r="B121" s="2" t="s">
        <v>893</v>
      </c>
      <c r="C121" s="2" t="s">
        <v>146</v>
      </c>
      <c r="D121" s="16">
        <v>90</v>
      </c>
      <c r="E121" s="2" t="s">
        <v>885</v>
      </c>
      <c r="F121" s="2" t="s">
        <v>384</v>
      </c>
      <c r="G121" s="2" t="s">
        <v>894</v>
      </c>
      <c r="H121" s="17">
        <v>1315800</v>
      </c>
      <c r="I121" s="2"/>
      <c r="J121" s="2"/>
      <c r="K121" s="17">
        <v>1315800</v>
      </c>
      <c r="L121" s="17">
        <v>140978.57</v>
      </c>
      <c r="M121" s="17">
        <v>1174821.43</v>
      </c>
      <c r="N121" s="17">
        <v>1315800</v>
      </c>
      <c r="O121" s="2"/>
      <c r="P121" s="2"/>
      <c r="Q121" s="31" t="s">
        <v>30</v>
      </c>
      <c r="R121" s="65"/>
      <c r="S121" s="62"/>
      <c r="T121" s="5"/>
    </row>
    <row r="122" spans="1:20">
      <c r="A122" s="2" t="s">
        <v>596</v>
      </c>
      <c r="B122" s="2" t="s">
        <v>612</v>
      </c>
      <c r="C122" s="2" t="s">
        <v>151</v>
      </c>
      <c r="D122" s="16">
        <v>60</v>
      </c>
      <c r="E122" s="2" t="s">
        <v>613</v>
      </c>
      <c r="F122" s="2" t="s">
        <v>614</v>
      </c>
      <c r="G122" s="2" t="s">
        <v>615</v>
      </c>
      <c r="H122" s="17">
        <v>75600</v>
      </c>
      <c r="I122" s="2"/>
      <c r="J122" s="2"/>
      <c r="K122" s="17">
        <v>75600</v>
      </c>
      <c r="L122" s="17">
        <v>8100</v>
      </c>
      <c r="M122" s="17">
        <v>67500</v>
      </c>
      <c r="N122" s="17">
        <v>75600</v>
      </c>
      <c r="O122" s="2"/>
      <c r="P122" s="2"/>
      <c r="Q122" s="31" t="s">
        <v>30</v>
      </c>
      <c r="R122" s="64">
        <f>+K122+K123+K124</f>
        <v>156225</v>
      </c>
      <c r="S122" s="62"/>
      <c r="T122" s="5"/>
    </row>
    <row r="123" spans="1:20">
      <c r="A123" s="2" t="s">
        <v>915</v>
      </c>
      <c r="B123" s="2" t="s">
        <v>917</v>
      </c>
      <c r="C123" s="2" t="s">
        <v>151</v>
      </c>
      <c r="D123" s="16">
        <v>60</v>
      </c>
      <c r="E123" s="2" t="s">
        <v>918</v>
      </c>
      <c r="F123" s="2" t="s">
        <v>614</v>
      </c>
      <c r="G123" s="2" t="s">
        <v>919</v>
      </c>
      <c r="H123" s="17">
        <v>48720</v>
      </c>
      <c r="I123" s="2"/>
      <c r="J123" s="2"/>
      <c r="K123" s="17">
        <v>48720</v>
      </c>
      <c r="L123" s="17">
        <v>5220</v>
      </c>
      <c r="M123" s="17">
        <v>43500</v>
      </c>
      <c r="N123" s="17">
        <v>48720</v>
      </c>
      <c r="O123" s="2"/>
      <c r="P123" s="2"/>
      <c r="Q123" s="31" t="s">
        <v>30</v>
      </c>
      <c r="R123" s="66"/>
      <c r="S123" s="62"/>
      <c r="T123" s="5"/>
    </row>
    <row r="124" spans="1:20">
      <c r="A124" s="2" t="s">
        <v>1287</v>
      </c>
      <c r="B124" s="2" t="s">
        <v>1330</v>
      </c>
      <c r="C124" s="2" t="s">
        <v>151</v>
      </c>
      <c r="D124" s="16">
        <v>60</v>
      </c>
      <c r="E124" s="2" t="s">
        <v>1331</v>
      </c>
      <c r="F124" s="2" t="s">
        <v>614</v>
      </c>
      <c r="G124" s="2" t="s">
        <v>1332</v>
      </c>
      <c r="H124" s="17">
        <v>31905</v>
      </c>
      <c r="I124" s="2"/>
      <c r="J124" s="2"/>
      <c r="K124" s="17">
        <v>31905</v>
      </c>
      <c r="L124" s="17">
        <v>3418.39</v>
      </c>
      <c r="M124" s="17">
        <v>28486.61</v>
      </c>
      <c r="N124" s="17">
        <v>31905</v>
      </c>
      <c r="O124" s="2"/>
      <c r="P124" s="2"/>
      <c r="Q124" s="31" t="s">
        <v>30</v>
      </c>
      <c r="R124" s="65"/>
      <c r="S124" s="62"/>
      <c r="T124" s="5"/>
    </row>
    <row r="125" spans="1:20">
      <c r="A125" s="2" t="s">
        <v>1287</v>
      </c>
      <c r="B125" s="2" t="s">
        <v>1333</v>
      </c>
      <c r="C125" s="2" t="s">
        <v>104</v>
      </c>
      <c r="D125" s="16">
        <v>0</v>
      </c>
      <c r="E125" s="2" t="s">
        <v>1287</v>
      </c>
      <c r="F125" s="2" t="s">
        <v>1334</v>
      </c>
      <c r="G125" s="2" t="s">
        <v>1335</v>
      </c>
      <c r="H125" s="17">
        <v>1144800</v>
      </c>
      <c r="I125" s="19">
        <v>-34344</v>
      </c>
      <c r="J125" s="2"/>
      <c r="K125" s="17">
        <v>1110456</v>
      </c>
      <c r="L125" s="17">
        <v>118977.43</v>
      </c>
      <c r="M125" s="17">
        <v>991478.57</v>
      </c>
      <c r="N125" s="17">
        <v>1110456</v>
      </c>
      <c r="O125" s="2"/>
      <c r="P125" s="2"/>
      <c r="Q125" s="31" t="s">
        <v>30</v>
      </c>
      <c r="R125" s="41">
        <f>+K125</f>
        <v>1110456</v>
      </c>
      <c r="S125" s="62"/>
      <c r="T125" s="5"/>
    </row>
    <row r="126" spans="1:20">
      <c r="A126" s="2" t="s">
        <v>199</v>
      </c>
      <c r="B126" s="2" t="s">
        <v>198</v>
      </c>
      <c r="C126" s="2" t="s">
        <v>34</v>
      </c>
      <c r="D126" s="16">
        <v>60</v>
      </c>
      <c r="E126" s="2" t="s">
        <v>200</v>
      </c>
      <c r="F126" s="2" t="s">
        <v>201</v>
      </c>
      <c r="G126" s="2" t="s">
        <v>202</v>
      </c>
      <c r="H126" s="17">
        <v>7200</v>
      </c>
      <c r="I126" s="2"/>
      <c r="J126" s="2"/>
      <c r="K126" s="17">
        <v>7200</v>
      </c>
      <c r="L126" s="18">
        <v>771.43</v>
      </c>
      <c r="M126" s="17">
        <v>6428.57</v>
      </c>
      <c r="N126" s="17">
        <v>7200</v>
      </c>
      <c r="O126" s="2"/>
      <c r="P126" s="2"/>
      <c r="Q126" s="31" t="s">
        <v>30</v>
      </c>
      <c r="R126" s="64">
        <f>+K126+K127+K128+K129+K130+K131</f>
        <v>146340</v>
      </c>
      <c r="S126" s="62"/>
      <c r="T126" s="5"/>
    </row>
    <row r="127" spans="1:20">
      <c r="A127" s="2" t="s">
        <v>368</v>
      </c>
      <c r="B127" s="2" t="s">
        <v>375</v>
      </c>
      <c r="C127" s="2" t="s">
        <v>34</v>
      </c>
      <c r="D127" s="16">
        <v>60</v>
      </c>
      <c r="E127" s="2" t="s">
        <v>376</v>
      </c>
      <c r="F127" s="2" t="s">
        <v>201</v>
      </c>
      <c r="G127" s="2" t="s">
        <v>377</v>
      </c>
      <c r="H127" s="17">
        <v>48000</v>
      </c>
      <c r="I127" s="2"/>
      <c r="J127" s="2"/>
      <c r="K127" s="17">
        <v>48000</v>
      </c>
      <c r="L127" s="17">
        <v>5142.8599999999997</v>
      </c>
      <c r="M127" s="17">
        <v>42857.14</v>
      </c>
      <c r="N127" s="17">
        <v>48000</v>
      </c>
      <c r="O127" s="2"/>
      <c r="P127" s="2"/>
      <c r="Q127" s="31" t="s">
        <v>30</v>
      </c>
      <c r="R127" s="66"/>
      <c r="S127" s="62"/>
      <c r="T127" s="5"/>
    </row>
    <row r="128" spans="1:20">
      <c r="A128" s="2" t="s">
        <v>505</v>
      </c>
      <c r="B128" s="2" t="s">
        <v>508</v>
      </c>
      <c r="C128" s="2" t="s">
        <v>34</v>
      </c>
      <c r="D128" s="16">
        <v>60</v>
      </c>
      <c r="E128" s="2" t="s">
        <v>509</v>
      </c>
      <c r="F128" s="2" t="s">
        <v>201</v>
      </c>
      <c r="G128" s="2" t="s">
        <v>510</v>
      </c>
      <c r="H128" s="17">
        <v>60000</v>
      </c>
      <c r="I128" s="2"/>
      <c r="J128" s="2"/>
      <c r="K128" s="17">
        <v>60000</v>
      </c>
      <c r="L128" s="17">
        <v>6428.57</v>
      </c>
      <c r="M128" s="17">
        <v>53571.43</v>
      </c>
      <c r="N128" s="17">
        <v>60000</v>
      </c>
      <c r="O128" s="2"/>
      <c r="P128" s="2"/>
      <c r="Q128" s="31" t="s">
        <v>30</v>
      </c>
      <c r="R128" s="66"/>
      <c r="S128" s="62"/>
      <c r="T128" s="5"/>
    </row>
    <row r="129" spans="1:20">
      <c r="A129" s="2" t="s">
        <v>689</v>
      </c>
      <c r="B129" s="2" t="s">
        <v>709</v>
      </c>
      <c r="C129" s="2" t="s">
        <v>34</v>
      </c>
      <c r="D129" s="16">
        <v>60</v>
      </c>
      <c r="E129" s="2" t="s">
        <v>692</v>
      </c>
      <c r="F129" s="2" t="s">
        <v>201</v>
      </c>
      <c r="G129" s="2" t="s">
        <v>710</v>
      </c>
      <c r="H129" s="17">
        <v>9540</v>
      </c>
      <c r="I129" s="2"/>
      <c r="J129" s="2"/>
      <c r="K129" s="17">
        <v>9540</v>
      </c>
      <c r="L129" s="17">
        <v>1022.14</v>
      </c>
      <c r="M129" s="17">
        <v>8517.86</v>
      </c>
      <c r="N129" s="17">
        <v>9540</v>
      </c>
      <c r="O129" s="2"/>
      <c r="P129" s="2"/>
      <c r="Q129" s="31" t="s">
        <v>30</v>
      </c>
      <c r="R129" s="66"/>
      <c r="S129" s="62"/>
      <c r="T129" s="5"/>
    </row>
    <row r="130" spans="1:20">
      <c r="A130" s="2" t="s">
        <v>915</v>
      </c>
      <c r="B130" s="2" t="s">
        <v>947</v>
      </c>
      <c r="C130" s="2" t="s">
        <v>34</v>
      </c>
      <c r="D130" s="16">
        <v>60</v>
      </c>
      <c r="E130" s="2" t="s">
        <v>918</v>
      </c>
      <c r="F130" s="2" t="s">
        <v>201</v>
      </c>
      <c r="G130" s="2" t="s">
        <v>948</v>
      </c>
      <c r="H130" s="17">
        <v>14400</v>
      </c>
      <c r="I130" s="2"/>
      <c r="J130" s="2"/>
      <c r="K130" s="17">
        <v>14400</v>
      </c>
      <c r="L130" s="17">
        <v>1542.86</v>
      </c>
      <c r="M130" s="17">
        <v>12857.14</v>
      </c>
      <c r="N130" s="17">
        <v>14400</v>
      </c>
      <c r="O130" s="2"/>
      <c r="P130" s="2"/>
      <c r="Q130" s="31" t="s">
        <v>30</v>
      </c>
      <c r="R130" s="66"/>
      <c r="S130" s="62"/>
      <c r="T130" s="5"/>
    </row>
    <row r="131" spans="1:20">
      <c r="A131" s="2" t="s">
        <v>1217</v>
      </c>
      <c r="B131" s="2" t="s">
        <v>1222</v>
      </c>
      <c r="C131" s="2" t="s">
        <v>34</v>
      </c>
      <c r="D131" s="16">
        <v>60</v>
      </c>
      <c r="E131" s="2" t="s">
        <v>1223</v>
      </c>
      <c r="F131" s="2" t="s">
        <v>201</v>
      </c>
      <c r="G131" s="2" t="s">
        <v>1224</v>
      </c>
      <c r="H131" s="17">
        <v>7200</v>
      </c>
      <c r="I131" s="2"/>
      <c r="J131" s="2"/>
      <c r="K131" s="17">
        <v>7200</v>
      </c>
      <c r="L131" s="18">
        <v>771.43</v>
      </c>
      <c r="M131" s="17">
        <v>6428.57</v>
      </c>
      <c r="N131" s="17">
        <v>7200</v>
      </c>
      <c r="O131" s="2"/>
      <c r="P131" s="2"/>
      <c r="Q131" s="31" t="s">
        <v>30</v>
      </c>
      <c r="R131" s="65"/>
      <c r="S131" s="62"/>
      <c r="T131" s="5"/>
    </row>
    <row r="132" spans="1:20">
      <c r="A132" s="2" t="s">
        <v>1461</v>
      </c>
      <c r="B132" s="2" t="s">
        <v>1463</v>
      </c>
      <c r="C132" s="2" t="s">
        <v>681</v>
      </c>
      <c r="D132" s="16">
        <v>0</v>
      </c>
      <c r="E132" s="2" t="s">
        <v>1461</v>
      </c>
      <c r="F132" s="2" t="s">
        <v>1464</v>
      </c>
      <c r="G132" s="2" t="s">
        <v>1465</v>
      </c>
      <c r="H132" s="17">
        <v>31056</v>
      </c>
      <c r="I132" s="2"/>
      <c r="J132" s="2"/>
      <c r="K132" s="17">
        <v>31056</v>
      </c>
      <c r="L132" s="17">
        <v>3327.43</v>
      </c>
      <c r="M132" s="17">
        <v>27728.57</v>
      </c>
      <c r="N132" s="17">
        <v>31056</v>
      </c>
      <c r="O132" s="2"/>
      <c r="P132" s="2"/>
      <c r="Q132" s="31" t="s">
        <v>30</v>
      </c>
      <c r="R132" s="41">
        <f>+K132</f>
        <v>31056</v>
      </c>
      <c r="S132" s="62"/>
      <c r="T132" s="5"/>
    </row>
    <row r="133" spans="1:20">
      <c r="A133" s="2" t="s">
        <v>1287</v>
      </c>
      <c r="B133" s="2" t="s">
        <v>1348</v>
      </c>
      <c r="C133" s="2" t="s">
        <v>162</v>
      </c>
      <c r="D133" s="16">
        <v>90</v>
      </c>
      <c r="E133" s="2" t="s">
        <v>1315</v>
      </c>
      <c r="F133" s="2" t="s">
        <v>1349</v>
      </c>
      <c r="G133" s="2" t="s">
        <v>1350</v>
      </c>
      <c r="H133" s="17">
        <v>172200</v>
      </c>
      <c r="I133" s="2"/>
      <c r="J133" s="2"/>
      <c r="K133" s="17">
        <v>172200</v>
      </c>
      <c r="L133" s="17">
        <v>18450</v>
      </c>
      <c r="M133" s="17">
        <v>153750</v>
      </c>
      <c r="N133" s="17">
        <v>172200</v>
      </c>
      <c r="O133" s="2"/>
      <c r="P133" s="2"/>
      <c r="Q133" s="31" t="s">
        <v>30</v>
      </c>
      <c r="R133" s="41">
        <f>+K133</f>
        <v>172200</v>
      </c>
      <c r="S133" s="62"/>
      <c r="T133" s="5"/>
    </row>
    <row r="134" spans="1:20" ht="12.6" customHeight="1">
      <c r="A134" s="2" t="s">
        <v>17</v>
      </c>
      <c r="B134" s="2" t="s">
        <v>28</v>
      </c>
      <c r="C134" s="2" t="s">
        <v>29</v>
      </c>
      <c r="D134" s="16">
        <v>0</v>
      </c>
      <c r="E134" s="2" t="s">
        <v>17</v>
      </c>
      <c r="F134" s="2" t="s">
        <v>31</v>
      </c>
      <c r="G134" s="2" t="s">
        <v>32</v>
      </c>
      <c r="H134" s="17">
        <v>208698</v>
      </c>
      <c r="I134" s="2"/>
      <c r="J134" s="2"/>
      <c r="K134" s="17">
        <v>208698</v>
      </c>
      <c r="L134" s="17">
        <v>22360.5</v>
      </c>
      <c r="M134" s="17">
        <v>186337.5</v>
      </c>
      <c r="N134" s="17">
        <v>208698</v>
      </c>
      <c r="O134" s="2"/>
      <c r="P134" s="2"/>
      <c r="Q134" s="31" t="s">
        <v>30</v>
      </c>
      <c r="R134" s="64">
        <v>2832788</v>
      </c>
      <c r="S134" s="62"/>
      <c r="T134" s="5"/>
    </row>
    <row r="135" spans="1:20">
      <c r="A135" s="2" t="s">
        <v>199</v>
      </c>
      <c r="B135" s="2" t="s">
        <v>226</v>
      </c>
      <c r="C135" s="2" t="s">
        <v>29</v>
      </c>
      <c r="D135" s="16">
        <v>0</v>
      </c>
      <c r="E135" s="2" t="s">
        <v>199</v>
      </c>
      <c r="F135" s="2" t="s">
        <v>31</v>
      </c>
      <c r="G135" s="2" t="s">
        <v>227</v>
      </c>
      <c r="H135" s="17">
        <v>23901</v>
      </c>
      <c r="I135" s="2"/>
      <c r="J135" s="2"/>
      <c r="K135" s="17">
        <v>23901</v>
      </c>
      <c r="L135" s="17">
        <v>2560.8200000000002</v>
      </c>
      <c r="M135" s="17">
        <v>21340.18</v>
      </c>
      <c r="N135" s="17">
        <v>23901</v>
      </c>
      <c r="O135" s="2"/>
      <c r="P135" s="2"/>
      <c r="Q135" s="31" t="s">
        <v>30</v>
      </c>
      <c r="R135" s="66"/>
      <c r="S135" s="62"/>
      <c r="T135" s="5"/>
    </row>
    <row r="136" spans="1:20">
      <c r="A136" s="2" t="s">
        <v>199</v>
      </c>
      <c r="B136" s="2" t="s">
        <v>228</v>
      </c>
      <c r="C136" s="2" t="s">
        <v>29</v>
      </c>
      <c r="D136" s="16">
        <v>0</v>
      </c>
      <c r="E136" s="2" t="s">
        <v>199</v>
      </c>
      <c r="F136" s="2" t="s">
        <v>31</v>
      </c>
      <c r="G136" s="2" t="s">
        <v>229</v>
      </c>
      <c r="H136" s="17">
        <v>266668</v>
      </c>
      <c r="I136" s="2"/>
      <c r="J136" s="2"/>
      <c r="K136" s="17">
        <v>266668</v>
      </c>
      <c r="L136" s="17">
        <v>28571.57</v>
      </c>
      <c r="M136" s="17">
        <v>238096.43</v>
      </c>
      <c r="N136" s="17">
        <v>266668</v>
      </c>
      <c r="O136" s="2"/>
      <c r="P136" s="2"/>
      <c r="Q136" s="31" t="s">
        <v>30</v>
      </c>
      <c r="R136" s="66"/>
      <c r="S136" s="62"/>
      <c r="T136" s="5"/>
    </row>
    <row r="137" spans="1:20">
      <c r="A137" s="2" t="s">
        <v>368</v>
      </c>
      <c r="B137" s="2" t="s">
        <v>401</v>
      </c>
      <c r="C137" s="2" t="s">
        <v>29</v>
      </c>
      <c r="D137" s="16">
        <v>0</v>
      </c>
      <c r="E137" s="2" t="s">
        <v>368</v>
      </c>
      <c r="F137" s="2" t="s">
        <v>31</v>
      </c>
      <c r="G137" s="2" t="s">
        <v>402</v>
      </c>
      <c r="H137" s="17">
        <v>49593</v>
      </c>
      <c r="I137" s="2"/>
      <c r="J137" s="2"/>
      <c r="K137" s="17">
        <v>49593</v>
      </c>
      <c r="L137" s="17">
        <v>5313.54</v>
      </c>
      <c r="M137" s="17">
        <v>44279.46</v>
      </c>
      <c r="N137" s="17">
        <v>49593</v>
      </c>
      <c r="O137" s="2"/>
      <c r="P137" s="2"/>
      <c r="Q137" s="31" t="s">
        <v>30</v>
      </c>
      <c r="R137" s="66"/>
      <c r="S137" s="62"/>
      <c r="T137" s="5"/>
    </row>
    <row r="138" spans="1:20">
      <c r="A138" s="2" t="s">
        <v>368</v>
      </c>
      <c r="B138" s="2" t="s">
        <v>403</v>
      </c>
      <c r="C138" s="2" t="s">
        <v>29</v>
      </c>
      <c r="D138" s="16">
        <v>0</v>
      </c>
      <c r="E138" s="2" t="s">
        <v>368</v>
      </c>
      <c r="F138" s="2" t="s">
        <v>31</v>
      </c>
      <c r="G138" s="2" t="s">
        <v>404</v>
      </c>
      <c r="H138" s="17">
        <v>148779</v>
      </c>
      <c r="I138" s="2"/>
      <c r="J138" s="2"/>
      <c r="K138" s="17">
        <v>148779</v>
      </c>
      <c r="L138" s="17">
        <v>15940.61</v>
      </c>
      <c r="M138" s="17">
        <v>132838.39000000001</v>
      </c>
      <c r="N138" s="17">
        <v>148779</v>
      </c>
      <c r="O138" s="2"/>
      <c r="P138" s="2"/>
      <c r="Q138" s="31" t="s">
        <v>30</v>
      </c>
      <c r="R138" s="66"/>
      <c r="S138" s="62"/>
      <c r="T138" s="5"/>
    </row>
    <row r="139" spans="1:20">
      <c r="A139" s="2" t="s">
        <v>448</v>
      </c>
      <c r="B139" s="2" t="s">
        <v>464</v>
      </c>
      <c r="C139" s="2" t="s">
        <v>29</v>
      </c>
      <c r="D139" s="16">
        <v>0</v>
      </c>
      <c r="E139" s="2" t="s">
        <v>448</v>
      </c>
      <c r="F139" s="2" t="s">
        <v>31</v>
      </c>
      <c r="G139" s="2" t="s">
        <v>465</v>
      </c>
      <c r="H139" s="17">
        <v>22500</v>
      </c>
      <c r="I139" s="2"/>
      <c r="J139" s="2"/>
      <c r="K139" s="17">
        <v>22500</v>
      </c>
      <c r="L139" s="17">
        <v>2410.71</v>
      </c>
      <c r="M139" s="17">
        <v>20089.29</v>
      </c>
      <c r="N139" s="17">
        <v>22500</v>
      </c>
      <c r="O139" s="2"/>
      <c r="P139" s="2"/>
      <c r="Q139" s="31" t="s">
        <v>30</v>
      </c>
      <c r="R139" s="66"/>
      <c r="S139" s="62"/>
      <c r="T139" s="5"/>
    </row>
    <row r="140" spans="1:20">
      <c r="A140" s="2" t="s">
        <v>448</v>
      </c>
      <c r="B140" s="2" t="s">
        <v>466</v>
      </c>
      <c r="C140" s="2" t="s">
        <v>29</v>
      </c>
      <c r="D140" s="16">
        <v>0</v>
      </c>
      <c r="E140" s="2" t="s">
        <v>448</v>
      </c>
      <c r="F140" s="2" t="s">
        <v>31</v>
      </c>
      <c r="G140" s="2" t="s">
        <v>467</v>
      </c>
      <c r="H140" s="17">
        <v>17740</v>
      </c>
      <c r="I140" s="2"/>
      <c r="J140" s="2"/>
      <c r="K140" s="17">
        <v>17740</v>
      </c>
      <c r="L140" s="17">
        <v>1900.71</v>
      </c>
      <c r="M140" s="17">
        <v>15839.29</v>
      </c>
      <c r="N140" s="17">
        <v>17740</v>
      </c>
      <c r="O140" s="2"/>
      <c r="P140" s="2"/>
      <c r="Q140" s="31" t="s">
        <v>30</v>
      </c>
      <c r="R140" s="66"/>
      <c r="S140" s="62"/>
      <c r="T140" s="5"/>
    </row>
    <row r="141" spans="1:20">
      <c r="A141" s="2" t="s">
        <v>448</v>
      </c>
      <c r="B141" s="2" t="s">
        <v>468</v>
      </c>
      <c r="C141" s="2" t="s">
        <v>29</v>
      </c>
      <c r="D141" s="16">
        <v>0</v>
      </c>
      <c r="E141" s="2" t="s">
        <v>448</v>
      </c>
      <c r="F141" s="2" t="s">
        <v>31</v>
      </c>
      <c r="G141" s="2" t="s">
        <v>469</v>
      </c>
      <c r="H141" s="17">
        <v>28458</v>
      </c>
      <c r="I141" s="2"/>
      <c r="J141" s="2"/>
      <c r="K141" s="17">
        <v>28458</v>
      </c>
      <c r="L141" s="17">
        <v>3049.07</v>
      </c>
      <c r="M141" s="17">
        <v>25408.93</v>
      </c>
      <c r="N141" s="17">
        <v>28458</v>
      </c>
      <c r="O141" s="2"/>
      <c r="P141" s="2"/>
      <c r="Q141" s="31" t="s">
        <v>30</v>
      </c>
      <c r="R141" s="66"/>
      <c r="S141" s="62"/>
      <c r="T141" s="5"/>
    </row>
    <row r="142" spans="1:20">
      <c r="A142" s="2" t="s">
        <v>448</v>
      </c>
      <c r="B142" s="2" t="s">
        <v>472</v>
      </c>
      <c r="C142" s="2" t="s">
        <v>29</v>
      </c>
      <c r="D142" s="16">
        <v>0</v>
      </c>
      <c r="E142" s="2" t="s">
        <v>448</v>
      </c>
      <c r="F142" s="2" t="s">
        <v>31</v>
      </c>
      <c r="G142" s="2" t="s">
        <v>473</v>
      </c>
      <c r="H142" s="17">
        <v>152120</v>
      </c>
      <c r="I142" s="2"/>
      <c r="J142" s="2"/>
      <c r="K142" s="17">
        <v>152120</v>
      </c>
      <c r="L142" s="17">
        <v>16298.57</v>
      </c>
      <c r="M142" s="17">
        <v>135821.43</v>
      </c>
      <c r="N142" s="17">
        <v>152120</v>
      </c>
      <c r="O142" s="2"/>
      <c r="P142" s="2"/>
      <c r="Q142" s="31" t="s">
        <v>30</v>
      </c>
      <c r="R142" s="66"/>
      <c r="S142" s="62"/>
      <c r="T142" s="5"/>
    </row>
    <row r="143" spans="1:20">
      <c r="A143" s="2" t="s">
        <v>448</v>
      </c>
      <c r="B143" s="2" t="s">
        <v>474</v>
      </c>
      <c r="C143" s="2" t="s">
        <v>29</v>
      </c>
      <c r="D143" s="16">
        <v>0</v>
      </c>
      <c r="E143" s="2" t="s">
        <v>448</v>
      </c>
      <c r="F143" s="2" t="s">
        <v>31</v>
      </c>
      <c r="G143" s="2" t="s">
        <v>475</v>
      </c>
      <c r="H143" s="17">
        <v>121248</v>
      </c>
      <c r="I143" s="2"/>
      <c r="J143" s="2"/>
      <c r="K143" s="17">
        <v>121248</v>
      </c>
      <c r="L143" s="17">
        <v>12990.86</v>
      </c>
      <c r="M143" s="17">
        <v>108257.14</v>
      </c>
      <c r="N143" s="17">
        <v>121248</v>
      </c>
      <c r="O143" s="2"/>
      <c r="P143" s="2"/>
      <c r="Q143" s="31" t="s">
        <v>30</v>
      </c>
      <c r="R143" s="66"/>
      <c r="S143" s="62"/>
      <c r="T143" s="5"/>
    </row>
    <row r="144" spans="1:20">
      <c r="A144" s="2" t="s">
        <v>505</v>
      </c>
      <c r="B144" s="2" t="s">
        <v>565</v>
      </c>
      <c r="C144" s="2" t="s">
        <v>29</v>
      </c>
      <c r="D144" s="16">
        <v>0</v>
      </c>
      <c r="E144" s="2" t="s">
        <v>505</v>
      </c>
      <c r="F144" s="2" t="s">
        <v>31</v>
      </c>
      <c r="G144" s="2" t="s">
        <v>566</v>
      </c>
      <c r="H144" s="17">
        <v>41600</v>
      </c>
      <c r="I144" s="2"/>
      <c r="J144" s="2"/>
      <c r="K144" s="17">
        <v>41600</v>
      </c>
      <c r="L144" s="17">
        <v>4457.1400000000003</v>
      </c>
      <c r="M144" s="17">
        <v>37142.86</v>
      </c>
      <c r="N144" s="17">
        <v>41600</v>
      </c>
      <c r="O144" s="2"/>
      <c r="P144" s="2"/>
      <c r="Q144" s="31" t="s">
        <v>30</v>
      </c>
      <c r="R144" s="66"/>
      <c r="S144" s="62"/>
      <c r="T144" s="5"/>
    </row>
    <row r="145" spans="1:20">
      <c r="A145" s="2" t="s">
        <v>505</v>
      </c>
      <c r="B145" s="2" t="s">
        <v>569</v>
      </c>
      <c r="C145" s="2" t="s">
        <v>29</v>
      </c>
      <c r="D145" s="16">
        <v>0</v>
      </c>
      <c r="E145" s="2" t="s">
        <v>505</v>
      </c>
      <c r="F145" s="2" t="s">
        <v>31</v>
      </c>
      <c r="G145" s="2" t="s">
        <v>570</v>
      </c>
      <c r="H145" s="17">
        <v>99186</v>
      </c>
      <c r="I145" s="2"/>
      <c r="J145" s="2"/>
      <c r="K145" s="17">
        <v>99186</v>
      </c>
      <c r="L145" s="17">
        <v>10627.07</v>
      </c>
      <c r="M145" s="17">
        <v>88558.93</v>
      </c>
      <c r="N145" s="17">
        <v>99186</v>
      </c>
      <c r="O145" s="2"/>
      <c r="P145" s="2"/>
      <c r="Q145" s="31" t="s">
        <v>30</v>
      </c>
      <c r="R145" s="66"/>
      <c r="S145" s="62"/>
      <c r="T145" s="5"/>
    </row>
    <row r="146" spans="1:20">
      <c r="A146" s="2" t="s">
        <v>637</v>
      </c>
      <c r="B146" s="2" t="s">
        <v>644</v>
      </c>
      <c r="C146" s="2" t="s">
        <v>29</v>
      </c>
      <c r="D146" s="16">
        <v>0</v>
      </c>
      <c r="E146" s="2" t="s">
        <v>637</v>
      </c>
      <c r="F146" s="2" t="s">
        <v>31</v>
      </c>
      <c r="G146" s="2" t="s">
        <v>645</v>
      </c>
      <c r="H146" s="17">
        <v>62535</v>
      </c>
      <c r="I146" s="2"/>
      <c r="J146" s="2"/>
      <c r="K146" s="17">
        <v>62535</v>
      </c>
      <c r="L146" s="17">
        <v>6700.18</v>
      </c>
      <c r="M146" s="17">
        <v>55834.82</v>
      </c>
      <c r="N146" s="17">
        <v>62535</v>
      </c>
      <c r="O146" s="2"/>
      <c r="P146" s="2"/>
      <c r="Q146" s="31" t="s">
        <v>30</v>
      </c>
      <c r="R146" s="66"/>
      <c r="S146" s="62"/>
      <c r="T146" s="5"/>
    </row>
    <row r="147" spans="1:20">
      <c r="A147" s="2" t="s">
        <v>637</v>
      </c>
      <c r="B147" s="2" t="s">
        <v>646</v>
      </c>
      <c r="C147" s="2" t="s">
        <v>29</v>
      </c>
      <c r="D147" s="16">
        <v>0</v>
      </c>
      <c r="E147" s="2" t="s">
        <v>637</v>
      </c>
      <c r="F147" s="2" t="s">
        <v>31</v>
      </c>
      <c r="G147" s="2" t="s">
        <v>647</v>
      </c>
      <c r="H147" s="17">
        <v>31800</v>
      </c>
      <c r="I147" s="2"/>
      <c r="J147" s="2"/>
      <c r="K147" s="17">
        <v>31800</v>
      </c>
      <c r="L147" s="17">
        <v>3407.14</v>
      </c>
      <c r="M147" s="17">
        <v>28392.86</v>
      </c>
      <c r="N147" s="17">
        <v>31800</v>
      </c>
      <c r="O147" s="2"/>
      <c r="P147" s="2"/>
      <c r="Q147" s="31" t="s">
        <v>30</v>
      </c>
      <c r="R147" s="66"/>
      <c r="S147" s="62"/>
      <c r="T147" s="5"/>
    </row>
    <row r="148" spans="1:20">
      <c r="A148" s="2" t="s">
        <v>637</v>
      </c>
      <c r="B148" s="2" t="s">
        <v>648</v>
      </c>
      <c r="C148" s="2" t="s">
        <v>29</v>
      </c>
      <c r="D148" s="16">
        <v>0</v>
      </c>
      <c r="E148" s="2" t="s">
        <v>637</v>
      </c>
      <c r="F148" s="2" t="s">
        <v>31</v>
      </c>
      <c r="G148" s="2" t="s">
        <v>649</v>
      </c>
      <c r="H148" s="17">
        <v>6400</v>
      </c>
      <c r="I148" s="2"/>
      <c r="J148" s="2"/>
      <c r="K148" s="17">
        <v>6400</v>
      </c>
      <c r="L148" s="18">
        <v>685.71</v>
      </c>
      <c r="M148" s="17">
        <v>5714.29</v>
      </c>
      <c r="N148" s="17">
        <v>6400</v>
      </c>
      <c r="O148" s="2"/>
      <c r="P148" s="2"/>
      <c r="Q148" s="31" t="s">
        <v>30</v>
      </c>
      <c r="R148" s="66"/>
      <c r="S148" s="62"/>
      <c r="T148" s="5"/>
    </row>
    <row r="149" spans="1:20">
      <c r="A149" s="2" t="s">
        <v>637</v>
      </c>
      <c r="B149" s="2" t="s">
        <v>650</v>
      </c>
      <c r="C149" s="2" t="s">
        <v>29</v>
      </c>
      <c r="D149" s="16">
        <v>0</v>
      </c>
      <c r="E149" s="2" t="s">
        <v>637</v>
      </c>
      <c r="F149" s="2" t="s">
        <v>31</v>
      </c>
      <c r="G149" s="2" t="s">
        <v>651</v>
      </c>
      <c r="H149" s="17">
        <v>142800</v>
      </c>
      <c r="I149" s="2"/>
      <c r="J149" s="2"/>
      <c r="K149" s="17">
        <v>142800</v>
      </c>
      <c r="L149" s="17">
        <v>15300</v>
      </c>
      <c r="M149" s="17">
        <v>127500</v>
      </c>
      <c r="N149" s="17">
        <v>142800</v>
      </c>
      <c r="O149" s="2"/>
      <c r="P149" s="2"/>
      <c r="Q149" s="31" t="s">
        <v>30</v>
      </c>
      <c r="R149" s="66"/>
      <c r="S149" s="62"/>
      <c r="T149" s="5"/>
    </row>
    <row r="150" spans="1:20">
      <c r="A150" s="2" t="s">
        <v>769</v>
      </c>
      <c r="B150" s="2" t="s">
        <v>859</v>
      </c>
      <c r="C150" s="2" t="s">
        <v>29</v>
      </c>
      <c r="D150" s="16">
        <v>0</v>
      </c>
      <c r="E150" s="2" t="s">
        <v>769</v>
      </c>
      <c r="F150" s="2" t="s">
        <v>31</v>
      </c>
      <c r="G150" s="2" t="s">
        <v>860</v>
      </c>
      <c r="H150" s="17">
        <v>26190</v>
      </c>
      <c r="I150" s="2"/>
      <c r="J150" s="2"/>
      <c r="K150" s="17">
        <v>26190</v>
      </c>
      <c r="L150" s="17">
        <v>2806.07</v>
      </c>
      <c r="M150" s="17">
        <v>23383.93</v>
      </c>
      <c r="N150" s="17">
        <v>26190</v>
      </c>
      <c r="O150" s="2"/>
      <c r="P150" s="2"/>
      <c r="Q150" s="31" t="s">
        <v>30</v>
      </c>
      <c r="R150" s="66"/>
      <c r="S150" s="62"/>
      <c r="T150" s="5"/>
    </row>
    <row r="151" spans="1:20">
      <c r="A151" s="2" t="s">
        <v>769</v>
      </c>
      <c r="B151" s="2" t="s">
        <v>861</v>
      </c>
      <c r="C151" s="2" t="s">
        <v>29</v>
      </c>
      <c r="D151" s="16">
        <v>0</v>
      </c>
      <c r="E151" s="2" t="s">
        <v>769</v>
      </c>
      <c r="F151" s="2" t="s">
        <v>31</v>
      </c>
      <c r="G151" s="2" t="s">
        <v>862</v>
      </c>
      <c r="H151" s="17">
        <v>81120</v>
      </c>
      <c r="I151" s="2"/>
      <c r="J151" s="2"/>
      <c r="K151" s="17">
        <v>81120</v>
      </c>
      <c r="L151" s="17">
        <v>8691.43</v>
      </c>
      <c r="M151" s="17">
        <v>72428.570000000007</v>
      </c>
      <c r="N151" s="17">
        <v>81120</v>
      </c>
      <c r="O151" s="2"/>
      <c r="P151" s="2"/>
      <c r="Q151" s="31" t="s">
        <v>30</v>
      </c>
      <c r="R151" s="66"/>
      <c r="S151" s="62"/>
      <c r="T151" s="5"/>
    </row>
    <row r="152" spans="1:20">
      <c r="A152" s="2" t="s">
        <v>769</v>
      </c>
      <c r="B152" s="2" t="s">
        <v>863</v>
      </c>
      <c r="C152" s="2" t="s">
        <v>29</v>
      </c>
      <c r="D152" s="16">
        <v>0</v>
      </c>
      <c r="E152" s="2" t="s">
        <v>769</v>
      </c>
      <c r="F152" s="2" t="s">
        <v>31</v>
      </c>
      <c r="G152" s="2" t="s">
        <v>864</v>
      </c>
      <c r="H152" s="17">
        <v>13320</v>
      </c>
      <c r="I152" s="2"/>
      <c r="J152" s="2"/>
      <c r="K152" s="17">
        <v>13320</v>
      </c>
      <c r="L152" s="17">
        <v>1427.14</v>
      </c>
      <c r="M152" s="17">
        <v>11892.86</v>
      </c>
      <c r="N152" s="17">
        <v>13320</v>
      </c>
      <c r="O152" s="2"/>
      <c r="P152" s="2"/>
      <c r="Q152" s="31" t="s">
        <v>30</v>
      </c>
      <c r="R152" s="66"/>
      <c r="S152" s="62"/>
      <c r="T152" s="5"/>
    </row>
    <row r="153" spans="1:20">
      <c r="A153" s="2" t="s">
        <v>915</v>
      </c>
      <c r="B153" s="2" t="s">
        <v>953</v>
      </c>
      <c r="C153" s="2" t="s">
        <v>29</v>
      </c>
      <c r="D153" s="16">
        <v>0</v>
      </c>
      <c r="E153" s="2" t="s">
        <v>915</v>
      </c>
      <c r="F153" s="2" t="s">
        <v>31</v>
      </c>
      <c r="G153" s="2" t="s">
        <v>954</v>
      </c>
      <c r="H153" s="17">
        <v>5460</v>
      </c>
      <c r="I153" s="2"/>
      <c r="J153" s="2"/>
      <c r="K153" s="17">
        <v>5460</v>
      </c>
      <c r="L153" s="18">
        <v>585</v>
      </c>
      <c r="M153" s="17">
        <v>4875</v>
      </c>
      <c r="N153" s="17">
        <v>5460</v>
      </c>
      <c r="O153" s="2"/>
      <c r="P153" s="2"/>
      <c r="Q153" s="31" t="s">
        <v>30</v>
      </c>
      <c r="R153" s="66"/>
      <c r="S153" s="62"/>
      <c r="T153" s="5"/>
    </row>
    <row r="154" spans="1:20">
      <c r="A154" s="2" t="s">
        <v>915</v>
      </c>
      <c r="B154" s="2" t="s">
        <v>955</v>
      </c>
      <c r="C154" s="2" t="s">
        <v>29</v>
      </c>
      <c r="D154" s="16">
        <v>0</v>
      </c>
      <c r="E154" s="2" t="s">
        <v>915</v>
      </c>
      <c r="F154" s="2" t="s">
        <v>31</v>
      </c>
      <c r="G154" s="2" t="s">
        <v>956</v>
      </c>
      <c r="H154" s="17">
        <v>13144</v>
      </c>
      <c r="I154" s="2"/>
      <c r="J154" s="2"/>
      <c r="K154" s="17">
        <v>13144</v>
      </c>
      <c r="L154" s="17">
        <v>1408.29</v>
      </c>
      <c r="M154" s="17">
        <v>11735.71</v>
      </c>
      <c r="N154" s="17">
        <v>13144</v>
      </c>
      <c r="O154" s="2"/>
      <c r="P154" s="2"/>
      <c r="Q154" s="31" t="s">
        <v>30</v>
      </c>
      <c r="R154" s="66"/>
      <c r="S154" s="62"/>
      <c r="T154" s="5"/>
    </row>
    <row r="155" spans="1:20">
      <c r="A155" s="2" t="s">
        <v>1048</v>
      </c>
      <c r="B155" s="2" t="s">
        <v>1052</v>
      </c>
      <c r="C155" s="2" t="s">
        <v>29</v>
      </c>
      <c r="D155" s="16">
        <v>0</v>
      </c>
      <c r="E155" s="2" t="s">
        <v>1048</v>
      </c>
      <c r="F155" s="2" t="s">
        <v>31</v>
      </c>
      <c r="G155" s="2" t="s">
        <v>1053</v>
      </c>
      <c r="H155" s="17">
        <v>142620</v>
      </c>
      <c r="I155" s="2"/>
      <c r="J155" s="2"/>
      <c r="K155" s="17">
        <v>142620</v>
      </c>
      <c r="L155" s="17">
        <v>15280.71</v>
      </c>
      <c r="M155" s="17">
        <v>127339.29</v>
      </c>
      <c r="N155" s="17">
        <v>142620</v>
      </c>
      <c r="O155" s="2"/>
      <c r="P155" s="2"/>
      <c r="Q155" s="31" t="s">
        <v>30</v>
      </c>
      <c r="R155" s="66"/>
      <c r="S155" s="62"/>
      <c r="T155" s="5"/>
    </row>
    <row r="156" spans="1:20">
      <c r="A156" s="2" t="s">
        <v>1048</v>
      </c>
      <c r="B156" s="2" t="s">
        <v>1086</v>
      </c>
      <c r="C156" s="2" t="s">
        <v>29</v>
      </c>
      <c r="D156" s="16">
        <v>0</v>
      </c>
      <c r="E156" s="2" t="s">
        <v>1048</v>
      </c>
      <c r="F156" s="2" t="s">
        <v>31</v>
      </c>
      <c r="G156" s="2" t="s">
        <v>1087</v>
      </c>
      <c r="H156" s="17">
        <v>1840</v>
      </c>
      <c r="I156" s="2"/>
      <c r="J156" s="2"/>
      <c r="K156" s="17">
        <v>1840</v>
      </c>
      <c r="L156" s="18">
        <v>197.14</v>
      </c>
      <c r="M156" s="17">
        <v>1642.86</v>
      </c>
      <c r="N156" s="17">
        <v>1840</v>
      </c>
      <c r="O156" s="2"/>
      <c r="P156" s="2"/>
      <c r="Q156" s="31" t="s">
        <v>30</v>
      </c>
      <c r="R156" s="66"/>
      <c r="S156" s="62"/>
      <c r="T156" s="5"/>
    </row>
    <row r="157" spans="1:20">
      <c r="A157" s="2" t="s">
        <v>1048</v>
      </c>
      <c r="B157" s="2" t="s">
        <v>1090</v>
      </c>
      <c r="C157" s="2" t="s">
        <v>29</v>
      </c>
      <c r="D157" s="16">
        <v>0</v>
      </c>
      <c r="E157" s="2" t="s">
        <v>1048</v>
      </c>
      <c r="F157" s="2" t="s">
        <v>31</v>
      </c>
      <c r="G157" s="2" t="s">
        <v>1091</v>
      </c>
      <c r="H157" s="17">
        <v>244000</v>
      </c>
      <c r="I157" s="2"/>
      <c r="J157" s="2"/>
      <c r="K157" s="17">
        <v>244000</v>
      </c>
      <c r="L157" s="17">
        <v>26142.86</v>
      </c>
      <c r="M157" s="17">
        <v>217857.14</v>
      </c>
      <c r="N157" s="17">
        <v>244000</v>
      </c>
      <c r="O157" s="2"/>
      <c r="P157" s="2"/>
      <c r="Q157" s="31" t="s">
        <v>30</v>
      </c>
      <c r="R157" s="66"/>
      <c r="S157" s="62"/>
      <c r="T157" s="5"/>
    </row>
    <row r="158" spans="1:20">
      <c r="A158" s="2" t="s">
        <v>1117</v>
      </c>
      <c r="B158" s="2" t="s">
        <v>1161</v>
      </c>
      <c r="C158" s="2" t="s">
        <v>29</v>
      </c>
      <c r="D158" s="16">
        <v>0</v>
      </c>
      <c r="E158" s="2" t="s">
        <v>1117</v>
      </c>
      <c r="F158" s="2" t="s">
        <v>31</v>
      </c>
      <c r="G158" s="2" t="s">
        <v>1162</v>
      </c>
      <c r="H158" s="17">
        <v>294000</v>
      </c>
      <c r="I158" s="2"/>
      <c r="J158" s="2"/>
      <c r="K158" s="17">
        <v>294000</v>
      </c>
      <c r="L158" s="17">
        <v>31500</v>
      </c>
      <c r="M158" s="17">
        <v>262500</v>
      </c>
      <c r="N158" s="17">
        <v>294000</v>
      </c>
      <c r="O158" s="2"/>
      <c r="P158" s="2"/>
      <c r="Q158" s="31" t="s">
        <v>30</v>
      </c>
      <c r="R158" s="66"/>
      <c r="S158" s="62"/>
      <c r="T158" s="5"/>
    </row>
    <row r="159" spans="1:20">
      <c r="A159" s="2" t="s">
        <v>1372</v>
      </c>
      <c r="B159" s="2" t="s">
        <v>1432</v>
      </c>
      <c r="C159" s="2" t="s">
        <v>29</v>
      </c>
      <c r="D159" s="16">
        <v>0</v>
      </c>
      <c r="E159" s="2" t="s">
        <v>1372</v>
      </c>
      <c r="F159" s="2" t="s">
        <v>31</v>
      </c>
      <c r="G159" s="2" t="s">
        <v>1433</v>
      </c>
      <c r="H159" s="17">
        <v>40960</v>
      </c>
      <c r="I159" s="2"/>
      <c r="J159" s="2"/>
      <c r="K159" s="17">
        <v>40960</v>
      </c>
      <c r="L159" s="17">
        <v>4388.57</v>
      </c>
      <c r="M159" s="17">
        <v>36571.43</v>
      </c>
      <c r="N159" s="17">
        <v>40960</v>
      </c>
      <c r="O159" s="2"/>
      <c r="P159" s="2"/>
      <c r="Q159" s="31" t="s">
        <v>30</v>
      </c>
      <c r="R159" s="66"/>
      <c r="S159" s="62"/>
      <c r="T159" s="5"/>
    </row>
    <row r="160" spans="1:20">
      <c r="A160" s="2" t="s">
        <v>1372</v>
      </c>
      <c r="B160" s="2" t="s">
        <v>1434</v>
      </c>
      <c r="C160" s="2" t="s">
        <v>29</v>
      </c>
      <c r="D160" s="16">
        <v>0</v>
      </c>
      <c r="E160" s="2" t="s">
        <v>1372</v>
      </c>
      <c r="F160" s="2" t="s">
        <v>31</v>
      </c>
      <c r="G160" s="2" t="s">
        <v>1435</v>
      </c>
      <c r="H160" s="17">
        <v>3670</v>
      </c>
      <c r="I160" s="2"/>
      <c r="J160" s="2"/>
      <c r="K160" s="17">
        <v>3670</v>
      </c>
      <c r="L160" s="18">
        <v>393.21</v>
      </c>
      <c r="M160" s="17">
        <v>3276.79</v>
      </c>
      <c r="N160" s="17">
        <v>3670</v>
      </c>
      <c r="O160" s="2"/>
      <c r="P160" s="2"/>
      <c r="Q160" s="31" t="s">
        <v>30</v>
      </c>
      <c r="R160" s="66"/>
      <c r="S160" s="62"/>
      <c r="T160" s="5"/>
    </row>
    <row r="161" spans="1:20">
      <c r="A161" s="2" t="s">
        <v>1372</v>
      </c>
      <c r="B161" s="2" t="s">
        <v>1436</v>
      </c>
      <c r="C161" s="2" t="s">
        <v>29</v>
      </c>
      <c r="D161" s="16">
        <v>0</v>
      </c>
      <c r="E161" s="2" t="s">
        <v>1372</v>
      </c>
      <c r="F161" s="2" t="s">
        <v>31</v>
      </c>
      <c r="G161" s="2" t="s">
        <v>1437</v>
      </c>
      <c r="H161" s="17">
        <v>7250</v>
      </c>
      <c r="I161" s="2"/>
      <c r="J161" s="2"/>
      <c r="K161" s="17">
        <v>7250</v>
      </c>
      <c r="L161" s="18">
        <v>776.79</v>
      </c>
      <c r="M161" s="17">
        <v>6473.21</v>
      </c>
      <c r="N161" s="17">
        <v>7250</v>
      </c>
      <c r="O161" s="2"/>
      <c r="P161" s="2"/>
      <c r="Q161" s="31" t="s">
        <v>30</v>
      </c>
      <c r="R161" s="66"/>
      <c r="S161" s="62"/>
      <c r="T161" s="5"/>
    </row>
    <row r="162" spans="1:20">
      <c r="A162" s="2" t="s">
        <v>1467</v>
      </c>
      <c r="B162" s="2" t="s">
        <v>1485</v>
      </c>
      <c r="C162" s="2" t="s">
        <v>29</v>
      </c>
      <c r="D162" s="16">
        <v>0</v>
      </c>
      <c r="E162" s="2" t="s">
        <v>1467</v>
      </c>
      <c r="F162" s="2" t="s">
        <v>31</v>
      </c>
      <c r="G162" s="2" t="s">
        <v>1486</v>
      </c>
      <c r="H162" s="17">
        <v>93896</v>
      </c>
      <c r="I162" s="2"/>
      <c r="J162" s="2"/>
      <c r="K162" s="17">
        <v>93896</v>
      </c>
      <c r="L162" s="17">
        <v>10060.290000000001</v>
      </c>
      <c r="M162" s="17">
        <v>83835.710000000006</v>
      </c>
      <c r="N162" s="17">
        <v>93896</v>
      </c>
      <c r="O162" s="2"/>
      <c r="P162" s="2"/>
      <c r="Q162" s="31" t="s">
        <v>30</v>
      </c>
      <c r="R162" s="66"/>
      <c r="S162" s="62"/>
      <c r="T162" s="5"/>
    </row>
    <row r="163" spans="1:20">
      <c r="A163" s="2" t="s">
        <v>1467</v>
      </c>
      <c r="B163" s="2" t="s">
        <v>1487</v>
      </c>
      <c r="C163" s="2" t="s">
        <v>29</v>
      </c>
      <c r="D163" s="16">
        <v>0</v>
      </c>
      <c r="E163" s="2" t="s">
        <v>1467</v>
      </c>
      <c r="F163" s="2" t="s">
        <v>31</v>
      </c>
      <c r="G163" s="2" t="s">
        <v>1488</v>
      </c>
      <c r="H163" s="17">
        <v>3492</v>
      </c>
      <c r="I163" s="2"/>
      <c r="J163" s="2"/>
      <c r="K163" s="17">
        <v>3492</v>
      </c>
      <c r="L163" s="18">
        <v>374.14</v>
      </c>
      <c r="M163" s="17">
        <v>3117.86</v>
      </c>
      <c r="N163" s="17">
        <v>3492</v>
      </c>
      <c r="O163" s="2"/>
      <c r="P163" s="2"/>
      <c r="Q163" s="31" t="s">
        <v>30</v>
      </c>
      <c r="R163" s="66"/>
      <c r="S163" s="62"/>
      <c r="T163" s="5"/>
    </row>
    <row r="164" spans="1:20">
      <c r="A164" s="2" t="s">
        <v>1467</v>
      </c>
      <c r="B164" s="2" t="s">
        <v>1489</v>
      </c>
      <c r="C164" s="2" t="s">
        <v>29</v>
      </c>
      <c r="D164" s="16">
        <v>0</v>
      </c>
      <c r="E164" s="2" t="s">
        <v>1467</v>
      </c>
      <c r="F164" s="2" t="s">
        <v>31</v>
      </c>
      <c r="G164" s="2" t="s">
        <v>1490</v>
      </c>
      <c r="H164" s="17">
        <v>124548</v>
      </c>
      <c r="I164" s="2"/>
      <c r="J164" s="2"/>
      <c r="K164" s="17">
        <v>124548</v>
      </c>
      <c r="L164" s="17">
        <v>13344.43</v>
      </c>
      <c r="M164" s="17">
        <v>111203.57</v>
      </c>
      <c r="N164" s="17">
        <v>124548</v>
      </c>
      <c r="O164" s="2"/>
      <c r="P164" s="2"/>
      <c r="Q164" s="31" t="s">
        <v>30</v>
      </c>
      <c r="R164" s="66"/>
      <c r="S164" s="62"/>
      <c r="T164" s="5"/>
    </row>
    <row r="165" spans="1:20">
      <c r="A165" s="2" t="s">
        <v>1467</v>
      </c>
      <c r="B165" s="2" t="s">
        <v>1507</v>
      </c>
      <c r="C165" s="2" t="s">
        <v>29</v>
      </c>
      <c r="D165" s="16">
        <v>0</v>
      </c>
      <c r="E165" s="2" t="s">
        <v>1467</v>
      </c>
      <c r="F165" s="2" t="s">
        <v>31</v>
      </c>
      <c r="G165" s="2" t="s">
        <v>1508</v>
      </c>
      <c r="H165" s="17">
        <v>24000</v>
      </c>
      <c r="I165" s="2"/>
      <c r="J165" s="2"/>
      <c r="K165" s="17">
        <v>24000</v>
      </c>
      <c r="L165" s="17">
        <v>2571.4299999999998</v>
      </c>
      <c r="M165" s="17">
        <v>21428.57</v>
      </c>
      <c r="N165" s="17">
        <v>24000</v>
      </c>
      <c r="O165" s="2"/>
      <c r="P165" s="2"/>
      <c r="Q165" s="31" t="s">
        <v>30</v>
      </c>
      <c r="R165" s="66"/>
      <c r="S165" s="62"/>
      <c r="T165" s="5"/>
    </row>
    <row r="166" spans="1:20">
      <c r="A166" s="2" t="s">
        <v>1467</v>
      </c>
      <c r="B166" s="2" t="s">
        <v>1509</v>
      </c>
      <c r="C166" s="2" t="s">
        <v>29</v>
      </c>
      <c r="D166" s="16">
        <v>0</v>
      </c>
      <c r="E166" s="2" t="s">
        <v>1467</v>
      </c>
      <c r="F166" s="2" t="s">
        <v>31</v>
      </c>
      <c r="G166" s="2" t="s">
        <v>1510</v>
      </c>
      <c r="H166" s="17">
        <v>77690</v>
      </c>
      <c r="I166" s="2"/>
      <c r="J166" s="2"/>
      <c r="K166" s="17">
        <v>77690</v>
      </c>
      <c r="L166" s="17">
        <v>8323.93</v>
      </c>
      <c r="M166" s="17">
        <v>69366.070000000007</v>
      </c>
      <c r="N166" s="17">
        <v>77690</v>
      </c>
      <c r="O166" s="2"/>
      <c r="P166" s="2"/>
      <c r="Q166" s="31" t="s">
        <v>30</v>
      </c>
      <c r="R166" s="66"/>
      <c r="S166" s="62"/>
      <c r="T166" s="5"/>
    </row>
    <row r="167" spans="1:20">
      <c r="A167" s="2" t="s">
        <v>1467</v>
      </c>
      <c r="B167" s="2" t="s">
        <v>1511</v>
      </c>
      <c r="C167" s="2" t="s">
        <v>29</v>
      </c>
      <c r="D167" s="16">
        <v>0</v>
      </c>
      <c r="E167" s="2" t="s">
        <v>1467</v>
      </c>
      <c r="F167" s="2" t="s">
        <v>31</v>
      </c>
      <c r="G167" s="2" t="s">
        <v>1512</v>
      </c>
      <c r="H167" s="17">
        <v>2080</v>
      </c>
      <c r="I167" s="2"/>
      <c r="J167" s="2"/>
      <c r="K167" s="17">
        <v>2080</v>
      </c>
      <c r="L167" s="18">
        <v>222.86</v>
      </c>
      <c r="M167" s="17">
        <v>1857.14</v>
      </c>
      <c r="N167" s="17">
        <v>2080</v>
      </c>
      <c r="O167" s="2"/>
      <c r="P167" s="2"/>
      <c r="Q167" s="31" t="s">
        <v>30</v>
      </c>
      <c r="R167" s="66"/>
      <c r="S167" s="62"/>
      <c r="T167" s="5"/>
    </row>
    <row r="168" spans="1:20">
      <c r="A168" s="2" t="s">
        <v>1467</v>
      </c>
      <c r="B168" s="2" t="s">
        <v>1513</v>
      </c>
      <c r="C168" s="2" t="s">
        <v>29</v>
      </c>
      <c r="D168" s="16">
        <v>0</v>
      </c>
      <c r="E168" s="2" t="s">
        <v>1467</v>
      </c>
      <c r="F168" s="2" t="s">
        <v>31</v>
      </c>
      <c r="G168" s="2" t="s">
        <v>1514</v>
      </c>
      <c r="H168" s="17">
        <v>2400</v>
      </c>
      <c r="I168" s="2"/>
      <c r="J168" s="2"/>
      <c r="K168" s="17">
        <v>2400</v>
      </c>
      <c r="L168" s="18">
        <v>257.14</v>
      </c>
      <c r="M168" s="17">
        <v>2142.86</v>
      </c>
      <c r="N168" s="17">
        <v>2400</v>
      </c>
      <c r="O168" s="2"/>
      <c r="P168" s="2"/>
      <c r="Q168" s="31" t="s">
        <v>30</v>
      </c>
      <c r="R168" s="66"/>
      <c r="S168" s="62"/>
      <c r="T168" s="5"/>
    </row>
    <row r="169" spans="1:20">
      <c r="A169" s="2" t="s">
        <v>1467</v>
      </c>
      <c r="B169" s="2" t="s">
        <v>1536</v>
      </c>
      <c r="C169" s="2" t="s">
        <v>29</v>
      </c>
      <c r="D169" s="16">
        <v>0</v>
      </c>
      <c r="E169" s="2" t="s">
        <v>1467</v>
      </c>
      <c r="F169" s="2" t="s">
        <v>31</v>
      </c>
      <c r="G169" s="2" t="s">
        <v>1537</v>
      </c>
      <c r="H169" s="17">
        <v>112032</v>
      </c>
      <c r="I169" s="2"/>
      <c r="J169" s="2"/>
      <c r="K169" s="17">
        <v>112032</v>
      </c>
      <c r="L169" s="17">
        <v>12003.43</v>
      </c>
      <c r="M169" s="17">
        <v>100028.57</v>
      </c>
      <c r="N169" s="17">
        <v>112032</v>
      </c>
      <c r="O169" s="2"/>
      <c r="P169" s="2"/>
      <c r="Q169" s="31" t="s">
        <v>30</v>
      </c>
      <c r="R169" s="66"/>
      <c r="S169" s="62"/>
      <c r="T169" s="5"/>
    </row>
    <row r="170" spans="1:20">
      <c r="A170" s="2" t="s">
        <v>1467</v>
      </c>
      <c r="B170" s="2" t="s">
        <v>1540</v>
      </c>
      <c r="C170" s="2" t="s">
        <v>29</v>
      </c>
      <c r="D170" s="16">
        <v>0</v>
      </c>
      <c r="E170" s="2" t="s">
        <v>1467</v>
      </c>
      <c r="F170" s="2" t="s">
        <v>31</v>
      </c>
      <c r="G170" s="2" t="s">
        <v>1541</v>
      </c>
      <c r="H170" s="17">
        <v>47600</v>
      </c>
      <c r="I170" s="2"/>
      <c r="J170" s="2"/>
      <c r="K170" s="17">
        <v>47600</v>
      </c>
      <c r="L170" s="17">
        <v>5100</v>
      </c>
      <c r="M170" s="17">
        <v>42500</v>
      </c>
      <c r="N170" s="17">
        <v>47600</v>
      </c>
      <c r="O170" s="2"/>
      <c r="P170" s="2"/>
      <c r="Q170" s="31" t="s">
        <v>30</v>
      </c>
      <c r="R170" s="66"/>
      <c r="S170" s="62"/>
      <c r="T170" s="5"/>
    </row>
    <row r="171" spans="1:20">
      <c r="A171" s="2" t="s">
        <v>1467</v>
      </c>
      <c r="B171" s="2" t="s">
        <v>1544</v>
      </c>
      <c r="C171" s="2" t="s">
        <v>29</v>
      </c>
      <c r="D171" s="16">
        <v>0</v>
      </c>
      <c r="E171" s="2" t="s">
        <v>1467</v>
      </c>
      <c r="F171" s="2" t="s">
        <v>31</v>
      </c>
      <c r="G171" s="2" t="s">
        <v>1545</v>
      </c>
      <c r="H171" s="17">
        <v>12600</v>
      </c>
      <c r="I171" s="2"/>
      <c r="J171" s="2"/>
      <c r="K171" s="17">
        <v>12600</v>
      </c>
      <c r="L171" s="17">
        <v>1350</v>
      </c>
      <c r="M171" s="17">
        <v>11250</v>
      </c>
      <c r="N171" s="17">
        <v>12600</v>
      </c>
      <c r="O171" s="2"/>
      <c r="P171" s="2"/>
      <c r="Q171" s="31" t="s">
        <v>30</v>
      </c>
      <c r="R171" s="66"/>
      <c r="S171" s="62"/>
      <c r="T171" s="5"/>
    </row>
    <row r="172" spans="1:20">
      <c r="A172" s="2" t="s">
        <v>1467</v>
      </c>
      <c r="B172" s="2" t="s">
        <v>1546</v>
      </c>
      <c r="C172" s="2" t="s">
        <v>29</v>
      </c>
      <c r="D172" s="16">
        <v>0</v>
      </c>
      <c r="E172" s="2" t="s">
        <v>1467</v>
      </c>
      <c r="F172" s="2" t="s">
        <v>31</v>
      </c>
      <c r="G172" s="2" t="s">
        <v>1547</v>
      </c>
      <c r="H172" s="17">
        <v>2600</v>
      </c>
      <c r="I172" s="2"/>
      <c r="J172" s="2"/>
      <c r="K172" s="17">
        <v>2600</v>
      </c>
      <c r="L172" s="18">
        <v>278.57</v>
      </c>
      <c r="M172" s="17">
        <v>2321.4299999999998</v>
      </c>
      <c r="N172" s="17">
        <v>2600</v>
      </c>
      <c r="O172" s="2"/>
      <c r="P172" s="2"/>
      <c r="Q172" s="31" t="s">
        <v>30</v>
      </c>
      <c r="R172" s="66"/>
      <c r="S172" s="62"/>
      <c r="T172" s="5"/>
    </row>
    <row r="173" spans="1:20">
      <c r="A173" s="2" t="s">
        <v>1467</v>
      </c>
      <c r="B173" s="2" t="s">
        <v>1548</v>
      </c>
      <c r="C173" s="2" t="s">
        <v>29</v>
      </c>
      <c r="D173" s="16">
        <v>0</v>
      </c>
      <c r="E173" s="2" t="s">
        <v>1467</v>
      </c>
      <c r="F173" s="2" t="s">
        <v>31</v>
      </c>
      <c r="G173" s="2" t="s">
        <v>1549</v>
      </c>
      <c r="H173" s="17">
        <v>32250</v>
      </c>
      <c r="I173" s="2"/>
      <c r="J173" s="2"/>
      <c r="K173" s="17">
        <v>32250</v>
      </c>
      <c r="L173" s="17">
        <v>3455.36</v>
      </c>
      <c r="M173" s="17">
        <v>28794.639999999999</v>
      </c>
      <c r="N173" s="17">
        <v>32250</v>
      </c>
      <c r="O173" s="2"/>
      <c r="P173" s="2"/>
      <c r="Q173" s="31" t="s">
        <v>30</v>
      </c>
      <c r="R173" s="65"/>
      <c r="S173" s="62"/>
      <c r="T173" s="5"/>
    </row>
    <row r="174" spans="1:20">
      <c r="A174" s="2" t="s">
        <v>1217</v>
      </c>
      <c r="B174" s="2" t="s">
        <v>1247</v>
      </c>
      <c r="C174" s="2" t="s">
        <v>60</v>
      </c>
      <c r="D174" s="16">
        <v>0</v>
      </c>
      <c r="E174" s="2" t="s">
        <v>1217</v>
      </c>
      <c r="F174" s="2" t="s">
        <v>1248</v>
      </c>
      <c r="G174" s="2" t="s">
        <v>1249</v>
      </c>
      <c r="H174" s="17">
        <v>106715</v>
      </c>
      <c r="I174" s="2"/>
      <c r="J174" s="2"/>
      <c r="K174" s="17">
        <v>106715</v>
      </c>
      <c r="L174" s="17">
        <v>11433.75</v>
      </c>
      <c r="M174" s="17">
        <v>95281.25</v>
      </c>
      <c r="N174" s="17">
        <v>106715</v>
      </c>
      <c r="O174" s="2"/>
      <c r="P174" s="2"/>
      <c r="Q174" s="31" t="s">
        <v>30</v>
      </c>
      <c r="R174" s="61">
        <f>+K174+K175</f>
        <v>111045</v>
      </c>
      <c r="S174" s="62"/>
      <c r="T174" s="5"/>
    </row>
    <row r="175" spans="1:20">
      <c r="A175" s="2" t="s">
        <v>1287</v>
      </c>
      <c r="B175" s="2" t="s">
        <v>1318</v>
      </c>
      <c r="C175" s="2" t="s">
        <v>60</v>
      </c>
      <c r="D175" s="16">
        <v>0</v>
      </c>
      <c r="E175" s="2" t="s">
        <v>1287</v>
      </c>
      <c r="F175" s="2" t="s">
        <v>1248</v>
      </c>
      <c r="G175" s="2" t="s">
        <v>1319</v>
      </c>
      <c r="H175" s="17">
        <v>4330</v>
      </c>
      <c r="I175" s="2"/>
      <c r="J175" s="2"/>
      <c r="K175" s="17">
        <v>4330</v>
      </c>
      <c r="L175" s="18">
        <v>463.93</v>
      </c>
      <c r="M175" s="17">
        <v>3866.07</v>
      </c>
      <c r="N175" s="17">
        <v>4330</v>
      </c>
      <c r="O175" s="2"/>
      <c r="P175" s="2"/>
      <c r="Q175" s="31" t="s">
        <v>30</v>
      </c>
      <c r="R175" s="63"/>
      <c r="S175" s="62"/>
      <c r="T175" s="5"/>
    </row>
    <row r="176" spans="1:20">
      <c r="A176" s="2" t="s">
        <v>689</v>
      </c>
      <c r="B176" s="2" t="s">
        <v>711</v>
      </c>
      <c r="C176" s="2" t="s">
        <v>104</v>
      </c>
      <c r="D176" s="16">
        <v>0</v>
      </c>
      <c r="E176" s="2" t="s">
        <v>689</v>
      </c>
      <c r="F176" s="2" t="s">
        <v>712</v>
      </c>
      <c r="G176" s="2" t="s">
        <v>713</v>
      </c>
      <c r="H176" s="17">
        <v>397768</v>
      </c>
      <c r="I176" s="2"/>
      <c r="J176" s="2"/>
      <c r="K176" s="17">
        <v>397768</v>
      </c>
      <c r="L176" s="17">
        <v>42618</v>
      </c>
      <c r="M176" s="17">
        <v>355150</v>
      </c>
      <c r="N176" s="17">
        <v>397768</v>
      </c>
      <c r="O176" s="2"/>
      <c r="P176" s="2"/>
      <c r="Q176" s="31" t="s">
        <v>30</v>
      </c>
      <c r="R176" s="61">
        <f>+K176+K177+K178</f>
        <v>483656</v>
      </c>
      <c r="S176" s="62"/>
      <c r="T176" s="5"/>
    </row>
    <row r="177" spans="1:20">
      <c r="A177" s="2" t="s">
        <v>689</v>
      </c>
      <c r="B177" s="2" t="s">
        <v>714</v>
      </c>
      <c r="C177" s="2" t="s">
        <v>104</v>
      </c>
      <c r="D177" s="16">
        <v>0</v>
      </c>
      <c r="E177" s="2" t="s">
        <v>689</v>
      </c>
      <c r="F177" s="2" t="s">
        <v>712</v>
      </c>
      <c r="G177" s="2" t="s">
        <v>715</v>
      </c>
      <c r="H177" s="17">
        <v>38400</v>
      </c>
      <c r="I177" s="2"/>
      <c r="J177" s="2"/>
      <c r="K177" s="17">
        <v>38400</v>
      </c>
      <c r="L177" s="17">
        <v>4114.29</v>
      </c>
      <c r="M177" s="17">
        <v>34285.71</v>
      </c>
      <c r="N177" s="17">
        <v>38400</v>
      </c>
      <c r="O177" s="2"/>
      <c r="P177" s="2"/>
      <c r="Q177" s="31" t="s">
        <v>30</v>
      </c>
      <c r="R177" s="62"/>
      <c r="S177" s="62"/>
      <c r="T177" s="5"/>
    </row>
    <row r="178" spans="1:20">
      <c r="A178" s="2" t="s">
        <v>689</v>
      </c>
      <c r="B178" s="2" t="s">
        <v>716</v>
      </c>
      <c r="C178" s="2" t="s">
        <v>104</v>
      </c>
      <c r="D178" s="16">
        <v>0</v>
      </c>
      <c r="E178" s="2" t="s">
        <v>689</v>
      </c>
      <c r="F178" s="2" t="s">
        <v>712</v>
      </c>
      <c r="G178" s="2" t="s">
        <v>717</v>
      </c>
      <c r="H178" s="17">
        <v>47488</v>
      </c>
      <c r="I178" s="2"/>
      <c r="J178" s="2"/>
      <c r="K178" s="17">
        <v>47488</v>
      </c>
      <c r="L178" s="17">
        <v>5088</v>
      </c>
      <c r="M178" s="17">
        <v>42400</v>
      </c>
      <c r="N178" s="17">
        <v>47488</v>
      </c>
      <c r="O178" s="2"/>
      <c r="P178" s="2"/>
      <c r="Q178" s="31" t="s">
        <v>30</v>
      </c>
      <c r="R178" s="63"/>
      <c r="S178" s="62"/>
      <c r="T178" s="5"/>
    </row>
    <row r="179" spans="1:20">
      <c r="A179" s="2" t="s">
        <v>17</v>
      </c>
      <c r="B179" s="2" t="s">
        <v>39</v>
      </c>
      <c r="C179" s="2" t="s">
        <v>29</v>
      </c>
      <c r="D179" s="16">
        <v>0</v>
      </c>
      <c r="E179" s="2" t="s">
        <v>17</v>
      </c>
      <c r="F179" s="2" t="s">
        <v>40</v>
      </c>
      <c r="G179" s="2" t="s">
        <v>41</v>
      </c>
      <c r="H179" s="17">
        <v>186500</v>
      </c>
      <c r="I179" s="2"/>
      <c r="J179" s="2"/>
      <c r="K179" s="17">
        <v>186500</v>
      </c>
      <c r="L179" s="17">
        <v>19982.14</v>
      </c>
      <c r="M179" s="17">
        <v>166517.85999999999</v>
      </c>
      <c r="N179" s="17">
        <v>186500</v>
      </c>
      <c r="O179" s="2"/>
      <c r="P179" s="2"/>
      <c r="Q179" s="31" t="s">
        <v>30</v>
      </c>
      <c r="R179" s="61">
        <f>+K179+K180+K181+K182</f>
        <v>1339900</v>
      </c>
      <c r="S179" s="62"/>
      <c r="T179" s="5"/>
    </row>
    <row r="180" spans="1:20">
      <c r="A180" s="2" t="s">
        <v>17</v>
      </c>
      <c r="B180" s="2" t="s">
        <v>42</v>
      </c>
      <c r="C180" s="2" t="s">
        <v>29</v>
      </c>
      <c r="D180" s="16">
        <v>0</v>
      </c>
      <c r="E180" s="2" t="s">
        <v>17</v>
      </c>
      <c r="F180" s="2" t="s">
        <v>40</v>
      </c>
      <c r="G180" s="2" t="s">
        <v>43</v>
      </c>
      <c r="H180" s="17">
        <v>70000</v>
      </c>
      <c r="I180" s="2"/>
      <c r="J180" s="2"/>
      <c r="K180" s="17">
        <v>70000</v>
      </c>
      <c r="L180" s="17">
        <v>7500</v>
      </c>
      <c r="M180" s="17">
        <v>62500</v>
      </c>
      <c r="N180" s="17">
        <v>70000</v>
      </c>
      <c r="O180" s="2"/>
      <c r="P180" s="2"/>
      <c r="Q180" s="31" t="s">
        <v>30</v>
      </c>
      <c r="R180" s="62"/>
      <c r="S180" s="62"/>
      <c r="T180" s="5"/>
    </row>
    <row r="181" spans="1:20">
      <c r="A181" s="2" t="s">
        <v>17</v>
      </c>
      <c r="B181" s="2" t="s">
        <v>87</v>
      </c>
      <c r="C181" s="2" t="s">
        <v>29</v>
      </c>
      <c r="D181" s="16">
        <v>0</v>
      </c>
      <c r="E181" s="2" t="s">
        <v>17</v>
      </c>
      <c r="F181" s="2" t="s">
        <v>40</v>
      </c>
      <c r="G181" s="2" t="s">
        <v>88</v>
      </c>
      <c r="H181" s="17">
        <v>1008800</v>
      </c>
      <c r="I181" s="2"/>
      <c r="J181" s="2"/>
      <c r="K181" s="17">
        <v>1008800</v>
      </c>
      <c r="L181" s="17">
        <v>108085.71</v>
      </c>
      <c r="M181" s="17">
        <v>900714.29</v>
      </c>
      <c r="N181" s="17">
        <v>1008800</v>
      </c>
      <c r="O181" s="2"/>
      <c r="P181" s="2"/>
      <c r="Q181" s="31" t="s">
        <v>30</v>
      </c>
      <c r="R181" s="62"/>
      <c r="S181" s="62"/>
      <c r="T181" s="5"/>
    </row>
    <row r="182" spans="1:20">
      <c r="A182" s="2" t="s">
        <v>1217</v>
      </c>
      <c r="B182" s="2" t="s">
        <v>1284</v>
      </c>
      <c r="C182" s="2" t="s">
        <v>29</v>
      </c>
      <c r="D182" s="16">
        <v>0</v>
      </c>
      <c r="E182" s="2" t="s">
        <v>1217</v>
      </c>
      <c r="F182" s="2" t="s">
        <v>40</v>
      </c>
      <c r="G182" s="2" t="s">
        <v>1285</v>
      </c>
      <c r="H182" s="17">
        <v>74600</v>
      </c>
      <c r="I182" s="2"/>
      <c r="J182" s="2"/>
      <c r="K182" s="17">
        <v>74600</v>
      </c>
      <c r="L182" s="17">
        <v>7992.86</v>
      </c>
      <c r="M182" s="17">
        <v>66607.14</v>
      </c>
      <c r="N182" s="17">
        <v>74600</v>
      </c>
      <c r="O182" s="2"/>
      <c r="P182" s="2"/>
      <c r="Q182" s="31" t="s">
        <v>30</v>
      </c>
      <c r="R182" s="63"/>
      <c r="S182" s="62"/>
      <c r="T182" s="5"/>
    </row>
    <row r="183" spans="1:20">
      <c r="A183" s="2" t="s">
        <v>17</v>
      </c>
      <c r="B183" s="2" t="s">
        <v>84</v>
      </c>
      <c r="C183" s="2" t="s">
        <v>60</v>
      </c>
      <c r="D183" s="16">
        <v>0</v>
      </c>
      <c r="E183" s="2" t="s">
        <v>17</v>
      </c>
      <c r="F183" s="2" t="s">
        <v>85</v>
      </c>
      <c r="G183" s="2" t="s">
        <v>86</v>
      </c>
      <c r="H183" s="17">
        <v>266373</v>
      </c>
      <c r="I183" s="2"/>
      <c r="J183" s="2"/>
      <c r="K183" s="17">
        <v>266373</v>
      </c>
      <c r="L183" s="17">
        <v>28539.96</v>
      </c>
      <c r="M183" s="17">
        <v>237833.04</v>
      </c>
      <c r="N183" s="17">
        <v>266373</v>
      </c>
      <c r="O183" s="2"/>
      <c r="P183" s="2"/>
      <c r="Q183" s="31" t="s">
        <v>30</v>
      </c>
      <c r="R183" s="32">
        <f>+K183</f>
        <v>266373</v>
      </c>
      <c r="S183" s="62"/>
      <c r="T183" s="5"/>
    </row>
    <row r="184" spans="1:20">
      <c r="A184" s="2" t="s">
        <v>93</v>
      </c>
      <c r="B184" s="2" t="s">
        <v>154</v>
      </c>
      <c r="C184" s="2" t="s">
        <v>29</v>
      </c>
      <c r="D184" s="16">
        <v>0</v>
      </c>
      <c r="E184" s="2" t="s">
        <v>93</v>
      </c>
      <c r="F184" s="2" t="s">
        <v>155</v>
      </c>
      <c r="G184" s="2" t="s">
        <v>156</v>
      </c>
      <c r="H184" s="17">
        <v>168000</v>
      </c>
      <c r="I184" s="2"/>
      <c r="J184" s="2"/>
      <c r="K184" s="17">
        <v>168000</v>
      </c>
      <c r="L184" s="17">
        <v>18000</v>
      </c>
      <c r="M184" s="17">
        <v>150000</v>
      </c>
      <c r="N184" s="17">
        <v>168000</v>
      </c>
      <c r="O184" s="2"/>
      <c r="P184" s="2"/>
      <c r="Q184" s="31" t="s">
        <v>30</v>
      </c>
      <c r="R184" s="61">
        <f>+K184+K185+K186+K187+K188+K189+K190+K191+K192+K193+K194</f>
        <v>705028</v>
      </c>
      <c r="S184" s="62"/>
      <c r="T184" s="5"/>
    </row>
    <row r="185" spans="1:20">
      <c r="A185" s="2" t="s">
        <v>93</v>
      </c>
      <c r="B185" s="2" t="s">
        <v>157</v>
      </c>
      <c r="C185" s="2" t="s">
        <v>29</v>
      </c>
      <c r="D185" s="16">
        <v>0</v>
      </c>
      <c r="E185" s="2" t="s">
        <v>93</v>
      </c>
      <c r="F185" s="2" t="s">
        <v>155</v>
      </c>
      <c r="G185" s="2" t="s">
        <v>158</v>
      </c>
      <c r="H185" s="17">
        <v>13800</v>
      </c>
      <c r="I185" s="2"/>
      <c r="J185" s="2"/>
      <c r="K185" s="17">
        <v>13800</v>
      </c>
      <c r="L185" s="17">
        <v>1478.57</v>
      </c>
      <c r="M185" s="17">
        <v>12321.43</v>
      </c>
      <c r="N185" s="17">
        <v>13800</v>
      </c>
      <c r="O185" s="2"/>
      <c r="P185" s="2"/>
      <c r="Q185" s="31" t="s">
        <v>30</v>
      </c>
      <c r="R185" s="62"/>
      <c r="S185" s="62"/>
      <c r="T185" s="5"/>
    </row>
    <row r="186" spans="1:20">
      <c r="A186" s="2" t="s">
        <v>93</v>
      </c>
      <c r="B186" s="2" t="s">
        <v>159</v>
      </c>
      <c r="C186" s="2" t="s">
        <v>29</v>
      </c>
      <c r="D186" s="16">
        <v>0</v>
      </c>
      <c r="E186" s="2" t="s">
        <v>93</v>
      </c>
      <c r="F186" s="2" t="s">
        <v>155</v>
      </c>
      <c r="G186" s="2" t="s">
        <v>160</v>
      </c>
      <c r="H186" s="17">
        <v>109781</v>
      </c>
      <c r="I186" s="2"/>
      <c r="J186" s="2"/>
      <c r="K186" s="17">
        <v>109781</v>
      </c>
      <c r="L186" s="17">
        <v>11762.25</v>
      </c>
      <c r="M186" s="17">
        <v>98018.75</v>
      </c>
      <c r="N186" s="17">
        <v>109781</v>
      </c>
      <c r="O186" s="2"/>
      <c r="P186" s="2"/>
      <c r="Q186" s="31" t="s">
        <v>30</v>
      </c>
      <c r="R186" s="62"/>
      <c r="S186" s="62"/>
      <c r="T186" s="5"/>
    </row>
    <row r="187" spans="1:20">
      <c r="A187" s="2" t="s">
        <v>505</v>
      </c>
      <c r="B187" s="2" t="s">
        <v>567</v>
      </c>
      <c r="C187" s="2" t="s">
        <v>29</v>
      </c>
      <c r="D187" s="16">
        <v>0</v>
      </c>
      <c r="E187" s="2" t="s">
        <v>505</v>
      </c>
      <c r="F187" s="2" t="s">
        <v>155</v>
      </c>
      <c r="G187" s="2" t="s">
        <v>568</v>
      </c>
      <c r="H187" s="17">
        <v>100352</v>
      </c>
      <c r="I187" s="2"/>
      <c r="J187" s="2"/>
      <c r="K187" s="17">
        <v>100352</v>
      </c>
      <c r="L187" s="17">
        <v>10752</v>
      </c>
      <c r="M187" s="17">
        <v>89600</v>
      </c>
      <c r="N187" s="17">
        <v>100352</v>
      </c>
      <c r="O187" s="2"/>
      <c r="P187" s="2"/>
      <c r="Q187" s="31" t="s">
        <v>30</v>
      </c>
      <c r="R187" s="62"/>
      <c r="S187" s="62"/>
      <c r="T187" s="5"/>
    </row>
    <row r="188" spans="1:20">
      <c r="A188" s="2" t="s">
        <v>769</v>
      </c>
      <c r="B188" s="2" t="s">
        <v>798</v>
      </c>
      <c r="C188" s="2" t="s">
        <v>29</v>
      </c>
      <c r="D188" s="16">
        <v>0</v>
      </c>
      <c r="E188" s="2" t="s">
        <v>769</v>
      </c>
      <c r="F188" s="2" t="s">
        <v>155</v>
      </c>
      <c r="G188" s="2" t="s">
        <v>799</v>
      </c>
      <c r="H188" s="17">
        <v>103537</v>
      </c>
      <c r="I188" s="2"/>
      <c r="J188" s="2"/>
      <c r="K188" s="17">
        <v>103537</v>
      </c>
      <c r="L188" s="17">
        <v>11093.25</v>
      </c>
      <c r="M188" s="17">
        <v>92443.75</v>
      </c>
      <c r="N188" s="17">
        <v>103537</v>
      </c>
      <c r="O188" s="2"/>
      <c r="P188" s="2"/>
      <c r="Q188" s="31" t="s">
        <v>30</v>
      </c>
      <c r="R188" s="62"/>
      <c r="S188" s="62"/>
      <c r="T188" s="5"/>
    </row>
    <row r="189" spans="1:20">
      <c r="A189" s="2" t="s">
        <v>769</v>
      </c>
      <c r="B189" s="2" t="s">
        <v>800</v>
      </c>
      <c r="C189" s="2" t="s">
        <v>29</v>
      </c>
      <c r="D189" s="16">
        <v>0</v>
      </c>
      <c r="E189" s="2" t="s">
        <v>769</v>
      </c>
      <c r="F189" s="2" t="s">
        <v>155</v>
      </c>
      <c r="G189" s="2" t="s">
        <v>801</v>
      </c>
      <c r="H189" s="17">
        <v>58800</v>
      </c>
      <c r="I189" s="2"/>
      <c r="J189" s="2"/>
      <c r="K189" s="17">
        <v>58800</v>
      </c>
      <c r="L189" s="17">
        <v>6300</v>
      </c>
      <c r="M189" s="17">
        <v>52500</v>
      </c>
      <c r="N189" s="17">
        <v>58800</v>
      </c>
      <c r="O189" s="2"/>
      <c r="P189" s="2"/>
      <c r="Q189" s="31" t="s">
        <v>30</v>
      </c>
      <c r="R189" s="62"/>
      <c r="S189" s="62"/>
      <c r="T189" s="5"/>
    </row>
    <row r="190" spans="1:20">
      <c r="A190" s="2" t="s">
        <v>769</v>
      </c>
      <c r="B190" s="2" t="s">
        <v>802</v>
      </c>
      <c r="C190" s="2" t="s">
        <v>29</v>
      </c>
      <c r="D190" s="16">
        <v>0</v>
      </c>
      <c r="E190" s="2" t="s">
        <v>769</v>
      </c>
      <c r="F190" s="2" t="s">
        <v>155</v>
      </c>
      <c r="G190" s="2" t="s">
        <v>803</v>
      </c>
      <c r="H190" s="17">
        <v>8400</v>
      </c>
      <c r="I190" s="2"/>
      <c r="J190" s="2"/>
      <c r="K190" s="17">
        <v>8400</v>
      </c>
      <c r="L190" s="18">
        <v>900</v>
      </c>
      <c r="M190" s="17">
        <v>7500</v>
      </c>
      <c r="N190" s="17">
        <v>8400</v>
      </c>
      <c r="O190" s="2"/>
      <c r="P190" s="2"/>
      <c r="Q190" s="31" t="s">
        <v>30</v>
      </c>
      <c r="R190" s="62"/>
      <c r="S190" s="62"/>
      <c r="T190" s="5"/>
    </row>
    <row r="191" spans="1:20">
      <c r="A191" s="2" t="s">
        <v>1048</v>
      </c>
      <c r="B191" s="2" t="s">
        <v>1088</v>
      </c>
      <c r="C191" s="2" t="s">
        <v>29</v>
      </c>
      <c r="D191" s="16">
        <v>0</v>
      </c>
      <c r="E191" s="2" t="s">
        <v>1048</v>
      </c>
      <c r="F191" s="2" t="s">
        <v>155</v>
      </c>
      <c r="G191" s="2" t="s">
        <v>1089</v>
      </c>
      <c r="H191" s="17">
        <v>39208</v>
      </c>
      <c r="I191" s="2"/>
      <c r="J191" s="2"/>
      <c r="K191" s="17">
        <v>39208</v>
      </c>
      <c r="L191" s="17">
        <v>4200.8599999999997</v>
      </c>
      <c r="M191" s="17">
        <v>35007.14</v>
      </c>
      <c r="N191" s="17">
        <v>39208</v>
      </c>
      <c r="O191" s="2"/>
      <c r="P191" s="2"/>
      <c r="Q191" s="31" t="s">
        <v>30</v>
      </c>
      <c r="R191" s="62"/>
      <c r="S191" s="62"/>
      <c r="T191" s="5"/>
    </row>
    <row r="192" spans="1:20">
      <c r="A192" s="2" t="s">
        <v>1467</v>
      </c>
      <c r="B192" s="2" t="s">
        <v>1534</v>
      </c>
      <c r="C192" s="2" t="s">
        <v>29</v>
      </c>
      <c r="D192" s="16">
        <v>0</v>
      </c>
      <c r="E192" s="2" t="s">
        <v>1467</v>
      </c>
      <c r="F192" s="2" t="s">
        <v>155</v>
      </c>
      <c r="G192" s="2" t="s">
        <v>1535</v>
      </c>
      <c r="H192" s="17">
        <v>67200</v>
      </c>
      <c r="I192" s="2"/>
      <c r="J192" s="2"/>
      <c r="K192" s="17">
        <v>67200</v>
      </c>
      <c r="L192" s="17">
        <v>7200</v>
      </c>
      <c r="M192" s="17">
        <v>60000</v>
      </c>
      <c r="N192" s="17">
        <v>67200</v>
      </c>
      <c r="O192" s="2"/>
      <c r="P192" s="2"/>
      <c r="Q192" s="31" t="s">
        <v>30</v>
      </c>
      <c r="R192" s="62"/>
      <c r="S192" s="62"/>
      <c r="T192" s="5"/>
    </row>
    <row r="193" spans="1:20">
      <c r="A193" s="2" t="s">
        <v>1467</v>
      </c>
      <c r="B193" s="2" t="s">
        <v>1538</v>
      </c>
      <c r="C193" s="2" t="s">
        <v>29</v>
      </c>
      <c r="D193" s="16">
        <v>0</v>
      </c>
      <c r="E193" s="2" t="s">
        <v>1467</v>
      </c>
      <c r="F193" s="2" t="s">
        <v>155</v>
      </c>
      <c r="G193" s="2" t="s">
        <v>1539</v>
      </c>
      <c r="H193" s="17">
        <v>13775</v>
      </c>
      <c r="I193" s="2"/>
      <c r="J193" s="2"/>
      <c r="K193" s="17">
        <v>13775</v>
      </c>
      <c r="L193" s="17">
        <v>1475.89</v>
      </c>
      <c r="M193" s="17">
        <v>12299.11</v>
      </c>
      <c r="N193" s="17">
        <v>13775</v>
      </c>
      <c r="O193" s="2"/>
      <c r="P193" s="2"/>
      <c r="Q193" s="31" t="s">
        <v>30</v>
      </c>
      <c r="R193" s="62"/>
      <c r="S193" s="62"/>
      <c r="T193" s="5"/>
    </row>
    <row r="194" spans="1:20">
      <c r="A194" s="2" t="s">
        <v>1467</v>
      </c>
      <c r="B194" s="2" t="s">
        <v>1542</v>
      </c>
      <c r="C194" s="2" t="s">
        <v>29</v>
      </c>
      <c r="D194" s="16">
        <v>0</v>
      </c>
      <c r="E194" s="2" t="s">
        <v>1467</v>
      </c>
      <c r="F194" s="2" t="s">
        <v>155</v>
      </c>
      <c r="G194" s="2" t="s">
        <v>1543</v>
      </c>
      <c r="H194" s="17">
        <v>22175</v>
      </c>
      <c r="I194" s="2"/>
      <c r="J194" s="2"/>
      <c r="K194" s="17">
        <v>22175</v>
      </c>
      <c r="L194" s="17">
        <v>2375.89</v>
      </c>
      <c r="M194" s="17">
        <v>19799.11</v>
      </c>
      <c r="N194" s="17">
        <v>22175</v>
      </c>
      <c r="O194" s="2"/>
      <c r="P194" s="2"/>
      <c r="Q194" s="31" t="s">
        <v>30</v>
      </c>
      <c r="R194" s="63"/>
      <c r="S194" s="62"/>
      <c r="T194" s="5"/>
    </row>
    <row r="195" spans="1:20">
      <c r="A195" s="2" t="s">
        <v>505</v>
      </c>
      <c r="B195" s="2" t="s">
        <v>580</v>
      </c>
      <c r="C195" s="2" t="s">
        <v>18</v>
      </c>
      <c r="D195" s="16">
        <v>0</v>
      </c>
      <c r="E195" s="2" t="s">
        <v>505</v>
      </c>
      <c r="F195" s="2" t="s">
        <v>581</v>
      </c>
      <c r="G195" s="2" t="s">
        <v>582</v>
      </c>
      <c r="H195" s="17">
        <v>151200</v>
      </c>
      <c r="I195" s="2"/>
      <c r="J195" s="2"/>
      <c r="K195" s="17">
        <v>151200</v>
      </c>
      <c r="L195" s="17">
        <v>16200</v>
      </c>
      <c r="M195" s="17">
        <v>135000</v>
      </c>
      <c r="N195" s="17">
        <v>151200</v>
      </c>
      <c r="O195" s="2"/>
      <c r="P195" s="2"/>
      <c r="Q195" s="31" t="s">
        <v>30</v>
      </c>
      <c r="R195" s="61">
        <f>+K195+K196+K197+K198+K199</f>
        <v>1555960</v>
      </c>
      <c r="S195" s="62"/>
      <c r="T195" s="5"/>
    </row>
    <row r="196" spans="1:20">
      <c r="A196" s="2" t="s">
        <v>505</v>
      </c>
      <c r="B196" s="2" t="s">
        <v>583</v>
      </c>
      <c r="C196" s="2" t="s">
        <v>18</v>
      </c>
      <c r="D196" s="16">
        <v>0</v>
      </c>
      <c r="E196" s="2" t="s">
        <v>505</v>
      </c>
      <c r="F196" s="2" t="s">
        <v>581</v>
      </c>
      <c r="G196" s="2" t="s">
        <v>584</v>
      </c>
      <c r="H196" s="17">
        <v>23800</v>
      </c>
      <c r="I196" s="2"/>
      <c r="J196" s="2"/>
      <c r="K196" s="17">
        <v>23800</v>
      </c>
      <c r="L196" s="17">
        <v>2550</v>
      </c>
      <c r="M196" s="17">
        <v>21250</v>
      </c>
      <c r="N196" s="17">
        <v>23800</v>
      </c>
      <c r="O196" s="2"/>
      <c r="P196" s="2"/>
      <c r="Q196" s="31" t="s">
        <v>30</v>
      </c>
      <c r="R196" s="62"/>
      <c r="S196" s="62"/>
      <c r="T196" s="5"/>
    </row>
    <row r="197" spans="1:20">
      <c r="A197" s="2" t="s">
        <v>1553</v>
      </c>
      <c r="B197" s="2" t="s">
        <v>1605</v>
      </c>
      <c r="C197" s="2" t="s">
        <v>18</v>
      </c>
      <c r="D197" s="16">
        <v>0</v>
      </c>
      <c r="E197" s="2" t="s">
        <v>1553</v>
      </c>
      <c r="F197" s="2" t="s">
        <v>581</v>
      </c>
      <c r="G197" s="2" t="s">
        <v>1606</v>
      </c>
      <c r="H197" s="17">
        <v>353460</v>
      </c>
      <c r="I197" s="2"/>
      <c r="J197" s="2"/>
      <c r="K197" s="17">
        <v>353460</v>
      </c>
      <c r="L197" s="17">
        <v>37870.71</v>
      </c>
      <c r="M197" s="17">
        <v>315589.28999999998</v>
      </c>
      <c r="N197" s="17">
        <v>353460</v>
      </c>
      <c r="O197" s="2"/>
      <c r="P197" s="2"/>
      <c r="Q197" s="31" t="s">
        <v>30</v>
      </c>
      <c r="R197" s="62"/>
      <c r="S197" s="62"/>
      <c r="T197" s="5"/>
    </row>
    <row r="198" spans="1:20">
      <c r="A198" s="2" t="s">
        <v>1553</v>
      </c>
      <c r="B198" s="2" t="s">
        <v>1607</v>
      </c>
      <c r="C198" s="2" t="s">
        <v>18</v>
      </c>
      <c r="D198" s="16">
        <v>0</v>
      </c>
      <c r="E198" s="2" t="s">
        <v>1553</v>
      </c>
      <c r="F198" s="2" t="s">
        <v>581</v>
      </c>
      <c r="G198" s="2" t="s">
        <v>1608</v>
      </c>
      <c r="H198" s="17">
        <v>1011060</v>
      </c>
      <c r="I198" s="2"/>
      <c r="J198" s="2"/>
      <c r="K198" s="17">
        <v>1011060</v>
      </c>
      <c r="L198" s="17">
        <v>108327.86</v>
      </c>
      <c r="M198" s="17">
        <v>902732.14</v>
      </c>
      <c r="N198" s="17">
        <v>1011060</v>
      </c>
      <c r="O198" s="2"/>
      <c r="P198" s="2"/>
      <c r="Q198" s="31" t="s">
        <v>30</v>
      </c>
      <c r="R198" s="62"/>
      <c r="S198" s="62"/>
      <c r="T198" s="5"/>
    </row>
    <row r="199" spans="1:20">
      <c r="A199" s="2" t="s">
        <v>1553</v>
      </c>
      <c r="B199" s="2" t="s">
        <v>1609</v>
      </c>
      <c r="C199" s="2" t="s">
        <v>18</v>
      </c>
      <c r="D199" s="16">
        <v>0</v>
      </c>
      <c r="E199" s="2" t="s">
        <v>1553</v>
      </c>
      <c r="F199" s="2" t="s">
        <v>581</v>
      </c>
      <c r="G199" s="2" t="s">
        <v>1610</v>
      </c>
      <c r="H199" s="17">
        <v>16440</v>
      </c>
      <c r="I199" s="2"/>
      <c r="J199" s="2"/>
      <c r="K199" s="17">
        <v>16440</v>
      </c>
      <c r="L199" s="17">
        <v>1761.43</v>
      </c>
      <c r="M199" s="17">
        <v>14678.57</v>
      </c>
      <c r="N199" s="17">
        <v>16440</v>
      </c>
      <c r="O199" s="2"/>
      <c r="P199" s="2"/>
      <c r="Q199" s="31" t="s">
        <v>30</v>
      </c>
      <c r="R199" s="63"/>
      <c r="S199" s="62"/>
      <c r="T199" s="5"/>
    </row>
    <row r="200" spans="1:20">
      <c r="A200" s="2" t="s">
        <v>199</v>
      </c>
      <c r="B200" s="2" t="s">
        <v>217</v>
      </c>
      <c r="C200" s="2" t="s">
        <v>29</v>
      </c>
      <c r="D200" s="16">
        <v>0</v>
      </c>
      <c r="E200" s="2" t="s">
        <v>199</v>
      </c>
      <c r="F200" s="2" t="s">
        <v>218</v>
      </c>
      <c r="G200" s="2" t="s">
        <v>219</v>
      </c>
      <c r="H200" s="17">
        <v>1078560</v>
      </c>
      <c r="I200" s="19">
        <v>-32356.799999999999</v>
      </c>
      <c r="J200" s="2"/>
      <c r="K200" s="17">
        <v>1046203.2</v>
      </c>
      <c r="L200" s="17">
        <v>112093.2</v>
      </c>
      <c r="M200" s="17">
        <v>934110</v>
      </c>
      <c r="N200" s="17">
        <v>1046203.2</v>
      </c>
      <c r="O200" s="2"/>
      <c r="P200" s="2"/>
      <c r="Q200" s="31" t="s">
        <v>30</v>
      </c>
      <c r="R200" s="61">
        <f>+K200+K201+K202+K203+K204+K205+K206+K207+K208</f>
        <v>2013886.8399999999</v>
      </c>
      <c r="S200" s="62"/>
      <c r="T200" s="5"/>
    </row>
    <row r="201" spans="1:20">
      <c r="A201" s="2" t="s">
        <v>448</v>
      </c>
      <c r="B201" s="2" t="s">
        <v>470</v>
      </c>
      <c r="C201" s="2" t="s">
        <v>29</v>
      </c>
      <c r="D201" s="16">
        <v>0</v>
      </c>
      <c r="E201" s="2" t="s">
        <v>448</v>
      </c>
      <c r="F201" s="2" t="s">
        <v>218</v>
      </c>
      <c r="G201" s="2" t="s">
        <v>471</v>
      </c>
      <c r="H201" s="17">
        <v>3038</v>
      </c>
      <c r="I201" s="19">
        <v>-91.14</v>
      </c>
      <c r="J201" s="2"/>
      <c r="K201" s="17">
        <v>2946.86</v>
      </c>
      <c r="L201" s="18">
        <v>315.73</v>
      </c>
      <c r="M201" s="17">
        <v>2631.13</v>
      </c>
      <c r="N201" s="17">
        <v>2946.86</v>
      </c>
      <c r="O201" s="2"/>
      <c r="P201" s="2"/>
      <c r="Q201" s="31" t="s">
        <v>30</v>
      </c>
      <c r="R201" s="62"/>
      <c r="S201" s="62"/>
      <c r="T201" s="5"/>
    </row>
    <row r="202" spans="1:20">
      <c r="A202" s="2" t="s">
        <v>689</v>
      </c>
      <c r="B202" s="2" t="s">
        <v>742</v>
      </c>
      <c r="C202" s="2" t="s">
        <v>29</v>
      </c>
      <c r="D202" s="16">
        <v>0</v>
      </c>
      <c r="E202" s="2" t="s">
        <v>689</v>
      </c>
      <c r="F202" s="2" t="s">
        <v>218</v>
      </c>
      <c r="G202" s="2" t="s">
        <v>743</v>
      </c>
      <c r="H202" s="17">
        <v>22936</v>
      </c>
      <c r="I202" s="19">
        <v>-688.08</v>
      </c>
      <c r="J202" s="2"/>
      <c r="K202" s="17">
        <v>22247.919999999998</v>
      </c>
      <c r="L202" s="17">
        <v>2383.71</v>
      </c>
      <c r="M202" s="17">
        <v>19864.21</v>
      </c>
      <c r="N202" s="17">
        <v>22247.919999999998</v>
      </c>
      <c r="O202" s="2"/>
      <c r="P202" s="2"/>
      <c r="Q202" s="31" t="s">
        <v>30</v>
      </c>
      <c r="R202" s="62"/>
      <c r="S202" s="62"/>
      <c r="T202" s="5"/>
    </row>
    <row r="203" spans="1:20">
      <c r="A203" s="2" t="s">
        <v>689</v>
      </c>
      <c r="B203" s="2" t="s">
        <v>744</v>
      </c>
      <c r="C203" s="2" t="s">
        <v>29</v>
      </c>
      <c r="D203" s="16">
        <v>0</v>
      </c>
      <c r="E203" s="2" t="s">
        <v>689</v>
      </c>
      <c r="F203" s="2" t="s">
        <v>218</v>
      </c>
      <c r="G203" s="2" t="s">
        <v>745</v>
      </c>
      <c r="H203" s="17">
        <v>61692</v>
      </c>
      <c r="I203" s="19">
        <v>-1850.76</v>
      </c>
      <c r="J203" s="2"/>
      <c r="K203" s="17">
        <v>59841.24</v>
      </c>
      <c r="L203" s="17">
        <v>6411.56</v>
      </c>
      <c r="M203" s="17">
        <v>53429.68</v>
      </c>
      <c r="N203" s="17">
        <v>59841.24</v>
      </c>
      <c r="O203" s="2"/>
      <c r="P203" s="2"/>
      <c r="Q203" s="31" t="s">
        <v>30</v>
      </c>
      <c r="R203" s="62"/>
      <c r="S203" s="62"/>
      <c r="T203" s="5"/>
    </row>
    <row r="204" spans="1:20">
      <c r="A204" s="2" t="s">
        <v>866</v>
      </c>
      <c r="B204" s="2" t="s">
        <v>912</v>
      </c>
      <c r="C204" s="2" t="s">
        <v>29</v>
      </c>
      <c r="D204" s="16">
        <v>0</v>
      </c>
      <c r="E204" s="2" t="s">
        <v>866</v>
      </c>
      <c r="F204" s="2" t="s">
        <v>218</v>
      </c>
      <c r="G204" s="2" t="s">
        <v>913</v>
      </c>
      <c r="H204" s="17">
        <v>32004</v>
      </c>
      <c r="I204" s="19">
        <v>-960.12</v>
      </c>
      <c r="J204" s="2"/>
      <c r="K204" s="17">
        <v>31043.88</v>
      </c>
      <c r="L204" s="17">
        <v>3326.13</v>
      </c>
      <c r="M204" s="17">
        <v>27717.75</v>
      </c>
      <c r="N204" s="17">
        <v>31043.88</v>
      </c>
      <c r="O204" s="2"/>
      <c r="P204" s="2"/>
      <c r="Q204" s="31" t="s">
        <v>30</v>
      </c>
      <c r="R204" s="62"/>
      <c r="S204" s="62"/>
      <c r="T204" s="5"/>
    </row>
    <row r="205" spans="1:20">
      <c r="A205" s="2" t="s">
        <v>1467</v>
      </c>
      <c r="B205" s="2" t="s">
        <v>1474</v>
      </c>
      <c r="C205" s="2" t="s">
        <v>29</v>
      </c>
      <c r="D205" s="16">
        <v>0</v>
      </c>
      <c r="E205" s="2" t="s">
        <v>1467</v>
      </c>
      <c r="F205" s="2" t="s">
        <v>218</v>
      </c>
      <c r="G205" s="2" t="s">
        <v>1475</v>
      </c>
      <c r="H205" s="17">
        <v>166560</v>
      </c>
      <c r="I205" s="19">
        <v>-4996.8</v>
      </c>
      <c r="J205" s="2"/>
      <c r="K205" s="17">
        <v>161563.20000000001</v>
      </c>
      <c r="L205" s="17">
        <v>17310.34</v>
      </c>
      <c r="M205" s="17">
        <v>144252.85999999999</v>
      </c>
      <c r="N205" s="17">
        <v>161563.20000000001</v>
      </c>
      <c r="O205" s="2"/>
      <c r="P205" s="2"/>
      <c r="Q205" s="31" t="s">
        <v>30</v>
      </c>
      <c r="R205" s="62"/>
      <c r="S205" s="62"/>
      <c r="T205" s="5"/>
    </row>
    <row r="206" spans="1:20">
      <c r="A206" s="2" t="s">
        <v>1467</v>
      </c>
      <c r="B206" s="2" t="s">
        <v>1476</v>
      </c>
      <c r="C206" s="2" t="s">
        <v>29</v>
      </c>
      <c r="D206" s="16">
        <v>0</v>
      </c>
      <c r="E206" s="2" t="s">
        <v>1467</v>
      </c>
      <c r="F206" s="2" t="s">
        <v>218</v>
      </c>
      <c r="G206" s="2" t="s">
        <v>1477</v>
      </c>
      <c r="H206" s="17">
        <v>41756</v>
      </c>
      <c r="I206" s="19">
        <v>-1252.68</v>
      </c>
      <c r="J206" s="2"/>
      <c r="K206" s="17">
        <v>40503.32</v>
      </c>
      <c r="L206" s="17">
        <v>4339.6400000000003</v>
      </c>
      <c r="M206" s="17">
        <v>36163.68</v>
      </c>
      <c r="N206" s="17">
        <v>40503.32</v>
      </c>
      <c r="O206" s="2"/>
      <c r="P206" s="2"/>
      <c r="Q206" s="31" t="s">
        <v>30</v>
      </c>
      <c r="R206" s="62"/>
      <c r="S206" s="62"/>
      <c r="T206" s="5"/>
    </row>
    <row r="207" spans="1:20">
      <c r="A207" s="2" t="s">
        <v>1553</v>
      </c>
      <c r="B207" s="2" t="s">
        <v>1593</v>
      </c>
      <c r="C207" s="2" t="s">
        <v>29</v>
      </c>
      <c r="D207" s="16">
        <v>0</v>
      </c>
      <c r="E207" s="2" t="s">
        <v>1553</v>
      </c>
      <c r="F207" s="2" t="s">
        <v>218</v>
      </c>
      <c r="G207" s="2" t="s">
        <v>1594</v>
      </c>
      <c r="H207" s="17">
        <v>517172</v>
      </c>
      <c r="I207" s="19">
        <v>-15515.16</v>
      </c>
      <c r="J207" s="2"/>
      <c r="K207" s="17">
        <v>501656.84</v>
      </c>
      <c r="L207" s="17">
        <v>53748.95</v>
      </c>
      <c r="M207" s="17">
        <v>447907.89</v>
      </c>
      <c r="N207" s="17">
        <v>501656.84</v>
      </c>
      <c r="O207" s="2"/>
      <c r="P207" s="2"/>
      <c r="Q207" s="31" t="s">
        <v>30</v>
      </c>
      <c r="R207" s="62"/>
      <c r="S207" s="62"/>
      <c r="T207" s="5"/>
    </row>
    <row r="208" spans="1:20">
      <c r="A208" s="2" t="s">
        <v>1553</v>
      </c>
      <c r="B208" s="2" t="s">
        <v>1595</v>
      </c>
      <c r="C208" s="2" t="s">
        <v>29</v>
      </c>
      <c r="D208" s="16">
        <v>0</v>
      </c>
      <c r="E208" s="2" t="s">
        <v>1553</v>
      </c>
      <c r="F208" s="2" t="s">
        <v>218</v>
      </c>
      <c r="G208" s="2" t="s">
        <v>1596</v>
      </c>
      <c r="H208" s="17">
        <v>152454</v>
      </c>
      <c r="I208" s="19">
        <v>-4573.62</v>
      </c>
      <c r="J208" s="2"/>
      <c r="K208" s="17">
        <v>147880.38</v>
      </c>
      <c r="L208" s="17">
        <v>15844.33</v>
      </c>
      <c r="M208" s="17">
        <v>132036.04999999999</v>
      </c>
      <c r="N208" s="17">
        <v>147880.38</v>
      </c>
      <c r="O208" s="2"/>
      <c r="P208" s="2"/>
      <c r="Q208" s="31" t="s">
        <v>30</v>
      </c>
      <c r="R208" s="63"/>
      <c r="S208" s="63"/>
      <c r="T208" s="5"/>
    </row>
    <row r="209" spans="1:20">
      <c r="A209" s="2" t="s">
        <v>1048</v>
      </c>
      <c r="B209" s="2" t="s">
        <v>1113</v>
      </c>
      <c r="C209" s="2" t="s">
        <v>73</v>
      </c>
      <c r="D209" s="16">
        <v>30</v>
      </c>
      <c r="E209" s="2" t="s">
        <v>1056</v>
      </c>
      <c r="F209" s="2" t="s">
        <v>1114</v>
      </c>
      <c r="G209" s="2" t="s">
        <v>1115</v>
      </c>
      <c r="H209" s="17">
        <v>371089</v>
      </c>
      <c r="I209" s="2"/>
      <c r="J209" s="2"/>
      <c r="K209" s="17">
        <v>371089</v>
      </c>
      <c r="L209" s="17">
        <v>39759.54</v>
      </c>
      <c r="M209" s="17">
        <v>331329.46000000002</v>
      </c>
      <c r="N209" s="17">
        <v>371089</v>
      </c>
      <c r="O209" s="2"/>
      <c r="P209" s="2"/>
      <c r="Q209" s="31" t="s">
        <v>105</v>
      </c>
      <c r="R209" s="61">
        <f>+K209+K210+K211</f>
        <v>667016</v>
      </c>
      <c r="S209" s="61">
        <f>+R209+R212+R214+R216</f>
        <v>1239182.3999999999</v>
      </c>
      <c r="T209" s="5"/>
    </row>
    <row r="210" spans="1:20">
      <c r="A210" s="2" t="s">
        <v>1217</v>
      </c>
      <c r="B210" s="2" t="s">
        <v>1257</v>
      </c>
      <c r="C210" s="2" t="s">
        <v>73</v>
      </c>
      <c r="D210" s="16">
        <v>30</v>
      </c>
      <c r="E210" s="2" t="s">
        <v>1231</v>
      </c>
      <c r="F210" s="2" t="s">
        <v>1114</v>
      </c>
      <c r="G210" s="2" t="s">
        <v>1258</v>
      </c>
      <c r="H210" s="17">
        <v>80640</v>
      </c>
      <c r="I210" s="2"/>
      <c r="J210" s="2"/>
      <c r="K210" s="17">
        <v>80640</v>
      </c>
      <c r="L210" s="17">
        <v>8640</v>
      </c>
      <c r="M210" s="17">
        <v>72000</v>
      </c>
      <c r="N210" s="17">
        <v>80640</v>
      </c>
      <c r="O210" s="2"/>
      <c r="P210" s="2"/>
      <c r="Q210" s="31" t="s">
        <v>105</v>
      </c>
      <c r="R210" s="62"/>
      <c r="S210" s="62"/>
      <c r="T210" s="5"/>
    </row>
    <row r="211" spans="1:20">
      <c r="A211" s="2" t="s">
        <v>1217</v>
      </c>
      <c r="B211" s="2" t="s">
        <v>1259</v>
      </c>
      <c r="C211" s="2" t="s">
        <v>73</v>
      </c>
      <c r="D211" s="16">
        <v>30</v>
      </c>
      <c r="E211" s="2" t="s">
        <v>1231</v>
      </c>
      <c r="F211" s="2" t="s">
        <v>1114</v>
      </c>
      <c r="G211" s="2" t="s">
        <v>1260</v>
      </c>
      <c r="H211" s="17">
        <v>215287</v>
      </c>
      <c r="I211" s="2"/>
      <c r="J211" s="2"/>
      <c r="K211" s="17">
        <v>215287</v>
      </c>
      <c r="L211" s="17">
        <v>23066.46</v>
      </c>
      <c r="M211" s="17">
        <v>192220.54</v>
      </c>
      <c r="N211" s="17">
        <v>215287</v>
      </c>
      <c r="O211" s="2"/>
      <c r="P211" s="2"/>
      <c r="Q211" s="31" t="s">
        <v>105</v>
      </c>
      <c r="R211" s="63"/>
      <c r="S211" s="62"/>
      <c r="T211" s="5"/>
    </row>
    <row r="212" spans="1:20">
      <c r="A212" s="2" t="s">
        <v>199</v>
      </c>
      <c r="B212" s="2" t="s">
        <v>273</v>
      </c>
      <c r="C212" s="2" t="s">
        <v>104</v>
      </c>
      <c r="D212" s="16">
        <v>0</v>
      </c>
      <c r="E212" s="2" t="s">
        <v>199</v>
      </c>
      <c r="F212" s="2" t="s">
        <v>274</v>
      </c>
      <c r="G212" s="2" t="s">
        <v>275</v>
      </c>
      <c r="H212" s="17">
        <v>55933</v>
      </c>
      <c r="I212" s="19">
        <v>-1118.6600000000001</v>
      </c>
      <c r="J212" s="2"/>
      <c r="K212" s="17">
        <v>54814.34</v>
      </c>
      <c r="L212" s="17">
        <v>5872.97</v>
      </c>
      <c r="M212" s="17">
        <v>48941.37</v>
      </c>
      <c r="N212" s="17">
        <v>54814.34</v>
      </c>
      <c r="O212" s="2"/>
      <c r="P212" s="2"/>
      <c r="Q212" s="31" t="s">
        <v>105</v>
      </c>
      <c r="R212" s="61">
        <f>+K212+K213</f>
        <v>200586.4</v>
      </c>
      <c r="S212" s="62"/>
      <c r="T212" s="5"/>
    </row>
    <row r="213" spans="1:20">
      <c r="A213" s="2" t="s">
        <v>971</v>
      </c>
      <c r="B213" s="2" t="s">
        <v>1008</v>
      </c>
      <c r="C213" s="2" t="s">
        <v>104</v>
      </c>
      <c r="D213" s="16">
        <v>0</v>
      </c>
      <c r="E213" s="2" t="s">
        <v>971</v>
      </c>
      <c r="F213" s="2" t="s">
        <v>274</v>
      </c>
      <c r="G213" s="2" t="s">
        <v>1009</v>
      </c>
      <c r="H213" s="17">
        <v>148747</v>
      </c>
      <c r="I213" s="19">
        <v>-2974.94</v>
      </c>
      <c r="J213" s="2"/>
      <c r="K213" s="17">
        <v>145772.06</v>
      </c>
      <c r="L213" s="17">
        <v>15618.44</v>
      </c>
      <c r="M213" s="17">
        <v>130153.62</v>
      </c>
      <c r="N213" s="17">
        <v>145772.06</v>
      </c>
      <c r="O213" s="2"/>
      <c r="P213" s="2"/>
      <c r="Q213" s="31" t="s">
        <v>105</v>
      </c>
      <c r="R213" s="63"/>
      <c r="S213" s="62"/>
      <c r="T213" s="5"/>
    </row>
    <row r="214" spans="1:20">
      <c r="A214" s="2" t="s">
        <v>93</v>
      </c>
      <c r="B214" s="2" t="s">
        <v>103</v>
      </c>
      <c r="C214" s="2" t="s">
        <v>104</v>
      </c>
      <c r="D214" s="16">
        <v>0</v>
      </c>
      <c r="E214" s="2" t="s">
        <v>93</v>
      </c>
      <c r="F214" s="2" t="s">
        <v>106</v>
      </c>
      <c r="G214" s="2" t="s">
        <v>107</v>
      </c>
      <c r="H214" s="17">
        <v>114000</v>
      </c>
      <c r="I214" s="19">
        <v>-3420</v>
      </c>
      <c r="J214" s="2"/>
      <c r="K214" s="17">
        <v>110580</v>
      </c>
      <c r="L214" s="17">
        <v>11847.86</v>
      </c>
      <c r="M214" s="17">
        <v>98732.14</v>
      </c>
      <c r="N214" s="17">
        <v>110580</v>
      </c>
      <c r="O214" s="2"/>
      <c r="P214" s="2"/>
      <c r="Q214" s="31" t="s">
        <v>105</v>
      </c>
      <c r="R214" s="61">
        <f>+K214+K215</f>
        <v>362780</v>
      </c>
      <c r="S214" s="62"/>
      <c r="T214" s="5"/>
    </row>
    <row r="215" spans="1:20">
      <c r="A215" s="2" t="s">
        <v>93</v>
      </c>
      <c r="B215" s="2" t="s">
        <v>108</v>
      </c>
      <c r="C215" s="2" t="s">
        <v>104</v>
      </c>
      <c r="D215" s="16">
        <v>0</v>
      </c>
      <c r="E215" s="2" t="s">
        <v>93</v>
      </c>
      <c r="F215" s="2" t="s">
        <v>106</v>
      </c>
      <c r="G215" s="2" t="s">
        <v>109</v>
      </c>
      <c r="H215" s="17">
        <v>260000</v>
      </c>
      <c r="I215" s="19">
        <v>-7800</v>
      </c>
      <c r="J215" s="2"/>
      <c r="K215" s="17">
        <v>252200</v>
      </c>
      <c r="L215" s="17">
        <v>27021.43</v>
      </c>
      <c r="M215" s="17">
        <v>225178.57</v>
      </c>
      <c r="N215" s="17">
        <v>252200</v>
      </c>
      <c r="O215" s="2"/>
      <c r="P215" s="2"/>
      <c r="Q215" s="31" t="s">
        <v>105</v>
      </c>
      <c r="R215" s="63"/>
      <c r="S215" s="62"/>
      <c r="T215" s="5"/>
    </row>
    <row r="216" spans="1:20">
      <c r="A216" s="2" t="s">
        <v>866</v>
      </c>
      <c r="B216" s="2" t="s">
        <v>909</v>
      </c>
      <c r="C216" s="2" t="s">
        <v>60</v>
      </c>
      <c r="D216" s="16">
        <v>0</v>
      </c>
      <c r="E216" s="2" t="s">
        <v>866</v>
      </c>
      <c r="F216" s="2" t="s">
        <v>910</v>
      </c>
      <c r="G216" s="2" t="s">
        <v>911</v>
      </c>
      <c r="H216" s="17">
        <v>8800</v>
      </c>
      <c r="I216" s="2"/>
      <c r="J216" s="2"/>
      <c r="K216" s="17">
        <v>8800</v>
      </c>
      <c r="L216" s="18">
        <v>942.86</v>
      </c>
      <c r="M216" s="17">
        <v>7857.14</v>
      </c>
      <c r="N216" s="17">
        <v>8800</v>
      </c>
      <c r="O216" s="2"/>
      <c r="P216" s="2"/>
      <c r="Q216" s="31" t="s">
        <v>105</v>
      </c>
      <c r="R216" s="32">
        <f>+K216</f>
        <v>8800</v>
      </c>
      <c r="S216" s="62"/>
      <c r="T216" s="5"/>
    </row>
    <row r="217" spans="1:20">
      <c r="A217" s="2" t="s">
        <v>199</v>
      </c>
      <c r="B217" s="2" t="s">
        <v>249</v>
      </c>
      <c r="C217" s="2" t="s">
        <v>146</v>
      </c>
      <c r="D217" s="16">
        <v>90</v>
      </c>
      <c r="E217" s="2" t="s">
        <v>233</v>
      </c>
      <c r="F217" s="2" t="s">
        <v>250</v>
      </c>
      <c r="G217" s="2" t="s">
        <v>251</v>
      </c>
      <c r="H217" s="17">
        <v>101126</v>
      </c>
      <c r="I217" s="2"/>
      <c r="J217" s="2"/>
      <c r="K217" s="17">
        <v>101126</v>
      </c>
      <c r="L217" s="17">
        <v>10834.93</v>
      </c>
      <c r="M217" s="17">
        <v>90291.07</v>
      </c>
      <c r="N217" s="17">
        <v>101126</v>
      </c>
      <c r="O217" s="2"/>
      <c r="P217" s="2"/>
      <c r="Q217" s="31" t="s">
        <v>139</v>
      </c>
      <c r="R217" s="64">
        <f>+K217+K218+K219</f>
        <v>1106086</v>
      </c>
      <c r="S217" s="61">
        <f>+R217+R220+R221+R223+R224+R225+R227+R237+R238+R239+R252+R259+R260+R263+R264+R265+R266+R272+R273+R279+R280+R281</f>
        <v>10721069.899999999</v>
      </c>
      <c r="T217" s="5"/>
    </row>
    <row r="218" spans="1:20">
      <c r="A218" s="2" t="s">
        <v>448</v>
      </c>
      <c r="B218" s="2" t="s">
        <v>494</v>
      </c>
      <c r="C218" s="2" t="s">
        <v>146</v>
      </c>
      <c r="D218" s="16">
        <v>90</v>
      </c>
      <c r="E218" s="2" t="s">
        <v>479</v>
      </c>
      <c r="F218" s="2" t="s">
        <v>250</v>
      </c>
      <c r="G218" s="2" t="s">
        <v>495</v>
      </c>
      <c r="H218" s="17">
        <v>26528</v>
      </c>
      <c r="I218" s="2"/>
      <c r="J218" s="2"/>
      <c r="K218" s="17">
        <v>26528</v>
      </c>
      <c r="L218" s="17">
        <v>2842.29</v>
      </c>
      <c r="M218" s="17">
        <v>23685.71</v>
      </c>
      <c r="N218" s="17">
        <v>26528</v>
      </c>
      <c r="O218" s="2"/>
      <c r="P218" s="2"/>
      <c r="Q218" s="31" t="s">
        <v>139</v>
      </c>
      <c r="R218" s="66"/>
      <c r="S218" s="62"/>
      <c r="T218" s="5"/>
    </row>
    <row r="219" spans="1:20">
      <c r="A219" s="2" t="s">
        <v>448</v>
      </c>
      <c r="B219" s="2" t="s">
        <v>496</v>
      </c>
      <c r="C219" s="2" t="s">
        <v>146</v>
      </c>
      <c r="D219" s="16">
        <v>90</v>
      </c>
      <c r="E219" s="2" t="s">
        <v>479</v>
      </c>
      <c r="F219" s="2" t="s">
        <v>250</v>
      </c>
      <c r="G219" s="2" t="s">
        <v>497</v>
      </c>
      <c r="H219" s="17">
        <v>978432</v>
      </c>
      <c r="I219" s="2"/>
      <c r="J219" s="2"/>
      <c r="K219" s="17">
        <v>978432</v>
      </c>
      <c r="L219" s="17">
        <v>104832</v>
      </c>
      <c r="M219" s="17">
        <v>873600</v>
      </c>
      <c r="N219" s="17">
        <v>978432</v>
      </c>
      <c r="O219" s="2"/>
      <c r="P219" s="2"/>
      <c r="Q219" s="31" t="s">
        <v>139</v>
      </c>
      <c r="R219" s="65"/>
      <c r="S219" s="62"/>
      <c r="T219" s="5"/>
    </row>
    <row r="220" spans="1:20">
      <c r="A220" s="2" t="s">
        <v>368</v>
      </c>
      <c r="B220" s="2" t="s">
        <v>408</v>
      </c>
      <c r="C220" s="2" t="s">
        <v>146</v>
      </c>
      <c r="D220" s="16">
        <v>90</v>
      </c>
      <c r="E220" s="2" t="s">
        <v>383</v>
      </c>
      <c r="F220" s="2" t="s">
        <v>409</v>
      </c>
      <c r="G220" s="2" t="s">
        <v>410</v>
      </c>
      <c r="H220" s="17">
        <v>1485206</v>
      </c>
      <c r="I220" s="2"/>
      <c r="J220" s="2"/>
      <c r="K220" s="17">
        <v>1485206</v>
      </c>
      <c r="L220" s="17">
        <v>159129.21</v>
      </c>
      <c r="M220" s="17">
        <v>1326076.79</v>
      </c>
      <c r="N220" s="17">
        <v>1485206</v>
      </c>
      <c r="O220" s="2"/>
      <c r="P220" s="2"/>
      <c r="Q220" s="31" t="s">
        <v>139</v>
      </c>
      <c r="R220" s="41">
        <f>+K220</f>
        <v>1485206</v>
      </c>
      <c r="S220" s="62"/>
      <c r="T220" s="5"/>
    </row>
    <row r="221" spans="1:20">
      <c r="A221" s="2" t="s">
        <v>1048</v>
      </c>
      <c r="B221" s="2" t="s">
        <v>1096</v>
      </c>
      <c r="C221" s="2" t="s">
        <v>60</v>
      </c>
      <c r="D221" s="16">
        <v>0</v>
      </c>
      <c r="E221" s="2" t="s">
        <v>1048</v>
      </c>
      <c r="F221" s="2" t="s">
        <v>1097</v>
      </c>
      <c r="G221" s="2" t="s">
        <v>1098</v>
      </c>
      <c r="H221" s="17">
        <v>106000</v>
      </c>
      <c r="I221" s="2"/>
      <c r="J221" s="2"/>
      <c r="K221" s="17">
        <v>106000</v>
      </c>
      <c r="L221" s="17">
        <v>11357.14</v>
      </c>
      <c r="M221" s="17">
        <v>94642.86</v>
      </c>
      <c r="N221" s="17">
        <v>106000</v>
      </c>
      <c r="O221" s="2"/>
      <c r="P221" s="2"/>
      <c r="Q221" s="31" t="s">
        <v>139</v>
      </c>
      <c r="R221" s="64">
        <f>+K221+K222</f>
        <v>371000</v>
      </c>
      <c r="S221" s="62"/>
      <c r="T221" s="5"/>
    </row>
    <row r="222" spans="1:20">
      <c r="A222" s="2" t="s">
        <v>1048</v>
      </c>
      <c r="B222" s="2" t="s">
        <v>1099</v>
      </c>
      <c r="C222" s="2" t="s">
        <v>60</v>
      </c>
      <c r="D222" s="16">
        <v>0</v>
      </c>
      <c r="E222" s="2" t="s">
        <v>1048</v>
      </c>
      <c r="F222" s="2" t="s">
        <v>1097</v>
      </c>
      <c r="G222" s="2" t="s">
        <v>1100</v>
      </c>
      <c r="H222" s="17">
        <v>265000</v>
      </c>
      <c r="I222" s="2"/>
      <c r="J222" s="2"/>
      <c r="K222" s="17">
        <v>265000</v>
      </c>
      <c r="L222" s="17">
        <v>28392.86</v>
      </c>
      <c r="M222" s="17">
        <v>236607.14</v>
      </c>
      <c r="N222" s="17">
        <v>265000</v>
      </c>
      <c r="O222" s="2"/>
      <c r="P222" s="2"/>
      <c r="Q222" s="31" t="s">
        <v>139</v>
      </c>
      <c r="R222" s="65"/>
      <c r="S222" s="62"/>
      <c r="T222" s="5"/>
    </row>
    <row r="223" spans="1:20">
      <c r="A223" s="2" t="s">
        <v>282</v>
      </c>
      <c r="B223" s="2" t="s">
        <v>295</v>
      </c>
      <c r="C223" s="2" t="s">
        <v>23</v>
      </c>
      <c r="D223" s="16">
        <v>30</v>
      </c>
      <c r="E223" s="2" t="s">
        <v>296</v>
      </c>
      <c r="F223" s="2" t="s">
        <v>297</v>
      </c>
      <c r="G223" s="2" t="s">
        <v>298</v>
      </c>
      <c r="H223" s="17">
        <v>19604</v>
      </c>
      <c r="I223" s="2"/>
      <c r="J223" s="2"/>
      <c r="K223" s="17">
        <v>19604</v>
      </c>
      <c r="L223" s="17">
        <v>2100.4299999999998</v>
      </c>
      <c r="M223" s="17">
        <v>17503.57</v>
      </c>
      <c r="N223" s="17">
        <v>19604</v>
      </c>
      <c r="O223" s="2"/>
      <c r="P223" s="2"/>
      <c r="Q223" s="31" t="s">
        <v>139</v>
      </c>
      <c r="R223" s="41">
        <f>+K223</f>
        <v>19604</v>
      </c>
      <c r="S223" s="62"/>
      <c r="T223" s="5"/>
    </row>
    <row r="224" spans="1:20">
      <c r="A224" s="2" t="s">
        <v>596</v>
      </c>
      <c r="B224" s="2" t="s">
        <v>618</v>
      </c>
      <c r="C224" s="2" t="s">
        <v>243</v>
      </c>
      <c r="D224" s="16">
        <v>30</v>
      </c>
      <c r="E224" s="2" t="s">
        <v>619</v>
      </c>
      <c r="F224" s="2" t="s">
        <v>620</v>
      </c>
      <c r="G224" s="2" t="s">
        <v>621</v>
      </c>
      <c r="H224" s="17">
        <v>91230</v>
      </c>
      <c r="I224" s="2"/>
      <c r="J224" s="2"/>
      <c r="K224" s="17">
        <v>91230</v>
      </c>
      <c r="L224" s="17">
        <v>9774.64</v>
      </c>
      <c r="M224" s="17">
        <v>81455.360000000001</v>
      </c>
      <c r="N224" s="17">
        <v>91230</v>
      </c>
      <c r="O224" s="2"/>
      <c r="P224" s="2"/>
      <c r="Q224" s="31" t="s">
        <v>139</v>
      </c>
      <c r="R224" s="41">
        <f>+K224</f>
        <v>91230</v>
      </c>
      <c r="S224" s="62"/>
      <c r="T224" s="5"/>
    </row>
    <row r="225" spans="1:20">
      <c r="A225" s="2" t="s">
        <v>915</v>
      </c>
      <c r="B225" s="2" t="s">
        <v>957</v>
      </c>
      <c r="C225" s="2" t="s">
        <v>60</v>
      </c>
      <c r="D225" s="16">
        <v>0</v>
      </c>
      <c r="E225" s="2" t="s">
        <v>915</v>
      </c>
      <c r="F225" s="2" t="s">
        <v>958</v>
      </c>
      <c r="G225" s="2" t="s">
        <v>959</v>
      </c>
      <c r="H225" s="17">
        <v>588000</v>
      </c>
      <c r="I225" s="19">
        <v>-17640</v>
      </c>
      <c r="J225" s="2"/>
      <c r="K225" s="17">
        <v>570360</v>
      </c>
      <c r="L225" s="17">
        <v>61110</v>
      </c>
      <c r="M225" s="17">
        <v>509250</v>
      </c>
      <c r="N225" s="17">
        <v>570360</v>
      </c>
      <c r="O225" s="2"/>
      <c r="P225" s="2"/>
      <c r="Q225" s="31" t="s">
        <v>139</v>
      </c>
      <c r="R225" s="64">
        <f>+K225+K226</f>
        <v>953640.95</v>
      </c>
      <c r="S225" s="62"/>
      <c r="T225" s="5"/>
    </row>
    <row r="226" spans="1:20">
      <c r="A226" s="2" t="s">
        <v>915</v>
      </c>
      <c r="B226" s="2" t="s">
        <v>960</v>
      </c>
      <c r="C226" s="2" t="s">
        <v>60</v>
      </c>
      <c r="D226" s="16">
        <v>0</v>
      </c>
      <c r="E226" s="2" t="s">
        <v>915</v>
      </c>
      <c r="F226" s="2" t="s">
        <v>958</v>
      </c>
      <c r="G226" s="2" t="s">
        <v>961</v>
      </c>
      <c r="H226" s="17">
        <v>395135</v>
      </c>
      <c r="I226" s="19">
        <v>-11854.05</v>
      </c>
      <c r="J226" s="2"/>
      <c r="K226" s="17">
        <v>383280.95</v>
      </c>
      <c r="L226" s="17">
        <v>41065.82</v>
      </c>
      <c r="M226" s="17">
        <v>342215.13</v>
      </c>
      <c r="N226" s="17">
        <v>383280.95</v>
      </c>
      <c r="O226" s="2"/>
      <c r="P226" s="2"/>
      <c r="Q226" s="31" t="s">
        <v>139</v>
      </c>
      <c r="R226" s="65"/>
      <c r="S226" s="62"/>
      <c r="T226" s="5"/>
    </row>
    <row r="227" spans="1:20">
      <c r="A227" s="2" t="s">
        <v>971</v>
      </c>
      <c r="B227" s="2" t="s">
        <v>1037</v>
      </c>
      <c r="C227" s="2" t="s">
        <v>146</v>
      </c>
      <c r="D227" s="16">
        <v>90</v>
      </c>
      <c r="E227" s="2" t="s">
        <v>986</v>
      </c>
      <c r="F227" s="2" t="s">
        <v>1038</v>
      </c>
      <c r="G227" s="2" t="s">
        <v>1039</v>
      </c>
      <c r="H227" s="17">
        <v>297555</v>
      </c>
      <c r="I227" s="2"/>
      <c r="J227" s="2"/>
      <c r="K227" s="17">
        <v>297555</v>
      </c>
      <c r="L227" s="17">
        <v>31880.89</v>
      </c>
      <c r="M227" s="17">
        <v>265674.11</v>
      </c>
      <c r="N227" s="17">
        <v>297555</v>
      </c>
      <c r="O227" s="2"/>
      <c r="P227" s="2"/>
      <c r="Q227" s="31" t="s">
        <v>139</v>
      </c>
      <c r="R227" s="64">
        <f>+K227+K228+K229+K230+K231+K232+K233+K234+K235+K236</f>
        <v>2924588</v>
      </c>
      <c r="S227" s="62"/>
      <c r="T227" s="5"/>
    </row>
    <row r="228" spans="1:20">
      <c r="A228" s="2" t="s">
        <v>971</v>
      </c>
      <c r="B228" s="2" t="s">
        <v>1040</v>
      </c>
      <c r="C228" s="2" t="s">
        <v>146</v>
      </c>
      <c r="D228" s="16">
        <v>90</v>
      </c>
      <c r="E228" s="2" t="s">
        <v>986</v>
      </c>
      <c r="F228" s="2" t="s">
        <v>1038</v>
      </c>
      <c r="G228" s="2" t="s">
        <v>1041</v>
      </c>
      <c r="H228" s="17">
        <v>768251</v>
      </c>
      <c r="I228" s="2"/>
      <c r="J228" s="2"/>
      <c r="K228" s="17">
        <v>768251</v>
      </c>
      <c r="L228" s="17">
        <v>82312.61</v>
      </c>
      <c r="M228" s="17">
        <v>685938.39</v>
      </c>
      <c r="N228" s="17">
        <v>768251</v>
      </c>
      <c r="O228" s="2"/>
      <c r="P228" s="2"/>
      <c r="Q228" s="31" t="s">
        <v>139</v>
      </c>
      <c r="R228" s="66"/>
      <c r="S228" s="62"/>
      <c r="T228" s="5"/>
    </row>
    <row r="229" spans="1:20">
      <c r="A229" s="2" t="s">
        <v>1287</v>
      </c>
      <c r="B229" s="2" t="s">
        <v>1357</v>
      </c>
      <c r="C229" s="2" t="s">
        <v>146</v>
      </c>
      <c r="D229" s="16">
        <v>90</v>
      </c>
      <c r="E229" s="2" t="s">
        <v>1315</v>
      </c>
      <c r="F229" s="2" t="s">
        <v>1038</v>
      </c>
      <c r="G229" s="2" t="s">
        <v>1358</v>
      </c>
      <c r="H229" s="17">
        <v>59512</v>
      </c>
      <c r="I229" s="2"/>
      <c r="J229" s="2"/>
      <c r="K229" s="17">
        <v>59512</v>
      </c>
      <c r="L229" s="17">
        <v>6376.29</v>
      </c>
      <c r="M229" s="17">
        <v>53135.71</v>
      </c>
      <c r="N229" s="17">
        <v>59512</v>
      </c>
      <c r="O229" s="2"/>
      <c r="P229" s="2"/>
      <c r="Q229" s="31" t="s">
        <v>139</v>
      </c>
      <c r="R229" s="66"/>
      <c r="S229" s="62"/>
      <c r="T229" s="5"/>
    </row>
    <row r="230" spans="1:20">
      <c r="A230" s="2" t="s">
        <v>1287</v>
      </c>
      <c r="B230" s="2" t="s">
        <v>1359</v>
      </c>
      <c r="C230" s="2" t="s">
        <v>146</v>
      </c>
      <c r="D230" s="16">
        <v>90</v>
      </c>
      <c r="E230" s="2" t="s">
        <v>1315</v>
      </c>
      <c r="F230" s="2" t="s">
        <v>1038</v>
      </c>
      <c r="G230" s="2" t="s">
        <v>1360</v>
      </c>
      <c r="H230" s="17">
        <v>178256</v>
      </c>
      <c r="I230" s="2"/>
      <c r="J230" s="2"/>
      <c r="K230" s="17">
        <v>178256</v>
      </c>
      <c r="L230" s="17">
        <v>19098.86</v>
      </c>
      <c r="M230" s="17">
        <v>159157.14000000001</v>
      </c>
      <c r="N230" s="17">
        <v>178256</v>
      </c>
      <c r="O230" s="2"/>
      <c r="P230" s="2"/>
      <c r="Q230" s="31" t="s">
        <v>139</v>
      </c>
      <c r="R230" s="66"/>
      <c r="S230" s="62"/>
      <c r="T230" s="5"/>
    </row>
    <row r="231" spans="1:20">
      <c r="A231" s="2" t="s">
        <v>1287</v>
      </c>
      <c r="B231" s="2" t="s">
        <v>1361</v>
      </c>
      <c r="C231" s="2" t="s">
        <v>146</v>
      </c>
      <c r="D231" s="16">
        <v>90</v>
      </c>
      <c r="E231" s="2" t="s">
        <v>1315</v>
      </c>
      <c r="F231" s="2" t="s">
        <v>1038</v>
      </c>
      <c r="G231" s="2" t="s">
        <v>1362</v>
      </c>
      <c r="H231" s="17">
        <v>989368</v>
      </c>
      <c r="I231" s="2"/>
      <c r="J231" s="2"/>
      <c r="K231" s="17">
        <v>989368</v>
      </c>
      <c r="L231" s="17">
        <v>106003.71</v>
      </c>
      <c r="M231" s="17">
        <v>883364.29</v>
      </c>
      <c r="N231" s="17">
        <v>989368</v>
      </c>
      <c r="O231" s="2"/>
      <c r="P231" s="2"/>
      <c r="Q231" s="31" t="s">
        <v>139</v>
      </c>
      <c r="R231" s="66"/>
      <c r="S231" s="62"/>
      <c r="T231" s="5"/>
    </row>
    <row r="232" spans="1:20">
      <c r="A232" s="2" t="s">
        <v>1287</v>
      </c>
      <c r="B232" s="2" t="s">
        <v>1363</v>
      </c>
      <c r="C232" s="2" t="s">
        <v>146</v>
      </c>
      <c r="D232" s="16">
        <v>90</v>
      </c>
      <c r="E232" s="2" t="s">
        <v>1315</v>
      </c>
      <c r="F232" s="2" t="s">
        <v>1038</v>
      </c>
      <c r="G232" s="2" t="s">
        <v>1364</v>
      </c>
      <c r="H232" s="17">
        <v>118334</v>
      </c>
      <c r="I232" s="2"/>
      <c r="J232" s="2"/>
      <c r="K232" s="17">
        <v>118334</v>
      </c>
      <c r="L232" s="17">
        <v>12678.64</v>
      </c>
      <c r="M232" s="17">
        <v>105655.36</v>
      </c>
      <c r="N232" s="17">
        <v>118334</v>
      </c>
      <c r="O232" s="2"/>
      <c r="P232" s="2"/>
      <c r="Q232" s="31" t="s">
        <v>139</v>
      </c>
      <c r="R232" s="66"/>
      <c r="S232" s="62"/>
      <c r="T232" s="5"/>
    </row>
    <row r="233" spans="1:20">
      <c r="A233" s="2" t="s">
        <v>1287</v>
      </c>
      <c r="B233" s="2" t="s">
        <v>1365</v>
      </c>
      <c r="C233" s="2" t="s">
        <v>146</v>
      </c>
      <c r="D233" s="16">
        <v>90</v>
      </c>
      <c r="E233" s="2" t="s">
        <v>1315</v>
      </c>
      <c r="F233" s="2" t="s">
        <v>1038</v>
      </c>
      <c r="G233" s="2" t="s">
        <v>1366</v>
      </c>
      <c r="H233" s="17">
        <v>35532</v>
      </c>
      <c r="I233" s="2"/>
      <c r="J233" s="2"/>
      <c r="K233" s="17">
        <v>35532</v>
      </c>
      <c r="L233" s="17">
        <v>3807</v>
      </c>
      <c r="M233" s="17">
        <v>31725</v>
      </c>
      <c r="N233" s="17">
        <v>35532</v>
      </c>
      <c r="O233" s="2"/>
      <c r="P233" s="2"/>
      <c r="Q233" s="31" t="s">
        <v>139</v>
      </c>
      <c r="R233" s="66"/>
      <c r="S233" s="62"/>
      <c r="T233" s="5"/>
    </row>
    <row r="234" spans="1:20">
      <c r="A234" s="2" t="s">
        <v>1287</v>
      </c>
      <c r="B234" s="2" t="s">
        <v>1367</v>
      </c>
      <c r="C234" s="2" t="s">
        <v>146</v>
      </c>
      <c r="D234" s="16">
        <v>90</v>
      </c>
      <c r="E234" s="2" t="s">
        <v>1315</v>
      </c>
      <c r="F234" s="2" t="s">
        <v>1038</v>
      </c>
      <c r="G234" s="2" t="s">
        <v>1368</v>
      </c>
      <c r="H234" s="17">
        <v>175028</v>
      </c>
      <c r="I234" s="2"/>
      <c r="J234" s="2"/>
      <c r="K234" s="17">
        <v>175028</v>
      </c>
      <c r="L234" s="17">
        <v>18753</v>
      </c>
      <c r="M234" s="17">
        <v>156275</v>
      </c>
      <c r="N234" s="17">
        <v>175028</v>
      </c>
      <c r="O234" s="2"/>
      <c r="P234" s="2"/>
      <c r="Q234" s="31" t="s">
        <v>139</v>
      </c>
      <c r="R234" s="66"/>
      <c r="S234" s="62"/>
      <c r="T234" s="5"/>
    </row>
    <row r="235" spans="1:20">
      <c r="A235" s="2" t="s">
        <v>1372</v>
      </c>
      <c r="B235" s="2" t="s">
        <v>1400</v>
      </c>
      <c r="C235" s="2" t="s">
        <v>146</v>
      </c>
      <c r="D235" s="16">
        <v>90</v>
      </c>
      <c r="E235" s="2" t="s">
        <v>1376</v>
      </c>
      <c r="F235" s="2" t="s">
        <v>1038</v>
      </c>
      <c r="G235" s="2" t="s">
        <v>1401</v>
      </c>
      <c r="H235" s="17">
        <v>208288</v>
      </c>
      <c r="I235" s="2"/>
      <c r="J235" s="2"/>
      <c r="K235" s="17">
        <v>208288</v>
      </c>
      <c r="L235" s="17">
        <v>22316.57</v>
      </c>
      <c r="M235" s="17">
        <v>185971.43</v>
      </c>
      <c r="N235" s="17">
        <v>208288</v>
      </c>
      <c r="O235" s="2"/>
      <c r="P235" s="2"/>
      <c r="Q235" s="31" t="s">
        <v>139</v>
      </c>
      <c r="R235" s="66"/>
      <c r="S235" s="62"/>
      <c r="T235" s="5"/>
    </row>
    <row r="236" spans="1:20">
      <c r="A236" s="2" t="s">
        <v>1372</v>
      </c>
      <c r="B236" s="2" t="s">
        <v>1402</v>
      </c>
      <c r="C236" s="2" t="s">
        <v>146</v>
      </c>
      <c r="D236" s="16">
        <v>90</v>
      </c>
      <c r="E236" s="2" t="s">
        <v>1376</v>
      </c>
      <c r="F236" s="2" t="s">
        <v>1038</v>
      </c>
      <c r="G236" s="2" t="s">
        <v>1403</v>
      </c>
      <c r="H236" s="17">
        <v>94464</v>
      </c>
      <c r="I236" s="2"/>
      <c r="J236" s="2"/>
      <c r="K236" s="17">
        <v>94464</v>
      </c>
      <c r="L236" s="17">
        <v>10121.14</v>
      </c>
      <c r="M236" s="17">
        <v>84342.86</v>
      </c>
      <c r="N236" s="17">
        <v>94464</v>
      </c>
      <c r="O236" s="2"/>
      <c r="P236" s="2"/>
      <c r="Q236" s="31" t="s">
        <v>139</v>
      </c>
      <c r="R236" s="65"/>
      <c r="S236" s="62"/>
      <c r="T236" s="5"/>
    </row>
    <row r="237" spans="1:20">
      <c r="A237" s="2" t="s">
        <v>1553</v>
      </c>
      <c r="B237" s="2" t="s">
        <v>1559</v>
      </c>
      <c r="C237" s="2" t="s">
        <v>146</v>
      </c>
      <c r="D237" s="16">
        <v>90</v>
      </c>
      <c r="E237" s="2" t="s">
        <v>1554</v>
      </c>
      <c r="F237" s="2" t="s">
        <v>1560</v>
      </c>
      <c r="G237" s="2" t="s">
        <v>1561</v>
      </c>
      <c r="H237" s="17">
        <v>272703</v>
      </c>
      <c r="I237" s="2"/>
      <c r="J237" s="2"/>
      <c r="K237" s="17">
        <v>272703</v>
      </c>
      <c r="L237" s="17">
        <v>29218.18</v>
      </c>
      <c r="M237" s="17">
        <v>243484.82</v>
      </c>
      <c r="N237" s="17">
        <v>272703</v>
      </c>
      <c r="O237" s="2"/>
      <c r="P237" s="2"/>
      <c r="Q237" s="31" t="s">
        <v>139</v>
      </c>
      <c r="R237" s="41">
        <f>+K237</f>
        <v>272703</v>
      </c>
      <c r="S237" s="62"/>
      <c r="T237" s="5"/>
    </row>
    <row r="238" spans="1:20">
      <c r="A238" s="2" t="s">
        <v>93</v>
      </c>
      <c r="B238" s="2" t="s">
        <v>142</v>
      </c>
      <c r="C238" s="2" t="s">
        <v>60</v>
      </c>
      <c r="D238" s="16">
        <v>0</v>
      </c>
      <c r="E238" s="2" t="s">
        <v>93</v>
      </c>
      <c r="F238" s="2" t="s">
        <v>143</v>
      </c>
      <c r="G238" s="2" t="s">
        <v>144</v>
      </c>
      <c r="H238" s="17">
        <v>58800</v>
      </c>
      <c r="I238" s="19">
        <v>-1764</v>
      </c>
      <c r="J238" s="2"/>
      <c r="K238" s="17">
        <v>57036</v>
      </c>
      <c r="L238" s="17">
        <v>6111</v>
      </c>
      <c r="M238" s="17">
        <v>50925</v>
      </c>
      <c r="N238" s="17">
        <v>57036</v>
      </c>
      <c r="O238" s="2"/>
      <c r="P238" s="2"/>
      <c r="Q238" s="31" t="s">
        <v>139</v>
      </c>
      <c r="R238" s="41">
        <f>+K238</f>
        <v>57036</v>
      </c>
      <c r="S238" s="62"/>
      <c r="T238" s="5"/>
    </row>
    <row r="239" spans="1:20">
      <c r="A239" s="2" t="s">
        <v>769</v>
      </c>
      <c r="B239" s="2" t="s">
        <v>820</v>
      </c>
      <c r="C239" s="2" t="s">
        <v>237</v>
      </c>
      <c r="D239" s="16">
        <v>60</v>
      </c>
      <c r="E239" s="2" t="s">
        <v>770</v>
      </c>
      <c r="F239" s="2" t="s">
        <v>821</v>
      </c>
      <c r="G239" s="2" t="s">
        <v>822</v>
      </c>
      <c r="H239" s="17">
        <v>94096</v>
      </c>
      <c r="I239" s="2"/>
      <c r="J239" s="2"/>
      <c r="K239" s="17">
        <v>94096</v>
      </c>
      <c r="L239" s="17">
        <v>10081.709999999999</v>
      </c>
      <c r="M239" s="17">
        <v>84014.29</v>
      </c>
      <c r="N239" s="17">
        <v>94096</v>
      </c>
      <c r="O239" s="2"/>
      <c r="P239" s="2"/>
      <c r="Q239" s="31" t="s">
        <v>139</v>
      </c>
      <c r="R239" s="64">
        <f>+K239+K240+K241+K242+K243+K244+K245+K246+K247+K248+K249+K250+K251</f>
        <v>555085</v>
      </c>
      <c r="S239" s="62"/>
      <c r="T239" s="5"/>
    </row>
    <row r="240" spans="1:20">
      <c r="A240" s="2" t="s">
        <v>769</v>
      </c>
      <c r="B240" s="2" t="s">
        <v>826</v>
      </c>
      <c r="C240" s="2" t="s">
        <v>237</v>
      </c>
      <c r="D240" s="16">
        <v>60</v>
      </c>
      <c r="E240" s="2" t="s">
        <v>770</v>
      </c>
      <c r="F240" s="2" t="s">
        <v>821</v>
      </c>
      <c r="G240" s="2" t="s">
        <v>827</v>
      </c>
      <c r="H240" s="17">
        <v>91154</v>
      </c>
      <c r="I240" s="2"/>
      <c r="J240" s="2"/>
      <c r="K240" s="17">
        <v>91154</v>
      </c>
      <c r="L240" s="17">
        <v>9766.5</v>
      </c>
      <c r="M240" s="17">
        <v>81387.5</v>
      </c>
      <c r="N240" s="17">
        <v>91154</v>
      </c>
      <c r="O240" s="2"/>
      <c r="P240" s="2"/>
      <c r="Q240" s="31" t="s">
        <v>139</v>
      </c>
      <c r="R240" s="66"/>
      <c r="S240" s="62"/>
      <c r="T240" s="5"/>
    </row>
    <row r="241" spans="1:20">
      <c r="A241" s="2" t="s">
        <v>769</v>
      </c>
      <c r="B241" s="2" t="s">
        <v>830</v>
      </c>
      <c r="C241" s="2" t="s">
        <v>237</v>
      </c>
      <c r="D241" s="16">
        <v>60</v>
      </c>
      <c r="E241" s="2" t="s">
        <v>770</v>
      </c>
      <c r="F241" s="2" t="s">
        <v>821</v>
      </c>
      <c r="G241" s="2" t="s">
        <v>831</v>
      </c>
      <c r="H241" s="17">
        <v>16800</v>
      </c>
      <c r="I241" s="2"/>
      <c r="J241" s="2"/>
      <c r="K241" s="17">
        <v>16800</v>
      </c>
      <c r="L241" s="17">
        <v>1800</v>
      </c>
      <c r="M241" s="17">
        <v>15000</v>
      </c>
      <c r="N241" s="17">
        <v>16800</v>
      </c>
      <c r="O241" s="2"/>
      <c r="P241" s="2"/>
      <c r="Q241" s="31" t="s">
        <v>139</v>
      </c>
      <c r="R241" s="66"/>
      <c r="S241" s="62"/>
      <c r="T241" s="5"/>
    </row>
    <row r="242" spans="1:20">
      <c r="A242" s="2" t="s">
        <v>769</v>
      </c>
      <c r="B242" s="2" t="s">
        <v>832</v>
      </c>
      <c r="C242" s="2" t="s">
        <v>237</v>
      </c>
      <c r="D242" s="16">
        <v>60</v>
      </c>
      <c r="E242" s="2" t="s">
        <v>770</v>
      </c>
      <c r="F242" s="2" t="s">
        <v>821</v>
      </c>
      <c r="G242" s="2" t="s">
        <v>833</v>
      </c>
      <c r="H242" s="17">
        <v>14406</v>
      </c>
      <c r="I242" s="2"/>
      <c r="J242" s="2"/>
      <c r="K242" s="17">
        <v>14406</v>
      </c>
      <c r="L242" s="17">
        <v>1543.5</v>
      </c>
      <c r="M242" s="17">
        <v>12862.5</v>
      </c>
      <c r="N242" s="17">
        <v>14406</v>
      </c>
      <c r="O242" s="2"/>
      <c r="P242" s="2"/>
      <c r="Q242" s="31" t="s">
        <v>139</v>
      </c>
      <c r="R242" s="66"/>
      <c r="S242" s="62"/>
      <c r="T242" s="5"/>
    </row>
    <row r="243" spans="1:20">
      <c r="A243" s="2" t="s">
        <v>769</v>
      </c>
      <c r="B243" s="2" t="s">
        <v>834</v>
      </c>
      <c r="C243" s="2" t="s">
        <v>237</v>
      </c>
      <c r="D243" s="16">
        <v>60</v>
      </c>
      <c r="E243" s="2" t="s">
        <v>770</v>
      </c>
      <c r="F243" s="2" t="s">
        <v>821</v>
      </c>
      <c r="G243" s="2" t="s">
        <v>835</v>
      </c>
      <c r="H243" s="17">
        <v>14002</v>
      </c>
      <c r="I243" s="2"/>
      <c r="J243" s="2"/>
      <c r="K243" s="17">
        <v>14002</v>
      </c>
      <c r="L243" s="17">
        <v>1500.21</v>
      </c>
      <c r="M243" s="17">
        <v>12501.79</v>
      </c>
      <c r="N243" s="17">
        <v>14002</v>
      </c>
      <c r="O243" s="2"/>
      <c r="P243" s="2"/>
      <c r="Q243" s="31" t="s">
        <v>139</v>
      </c>
      <c r="R243" s="66"/>
      <c r="S243" s="62"/>
      <c r="T243" s="5"/>
    </row>
    <row r="244" spans="1:20">
      <c r="A244" s="2" t="s">
        <v>769</v>
      </c>
      <c r="B244" s="2" t="s">
        <v>836</v>
      </c>
      <c r="C244" s="2" t="s">
        <v>237</v>
      </c>
      <c r="D244" s="16">
        <v>60</v>
      </c>
      <c r="E244" s="2" t="s">
        <v>770</v>
      </c>
      <c r="F244" s="2" t="s">
        <v>821</v>
      </c>
      <c r="G244" s="2" t="s">
        <v>837</v>
      </c>
      <c r="H244" s="17">
        <v>68892</v>
      </c>
      <c r="I244" s="2"/>
      <c r="J244" s="2"/>
      <c r="K244" s="17">
        <v>68892</v>
      </c>
      <c r="L244" s="17">
        <v>7381.29</v>
      </c>
      <c r="M244" s="17">
        <v>61510.71</v>
      </c>
      <c r="N244" s="17">
        <v>68892</v>
      </c>
      <c r="O244" s="2"/>
      <c r="P244" s="2"/>
      <c r="Q244" s="31" t="s">
        <v>139</v>
      </c>
      <c r="R244" s="66"/>
      <c r="S244" s="62"/>
      <c r="T244" s="5"/>
    </row>
    <row r="245" spans="1:20">
      <c r="A245" s="2" t="s">
        <v>769</v>
      </c>
      <c r="B245" s="2" t="s">
        <v>838</v>
      </c>
      <c r="C245" s="2" t="s">
        <v>237</v>
      </c>
      <c r="D245" s="16">
        <v>60</v>
      </c>
      <c r="E245" s="2" t="s">
        <v>770</v>
      </c>
      <c r="F245" s="2" t="s">
        <v>821</v>
      </c>
      <c r="G245" s="2" t="s">
        <v>839</v>
      </c>
      <c r="H245" s="17">
        <v>7840</v>
      </c>
      <c r="I245" s="2"/>
      <c r="J245" s="2"/>
      <c r="K245" s="17">
        <v>7840</v>
      </c>
      <c r="L245" s="18">
        <v>840</v>
      </c>
      <c r="M245" s="17">
        <v>7000</v>
      </c>
      <c r="N245" s="17">
        <v>7840</v>
      </c>
      <c r="O245" s="2"/>
      <c r="P245" s="2"/>
      <c r="Q245" s="31" t="s">
        <v>139</v>
      </c>
      <c r="R245" s="66"/>
      <c r="S245" s="62"/>
      <c r="T245" s="5"/>
    </row>
    <row r="246" spans="1:20">
      <c r="A246" s="2" t="s">
        <v>1467</v>
      </c>
      <c r="B246" s="2" t="s">
        <v>1494</v>
      </c>
      <c r="C246" s="2" t="s">
        <v>237</v>
      </c>
      <c r="D246" s="16">
        <v>60</v>
      </c>
      <c r="E246" s="2" t="s">
        <v>1495</v>
      </c>
      <c r="F246" s="2" t="s">
        <v>821</v>
      </c>
      <c r="G246" s="2" t="s">
        <v>1496</v>
      </c>
      <c r="H246" s="17">
        <v>35008</v>
      </c>
      <c r="I246" s="2"/>
      <c r="J246" s="2"/>
      <c r="K246" s="17">
        <v>35008</v>
      </c>
      <c r="L246" s="17">
        <v>3750.86</v>
      </c>
      <c r="M246" s="17">
        <v>31257.14</v>
      </c>
      <c r="N246" s="17">
        <v>35008</v>
      </c>
      <c r="O246" s="2"/>
      <c r="P246" s="2"/>
      <c r="Q246" s="31" t="s">
        <v>139</v>
      </c>
      <c r="R246" s="66"/>
      <c r="S246" s="62"/>
      <c r="T246" s="5"/>
    </row>
    <row r="247" spans="1:20">
      <c r="A247" s="2" t="s">
        <v>1467</v>
      </c>
      <c r="B247" s="2" t="s">
        <v>1497</v>
      </c>
      <c r="C247" s="2" t="s">
        <v>237</v>
      </c>
      <c r="D247" s="16">
        <v>60</v>
      </c>
      <c r="E247" s="2" t="s">
        <v>1495</v>
      </c>
      <c r="F247" s="2" t="s">
        <v>821</v>
      </c>
      <c r="G247" s="2" t="s">
        <v>1498</v>
      </c>
      <c r="H247" s="17">
        <v>17400</v>
      </c>
      <c r="I247" s="2"/>
      <c r="J247" s="2"/>
      <c r="K247" s="17">
        <v>17400</v>
      </c>
      <c r="L247" s="17">
        <v>1864.29</v>
      </c>
      <c r="M247" s="17">
        <v>15535.71</v>
      </c>
      <c r="N247" s="17">
        <v>17400</v>
      </c>
      <c r="O247" s="2"/>
      <c r="P247" s="2"/>
      <c r="Q247" s="31" t="s">
        <v>139</v>
      </c>
      <c r="R247" s="66"/>
      <c r="S247" s="62"/>
      <c r="T247" s="5"/>
    </row>
    <row r="248" spans="1:20">
      <c r="A248" s="2" t="s">
        <v>1467</v>
      </c>
      <c r="B248" s="2" t="s">
        <v>1499</v>
      </c>
      <c r="C248" s="2" t="s">
        <v>237</v>
      </c>
      <c r="D248" s="16">
        <v>60</v>
      </c>
      <c r="E248" s="2" t="s">
        <v>1495</v>
      </c>
      <c r="F248" s="2" t="s">
        <v>821</v>
      </c>
      <c r="G248" s="2" t="s">
        <v>1500</v>
      </c>
      <c r="H248" s="17">
        <v>26320</v>
      </c>
      <c r="I248" s="2"/>
      <c r="J248" s="2"/>
      <c r="K248" s="17">
        <v>26320</v>
      </c>
      <c r="L248" s="17">
        <v>2820</v>
      </c>
      <c r="M248" s="17">
        <v>23500</v>
      </c>
      <c r="N248" s="17">
        <v>26320</v>
      </c>
      <c r="O248" s="2"/>
      <c r="P248" s="2"/>
      <c r="Q248" s="31" t="s">
        <v>139</v>
      </c>
      <c r="R248" s="66"/>
      <c r="S248" s="62"/>
      <c r="T248" s="5"/>
    </row>
    <row r="249" spans="1:20">
      <c r="A249" s="2" t="s">
        <v>1467</v>
      </c>
      <c r="B249" s="2" t="s">
        <v>1501</v>
      </c>
      <c r="C249" s="2" t="s">
        <v>237</v>
      </c>
      <c r="D249" s="16">
        <v>60</v>
      </c>
      <c r="E249" s="2" t="s">
        <v>1495</v>
      </c>
      <c r="F249" s="2" t="s">
        <v>821</v>
      </c>
      <c r="G249" s="2" t="s">
        <v>1502</v>
      </c>
      <c r="H249" s="17">
        <v>12105</v>
      </c>
      <c r="I249" s="2"/>
      <c r="J249" s="2"/>
      <c r="K249" s="17">
        <v>12105</v>
      </c>
      <c r="L249" s="17">
        <v>1296.96</v>
      </c>
      <c r="M249" s="17">
        <v>10808.04</v>
      </c>
      <c r="N249" s="17">
        <v>12105</v>
      </c>
      <c r="O249" s="2"/>
      <c r="P249" s="2"/>
      <c r="Q249" s="31" t="s">
        <v>139</v>
      </c>
      <c r="R249" s="66"/>
      <c r="S249" s="62"/>
      <c r="T249" s="5"/>
    </row>
    <row r="250" spans="1:20">
      <c r="A250" s="2" t="s">
        <v>1467</v>
      </c>
      <c r="B250" s="2" t="s">
        <v>1503</v>
      </c>
      <c r="C250" s="2" t="s">
        <v>237</v>
      </c>
      <c r="D250" s="16">
        <v>60</v>
      </c>
      <c r="E250" s="2" t="s">
        <v>1495</v>
      </c>
      <c r="F250" s="2" t="s">
        <v>821</v>
      </c>
      <c r="G250" s="2" t="s">
        <v>1504</v>
      </c>
      <c r="H250" s="17">
        <v>6725</v>
      </c>
      <c r="I250" s="2"/>
      <c r="J250" s="2"/>
      <c r="K250" s="17">
        <v>6725</v>
      </c>
      <c r="L250" s="18">
        <v>720.54</v>
      </c>
      <c r="M250" s="17">
        <v>6004.46</v>
      </c>
      <c r="N250" s="17">
        <v>6725</v>
      </c>
      <c r="O250" s="2"/>
      <c r="P250" s="2"/>
      <c r="Q250" s="31" t="s">
        <v>139</v>
      </c>
      <c r="R250" s="66"/>
      <c r="S250" s="62"/>
      <c r="T250" s="5"/>
    </row>
    <row r="251" spans="1:20">
      <c r="A251" s="2" t="s">
        <v>1467</v>
      </c>
      <c r="B251" s="2" t="s">
        <v>1505</v>
      </c>
      <c r="C251" s="2" t="s">
        <v>237</v>
      </c>
      <c r="D251" s="16">
        <v>60</v>
      </c>
      <c r="E251" s="2" t="s">
        <v>1495</v>
      </c>
      <c r="F251" s="2" t="s">
        <v>821</v>
      </c>
      <c r="G251" s="2" t="s">
        <v>1506</v>
      </c>
      <c r="H251" s="17">
        <v>150337</v>
      </c>
      <c r="I251" s="2"/>
      <c r="J251" s="2"/>
      <c r="K251" s="17">
        <v>150337</v>
      </c>
      <c r="L251" s="17">
        <v>16107.54</v>
      </c>
      <c r="M251" s="17">
        <v>134229.46</v>
      </c>
      <c r="N251" s="17">
        <v>150337</v>
      </c>
      <c r="O251" s="2"/>
      <c r="P251" s="2"/>
      <c r="Q251" s="31" t="s">
        <v>139</v>
      </c>
      <c r="R251" s="65"/>
      <c r="S251" s="62"/>
      <c r="T251" s="5"/>
    </row>
    <row r="252" spans="1:20">
      <c r="A252" s="2" t="s">
        <v>368</v>
      </c>
      <c r="B252" s="2" t="s">
        <v>367</v>
      </c>
      <c r="C252" s="2" t="s">
        <v>369</v>
      </c>
      <c r="D252" s="16">
        <v>30</v>
      </c>
      <c r="E252" s="2" t="s">
        <v>370</v>
      </c>
      <c r="F252" s="2" t="s">
        <v>371</v>
      </c>
      <c r="G252" s="2" t="s">
        <v>372</v>
      </c>
      <c r="H252" s="17">
        <v>256067</v>
      </c>
      <c r="I252" s="2"/>
      <c r="J252" s="2"/>
      <c r="K252" s="17">
        <v>256067</v>
      </c>
      <c r="L252" s="17">
        <v>27435.75</v>
      </c>
      <c r="M252" s="17">
        <v>228631.25</v>
      </c>
      <c r="N252" s="17">
        <v>256067</v>
      </c>
      <c r="O252" s="2"/>
      <c r="P252" s="2"/>
      <c r="Q252" s="31" t="s">
        <v>139</v>
      </c>
      <c r="R252" s="64">
        <f>+K252+K253+K254+K255+K256+K257+K258</f>
        <v>830284</v>
      </c>
      <c r="S252" s="62"/>
      <c r="T252" s="5"/>
    </row>
    <row r="253" spans="1:20">
      <c r="A253" s="2" t="s">
        <v>368</v>
      </c>
      <c r="B253" s="2" t="s">
        <v>378</v>
      </c>
      <c r="C253" s="2" t="s">
        <v>369</v>
      </c>
      <c r="D253" s="16">
        <v>30</v>
      </c>
      <c r="E253" s="2" t="s">
        <v>370</v>
      </c>
      <c r="F253" s="2" t="s">
        <v>371</v>
      </c>
      <c r="G253" s="2" t="s">
        <v>379</v>
      </c>
      <c r="H253" s="17">
        <v>47040</v>
      </c>
      <c r="I253" s="2"/>
      <c r="J253" s="2"/>
      <c r="K253" s="17">
        <v>47040</v>
      </c>
      <c r="L253" s="17">
        <v>5040</v>
      </c>
      <c r="M253" s="17">
        <v>42000</v>
      </c>
      <c r="N253" s="17">
        <v>47040</v>
      </c>
      <c r="O253" s="2"/>
      <c r="P253" s="2"/>
      <c r="Q253" s="31" t="s">
        <v>139</v>
      </c>
      <c r="R253" s="66"/>
      <c r="S253" s="62"/>
      <c r="T253" s="5"/>
    </row>
    <row r="254" spans="1:20">
      <c r="A254" s="2" t="s">
        <v>368</v>
      </c>
      <c r="B254" s="2" t="s">
        <v>380</v>
      </c>
      <c r="C254" s="2" t="s">
        <v>369</v>
      </c>
      <c r="D254" s="16">
        <v>30</v>
      </c>
      <c r="E254" s="2" t="s">
        <v>370</v>
      </c>
      <c r="F254" s="2" t="s">
        <v>371</v>
      </c>
      <c r="G254" s="2" t="s">
        <v>381</v>
      </c>
      <c r="H254" s="17">
        <v>143520</v>
      </c>
      <c r="I254" s="2"/>
      <c r="J254" s="2"/>
      <c r="K254" s="17">
        <v>143520</v>
      </c>
      <c r="L254" s="17">
        <v>15377.14</v>
      </c>
      <c r="M254" s="17">
        <v>128142.86</v>
      </c>
      <c r="N254" s="17">
        <v>143520</v>
      </c>
      <c r="O254" s="2"/>
      <c r="P254" s="2"/>
      <c r="Q254" s="31" t="s">
        <v>139</v>
      </c>
      <c r="R254" s="66"/>
      <c r="S254" s="62"/>
      <c r="T254" s="5"/>
    </row>
    <row r="255" spans="1:20">
      <c r="A255" s="2" t="s">
        <v>866</v>
      </c>
      <c r="B255" s="2" t="s">
        <v>879</v>
      </c>
      <c r="C255" s="2" t="s">
        <v>369</v>
      </c>
      <c r="D255" s="16">
        <v>30</v>
      </c>
      <c r="E255" s="2" t="s">
        <v>880</v>
      </c>
      <c r="F255" s="2" t="s">
        <v>371</v>
      </c>
      <c r="G255" s="2" t="s">
        <v>881</v>
      </c>
      <c r="H255" s="17">
        <v>128240</v>
      </c>
      <c r="I255" s="2"/>
      <c r="J255" s="2"/>
      <c r="K255" s="17">
        <v>128240</v>
      </c>
      <c r="L255" s="17">
        <v>13740</v>
      </c>
      <c r="M255" s="17">
        <v>114500</v>
      </c>
      <c r="N255" s="17">
        <v>128240</v>
      </c>
      <c r="O255" s="2"/>
      <c r="P255" s="2"/>
      <c r="Q255" s="31" t="s">
        <v>139</v>
      </c>
      <c r="R255" s="66"/>
      <c r="S255" s="62"/>
      <c r="T255" s="5"/>
    </row>
    <row r="256" spans="1:20">
      <c r="A256" s="2" t="s">
        <v>1553</v>
      </c>
      <c r="B256" s="2" t="s">
        <v>1568</v>
      </c>
      <c r="C256" s="2" t="s">
        <v>369</v>
      </c>
      <c r="D256" s="16">
        <v>30</v>
      </c>
      <c r="E256" s="2" t="s">
        <v>1569</v>
      </c>
      <c r="F256" s="2" t="s">
        <v>371</v>
      </c>
      <c r="G256" s="2" t="s">
        <v>1570</v>
      </c>
      <c r="H256" s="17">
        <v>96530</v>
      </c>
      <c r="I256" s="2"/>
      <c r="J256" s="2"/>
      <c r="K256" s="17">
        <v>96530</v>
      </c>
      <c r="L256" s="17">
        <v>10342.5</v>
      </c>
      <c r="M256" s="17">
        <v>86187.5</v>
      </c>
      <c r="N256" s="17">
        <v>96530</v>
      </c>
      <c r="O256" s="2"/>
      <c r="P256" s="2"/>
      <c r="Q256" s="31" t="s">
        <v>139</v>
      </c>
      <c r="R256" s="66"/>
      <c r="S256" s="62"/>
      <c r="T256" s="5"/>
    </row>
    <row r="257" spans="1:20">
      <c r="A257" s="2" t="s">
        <v>1553</v>
      </c>
      <c r="B257" s="2" t="s">
        <v>1571</v>
      </c>
      <c r="C257" s="2" t="s">
        <v>369</v>
      </c>
      <c r="D257" s="16">
        <v>30</v>
      </c>
      <c r="E257" s="2" t="s">
        <v>1569</v>
      </c>
      <c r="F257" s="2" t="s">
        <v>371</v>
      </c>
      <c r="G257" s="2" t="s">
        <v>1572</v>
      </c>
      <c r="H257" s="17">
        <v>138347</v>
      </c>
      <c r="I257" s="2"/>
      <c r="J257" s="2"/>
      <c r="K257" s="17">
        <v>138347</v>
      </c>
      <c r="L257" s="17">
        <v>14822.89</v>
      </c>
      <c r="M257" s="17">
        <v>123524.11</v>
      </c>
      <c r="N257" s="17">
        <v>138347</v>
      </c>
      <c r="O257" s="2"/>
      <c r="P257" s="2"/>
      <c r="Q257" s="31" t="s">
        <v>139</v>
      </c>
      <c r="R257" s="66"/>
      <c r="S257" s="62"/>
      <c r="T257" s="5"/>
    </row>
    <row r="258" spans="1:20">
      <c r="A258" s="2" t="s">
        <v>1553</v>
      </c>
      <c r="B258" s="2" t="s">
        <v>1611</v>
      </c>
      <c r="C258" s="2" t="s">
        <v>369</v>
      </c>
      <c r="D258" s="16">
        <v>30</v>
      </c>
      <c r="E258" s="2" t="s">
        <v>1569</v>
      </c>
      <c r="F258" s="2" t="s">
        <v>371</v>
      </c>
      <c r="G258" s="2" t="s">
        <v>1612</v>
      </c>
      <c r="H258" s="17">
        <v>20540</v>
      </c>
      <c r="I258" s="2"/>
      <c r="J258" s="2"/>
      <c r="K258" s="17">
        <v>20540</v>
      </c>
      <c r="L258" s="17">
        <v>2200.71</v>
      </c>
      <c r="M258" s="17">
        <v>18339.29</v>
      </c>
      <c r="N258" s="17">
        <v>20540</v>
      </c>
      <c r="O258" s="2"/>
      <c r="P258" s="2"/>
      <c r="Q258" s="31" t="s">
        <v>139</v>
      </c>
      <c r="R258" s="65"/>
      <c r="S258" s="62"/>
      <c r="T258" s="5"/>
    </row>
    <row r="259" spans="1:20">
      <c r="A259" s="2" t="s">
        <v>505</v>
      </c>
      <c r="B259" s="2" t="s">
        <v>517</v>
      </c>
      <c r="C259" s="2" t="s">
        <v>243</v>
      </c>
      <c r="D259" s="16">
        <v>30</v>
      </c>
      <c r="E259" s="2" t="s">
        <v>518</v>
      </c>
      <c r="F259" s="2" t="s">
        <v>519</v>
      </c>
      <c r="G259" s="2" t="s">
        <v>520</v>
      </c>
      <c r="H259" s="17">
        <v>9802</v>
      </c>
      <c r="I259" s="2"/>
      <c r="J259" s="2"/>
      <c r="K259" s="17">
        <v>9802</v>
      </c>
      <c r="L259" s="17">
        <v>1050.21</v>
      </c>
      <c r="M259" s="17">
        <v>8751.7900000000009</v>
      </c>
      <c r="N259" s="17">
        <v>9802</v>
      </c>
      <c r="O259" s="2"/>
      <c r="P259" s="2"/>
      <c r="Q259" s="31" t="s">
        <v>139</v>
      </c>
      <c r="R259" s="41">
        <f>+K259</f>
        <v>9802</v>
      </c>
      <c r="S259" s="62"/>
      <c r="T259" s="5"/>
    </row>
    <row r="260" spans="1:20">
      <c r="A260" s="2" t="s">
        <v>93</v>
      </c>
      <c r="B260" s="2" t="s">
        <v>138</v>
      </c>
      <c r="C260" s="2" t="s">
        <v>29</v>
      </c>
      <c r="D260" s="16">
        <v>0</v>
      </c>
      <c r="E260" s="2" t="s">
        <v>93</v>
      </c>
      <c r="F260" s="2" t="s">
        <v>140</v>
      </c>
      <c r="G260" s="2" t="s">
        <v>141</v>
      </c>
      <c r="H260" s="17">
        <v>8428</v>
      </c>
      <c r="I260" s="2"/>
      <c r="J260" s="2"/>
      <c r="K260" s="17">
        <v>8428</v>
      </c>
      <c r="L260" s="18">
        <v>903</v>
      </c>
      <c r="M260" s="17">
        <v>7525</v>
      </c>
      <c r="N260" s="17">
        <v>8428</v>
      </c>
      <c r="O260" s="2"/>
      <c r="P260" s="2"/>
      <c r="Q260" s="31" t="s">
        <v>139</v>
      </c>
      <c r="R260" s="64">
        <f>+K260+K261+K262</f>
        <v>130350</v>
      </c>
      <c r="S260" s="62"/>
      <c r="T260" s="5"/>
    </row>
    <row r="261" spans="1:20">
      <c r="A261" s="2" t="s">
        <v>505</v>
      </c>
      <c r="B261" s="2" t="s">
        <v>562</v>
      </c>
      <c r="C261" s="2" t="s">
        <v>29</v>
      </c>
      <c r="D261" s="16">
        <v>0</v>
      </c>
      <c r="E261" s="2" t="s">
        <v>505</v>
      </c>
      <c r="F261" s="2" t="s">
        <v>140</v>
      </c>
      <c r="G261" s="2" t="s">
        <v>563</v>
      </c>
      <c r="H261" s="17">
        <v>12142</v>
      </c>
      <c r="I261" s="2"/>
      <c r="J261" s="2"/>
      <c r="K261" s="17">
        <v>12142</v>
      </c>
      <c r="L261" s="17">
        <v>1300.93</v>
      </c>
      <c r="M261" s="17">
        <v>10841.07</v>
      </c>
      <c r="N261" s="17">
        <v>12142</v>
      </c>
      <c r="O261" s="2"/>
      <c r="P261" s="2"/>
      <c r="Q261" s="31" t="s">
        <v>139</v>
      </c>
      <c r="R261" s="66"/>
      <c r="S261" s="62"/>
      <c r="T261" s="5"/>
    </row>
    <row r="262" spans="1:20">
      <c r="A262" s="2" t="s">
        <v>971</v>
      </c>
      <c r="B262" s="2" t="s">
        <v>993</v>
      </c>
      <c r="C262" s="2" t="s">
        <v>29</v>
      </c>
      <c r="D262" s="16">
        <v>0</v>
      </c>
      <c r="E262" s="2" t="s">
        <v>971</v>
      </c>
      <c r="F262" s="2" t="s">
        <v>140</v>
      </c>
      <c r="G262" s="2" t="s">
        <v>994</v>
      </c>
      <c r="H262" s="17">
        <v>109780</v>
      </c>
      <c r="I262" s="2"/>
      <c r="J262" s="2"/>
      <c r="K262" s="17">
        <v>109780</v>
      </c>
      <c r="L262" s="17">
        <v>11762.14</v>
      </c>
      <c r="M262" s="17">
        <v>98017.86</v>
      </c>
      <c r="N262" s="17">
        <v>109780</v>
      </c>
      <c r="O262" s="2"/>
      <c r="P262" s="2"/>
      <c r="Q262" s="31" t="s">
        <v>139</v>
      </c>
      <c r="R262" s="65"/>
      <c r="S262" s="62"/>
      <c r="T262" s="5"/>
    </row>
    <row r="263" spans="1:20">
      <c r="A263" s="2" t="s">
        <v>769</v>
      </c>
      <c r="B263" s="2" t="s">
        <v>804</v>
      </c>
      <c r="C263" s="2" t="s">
        <v>73</v>
      </c>
      <c r="D263" s="16">
        <v>30</v>
      </c>
      <c r="E263" s="2" t="s">
        <v>805</v>
      </c>
      <c r="F263" s="2" t="s">
        <v>806</v>
      </c>
      <c r="G263" s="2" t="s">
        <v>807</v>
      </c>
      <c r="H263" s="17">
        <v>146000</v>
      </c>
      <c r="I263" s="2"/>
      <c r="J263" s="2"/>
      <c r="K263" s="17">
        <v>146000</v>
      </c>
      <c r="L263" s="17">
        <v>15642.86</v>
      </c>
      <c r="M263" s="17">
        <v>130357.14</v>
      </c>
      <c r="N263" s="17">
        <v>146000</v>
      </c>
      <c r="O263" s="2"/>
      <c r="P263" s="2"/>
      <c r="Q263" s="31" t="s">
        <v>139</v>
      </c>
      <c r="R263" s="41">
        <f>+K263</f>
        <v>146000</v>
      </c>
      <c r="S263" s="62"/>
      <c r="T263" s="5"/>
    </row>
    <row r="264" spans="1:20">
      <c r="A264" s="2" t="s">
        <v>971</v>
      </c>
      <c r="B264" s="2" t="s">
        <v>975</v>
      </c>
      <c r="C264" s="2" t="s">
        <v>98</v>
      </c>
      <c r="D264" s="16">
        <v>0</v>
      </c>
      <c r="E264" s="2" t="s">
        <v>971</v>
      </c>
      <c r="F264" s="2" t="s">
        <v>976</v>
      </c>
      <c r="G264" s="2" t="s">
        <v>977</v>
      </c>
      <c r="H264" s="17">
        <v>221591</v>
      </c>
      <c r="I264" s="2"/>
      <c r="J264" s="2"/>
      <c r="K264" s="17">
        <v>221591</v>
      </c>
      <c r="L264" s="17">
        <v>23741.89</v>
      </c>
      <c r="M264" s="17">
        <v>197849.11</v>
      </c>
      <c r="N264" s="17">
        <v>221591</v>
      </c>
      <c r="O264" s="2"/>
      <c r="P264" s="2"/>
      <c r="Q264" s="31" t="s">
        <v>139</v>
      </c>
      <c r="R264" s="41">
        <f>+K264</f>
        <v>221591</v>
      </c>
      <c r="S264" s="62"/>
      <c r="T264" s="5"/>
    </row>
    <row r="265" spans="1:20">
      <c r="A265" s="2" t="s">
        <v>1553</v>
      </c>
      <c r="B265" s="2" t="s">
        <v>1562</v>
      </c>
      <c r="C265" s="2" t="s">
        <v>1563</v>
      </c>
      <c r="D265" s="16">
        <v>45</v>
      </c>
      <c r="E265" s="2" t="s">
        <v>692</v>
      </c>
      <c r="F265" s="2" t="s">
        <v>1564</v>
      </c>
      <c r="G265" s="2" t="s">
        <v>1565</v>
      </c>
      <c r="H265" s="17">
        <v>164075</v>
      </c>
      <c r="I265" s="2"/>
      <c r="J265" s="2"/>
      <c r="K265" s="17">
        <v>164075</v>
      </c>
      <c r="L265" s="17">
        <v>17579.46</v>
      </c>
      <c r="M265" s="17">
        <v>146495.54</v>
      </c>
      <c r="N265" s="17">
        <v>164075</v>
      </c>
      <c r="O265" s="2"/>
      <c r="P265" s="2"/>
      <c r="Q265" s="31" t="s">
        <v>139</v>
      </c>
      <c r="R265" s="41">
        <f>+K265</f>
        <v>164075</v>
      </c>
      <c r="S265" s="62"/>
      <c r="T265" s="5"/>
    </row>
    <row r="266" spans="1:20">
      <c r="A266" s="2" t="s">
        <v>971</v>
      </c>
      <c r="B266" s="2" t="s">
        <v>1042</v>
      </c>
      <c r="C266" s="2" t="s">
        <v>94</v>
      </c>
      <c r="D266" s="16">
        <v>0</v>
      </c>
      <c r="E266" s="2" t="s">
        <v>971</v>
      </c>
      <c r="F266" s="2" t="s">
        <v>1043</v>
      </c>
      <c r="G266" s="2" t="s">
        <v>1044</v>
      </c>
      <c r="H266" s="17">
        <v>166626.75</v>
      </c>
      <c r="I266" s="2"/>
      <c r="J266" s="2"/>
      <c r="K266" s="17">
        <v>166626.75</v>
      </c>
      <c r="L266" s="17">
        <v>17852.87</v>
      </c>
      <c r="M266" s="17">
        <v>148773.88</v>
      </c>
      <c r="N266" s="17">
        <v>166626.75</v>
      </c>
      <c r="O266" s="2"/>
      <c r="P266" s="2"/>
      <c r="Q266" s="31" t="s">
        <v>139</v>
      </c>
      <c r="R266" s="64">
        <f>+K266+K267</f>
        <v>259976.75</v>
      </c>
      <c r="S266" s="62"/>
      <c r="T266" s="5"/>
    </row>
    <row r="267" spans="1:20">
      <c r="A267" s="2" t="s">
        <v>1117</v>
      </c>
      <c r="B267" s="2" t="s">
        <v>1208</v>
      </c>
      <c r="C267" s="2" t="s">
        <v>94</v>
      </c>
      <c r="D267" s="16">
        <v>0</v>
      </c>
      <c r="E267" s="2" t="s">
        <v>1117</v>
      </c>
      <c r="F267" s="2" t="s">
        <v>1043</v>
      </c>
      <c r="G267" s="2" t="s">
        <v>1209</v>
      </c>
      <c r="H267" s="17">
        <v>93350</v>
      </c>
      <c r="I267" s="2"/>
      <c r="J267" s="2"/>
      <c r="K267" s="17">
        <v>93350</v>
      </c>
      <c r="L267" s="17">
        <v>10001.790000000001</v>
      </c>
      <c r="M267" s="17">
        <v>83348.210000000006</v>
      </c>
      <c r="N267" s="17">
        <v>93350</v>
      </c>
      <c r="O267" s="2"/>
      <c r="P267" s="2"/>
      <c r="Q267" s="31" t="s">
        <v>139</v>
      </c>
      <c r="R267" s="65"/>
      <c r="S267" s="62"/>
      <c r="T267" s="5"/>
    </row>
    <row r="268" spans="1:20" ht="14.45" hidden="1" customHeight="1">
      <c r="A268" s="2" t="s">
        <v>448</v>
      </c>
      <c r="B268" s="2" t="s">
        <v>447</v>
      </c>
      <c r="C268" s="2" t="s">
        <v>60</v>
      </c>
      <c r="D268" s="16">
        <v>0</v>
      </c>
      <c r="E268" s="2" t="s">
        <v>448</v>
      </c>
      <c r="F268" s="2" t="s">
        <v>449</v>
      </c>
      <c r="G268" s="2" t="s">
        <v>450</v>
      </c>
      <c r="H268" s="17">
        <v>6754.32</v>
      </c>
      <c r="I268" s="2"/>
      <c r="J268" s="17">
        <v>6754.32</v>
      </c>
      <c r="K268" s="2">
        <v>0</v>
      </c>
      <c r="L268" s="18">
        <v>723.68</v>
      </c>
      <c r="M268" s="17">
        <v>6030.64</v>
      </c>
      <c r="N268" s="17">
        <v>6754.32</v>
      </c>
      <c r="O268" s="2" t="s">
        <v>1767</v>
      </c>
      <c r="P268" s="2"/>
      <c r="Q268" s="31" t="s">
        <v>139</v>
      </c>
      <c r="R268" s="5"/>
      <c r="S268" s="62"/>
      <c r="T268" s="5"/>
    </row>
    <row r="269" spans="1:20" ht="14.45" hidden="1" customHeight="1">
      <c r="A269" s="2" t="s">
        <v>448</v>
      </c>
      <c r="B269" s="2" t="s">
        <v>451</v>
      </c>
      <c r="C269" s="2" t="s">
        <v>60</v>
      </c>
      <c r="D269" s="16">
        <v>0</v>
      </c>
      <c r="E269" s="2" t="s">
        <v>448</v>
      </c>
      <c r="F269" s="2" t="s">
        <v>449</v>
      </c>
      <c r="G269" s="2" t="s">
        <v>452</v>
      </c>
      <c r="H269" s="17">
        <v>9143.68</v>
      </c>
      <c r="I269" s="2"/>
      <c r="J269" s="17">
        <v>9143.68</v>
      </c>
      <c r="K269" s="2">
        <v>0</v>
      </c>
      <c r="L269" s="18">
        <v>979.68</v>
      </c>
      <c r="M269" s="17">
        <v>8164</v>
      </c>
      <c r="N269" s="17">
        <v>9143.68</v>
      </c>
      <c r="O269" s="2" t="s">
        <v>1767</v>
      </c>
      <c r="P269" s="2"/>
      <c r="Q269" s="31" t="s">
        <v>139</v>
      </c>
      <c r="R269" s="5"/>
      <c r="S269" s="62"/>
      <c r="T269" s="5"/>
    </row>
    <row r="270" spans="1:20" ht="14.45" hidden="1" customHeight="1">
      <c r="A270" s="2" t="s">
        <v>1048</v>
      </c>
      <c r="B270" s="2" t="s">
        <v>1047</v>
      </c>
      <c r="C270" s="2" t="s">
        <v>60</v>
      </c>
      <c r="D270" s="16">
        <v>0</v>
      </c>
      <c r="E270" s="2" t="s">
        <v>1048</v>
      </c>
      <c r="F270" s="2" t="s">
        <v>449</v>
      </c>
      <c r="G270" s="2" t="s">
        <v>1049</v>
      </c>
      <c r="H270" s="17">
        <v>17072</v>
      </c>
      <c r="I270" s="2"/>
      <c r="J270" s="17">
        <v>17072</v>
      </c>
      <c r="K270" s="2">
        <v>0</v>
      </c>
      <c r="L270" s="17">
        <v>1829.14</v>
      </c>
      <c r="M270" s="17">
        <v>15242.86</v>
      </c>
      <c r="N270" s="17">
        <v>17072</v>
      </c>
      <c r="O270" s="2" t="s">
        <v>1767</v>
      </c>
      <c r="P270" s="2"/>
      <c r="Q270" s="31" t="s">
        <v>139</v>
      </c>
      <c r="R270" s="5"/>
      <c r="S270" s="62"/>
      <c r="T270" s="5"/>
    </row>
    <row r="271" spans="1:20" ht="14.45" hidden="1" customHeight="1">
      <c r="A271" s="2" t="s">
        <v>1048</v>
      </c>
      <c r="B271" s="2" t="s">
        <v>1050</v>
      </c>
      <c r="C271" s="2" t="s">
        <v>60</v>
      </c>
      <c r="D271" s="16">
        <v>0</v>
      </c>
      <c r="E271" s="2" t="s">
        <v>1048</v>
      </c>
      <c r="F271" s="2" t="s">
        <v>449</v>
      </c>
      <c r="G271" s="2" t="s">
        <v>1051</v>
      </c>
      <c r="H271" s="17">
        <v>17020</v>
      </c>
      <c r="I271" s="2"/>
      <c r="J271" s="17">
        <v>17020</v>
      </c>
      <c r="K271" s="2">
        <v>0</v>
      </c>
      <c r="L271" s="17">
        <v>1823.57</v>
      </c>
      <c r="M271" s="17">
        <v>15196.43</v>
      </c>
      <c r="N271" s="17">
        <v>17020</v>
      </c>
      <c r="O271" s="2" t="s">
        <v>1767</v>
      </c>
      <c r="P271" s="2"/>
      <c r="Q271" s="31" t="s">
        <v>139</v>
      </c>
      <c r="R271" s="5"/>
      <c r="S271" s="62"/>
      <c r="T271" s="5"/>
    </row>
    <row r="272" spans="1:20">
      <c r="A272" s="2" t="s">
        <v>1117</v>
      </c>
      <c r="B272" s="2" t="s">
        <v>1199</v>
      </c>
      <c r="C272" s="2" t="s">
        <v>151</v>
      </c>
      <c r="D272" s="16">
        <v>60</v>
      </c>
      <c r="E272" s="2" t="s">
        <v>1139</v>
      </c>
      <c r="F272" s="2" t="s">
        <v>1200</v>
      </c>
      <c r="G272" s="2" t="s">
        <v>1201</v>
      </c>
      <c r="H272" s="17">
        <v>29500</v>
      </c>
      <c r="I272" s="2"/>
      <c r="J272" s="2"/>
      <c r="K272" s="17">
        <v>29500</v>
      </c>
      <c r="L272" s="17">
        <v>3160.71</v>
      </c>
      <c r="M272" s="17">
        <v>26339.29</v>
      </c>
      <c r="N272" s="17">
        <v>29500</v>
      </c>
      <c r="O272" s="2"/>
      <c r="P272" s="2"/>
      <c r="Q272" s="31" t="s">
        <v>139</v>
      </c>
      <c r="R272" s="41">
        <f>+K272</f>
        <v>29500</v>
      </c>
      <c r="S272" s="62"/>
      <c r="T272" s="5"/>
    </row>
    <row r="273" spans="1:20">
      <c r="A273" s="2" t="s">
        <v>199</v>
      </c>
      <c r="B273" s="2" t="s">
        <v>263</v>
      </c>
      <c r="C273" s="2" t="s">
        <v>151</v>
      </c>
      <c r="D273" s="16">
        <v>60</v>
      </c>
      <c r="E273" s="2" t="s">
        <v>200</v>
      </c>
      <c r="F273" s="2" t="s">
        <v>264</v>
      </c>
      <c r="G273" s="2" t="s">
        <v>265</v>
      </c>
      <c r="H273" s="17">
        <v>20960</v>
      </c>
      <c r="I273" s="2"/>
      <c r="J273" s="2"/>
      <c r="K273" s="17">
        <v>20960</v>
      </c>
      <c r="L273" s="17">
        <v>2245.71</v>
      </c>
      <c r="M273" s="17">
        <v>18714.29</v>
      </c>
      <c r="N273" s="17">
        <v>20960</v>
      </c>
      <c r="O273" s="2"/>
      <c r="P273" s="2"/>
      <c r="Q273" s="31" t="s">
        <v>139</v>
      </c>
      <c r="R273" s="64">
        <f>+K273+K274+K275+K276+K277+K278</f>
        <v>101550.2</v>
      </c>
      <c r="S273" s="62"/>
      <c r="T273" s="5"/>
    </row>
    <row r="274" spans="1:20">
      <c r="A274" s="2" t="s">
        <v>689</v>
      </c>
      <c r="B274" s="2" t="s">
        <v>691</v>
      </c>
      <c r="C274" s="2" t="s">
        <v>151</v>
      </c>
      <c r="D274" s="16">
        <v>60</v>
      </c>
      <c r="E274" s="2" t="s">
        <v>692</v>
      </c>
      <c r="F274" s="2" t="s">
        <v>264</v>
      </c>
      <c r="G274" s="2" t="s">
        <v>693</v>
      </c>
      <c r="H274" s="17">
        <v>29016</v>
      </c>
      <c r="I274" s="2"/>
      <c r="J274" s="2"/>
      <c r="K274" s="17">
        <v>29016</v>
      </c>
      <c r="L274" s="17">
        <v>3108.86</v>
      </c>
      <c r="M274" s="17">
        <v>25907.14</v>
      </c>
      <c r="N274" s="17">
        <v>29016</v>
      </c>
      <c r="O274" s="2"/>
      <c r="P274" s="2"/>
      <c r="Q274" s="31" t="s">
        <v>139</v>
      </c>
      <c r="R274" s="66"/>
      <c r="S274" s="62"/>
      <c r="T274" s="5"/>
    </row>
    <row r="275" spans="1:20">
      <c r="A275" s="2" t="s">
        <v>689</v>
      </c>
      <c r="B275" s="2" t="s">
        <v>694</v>
      </c>
      <c r="C275" s="2" t="s">
        <v>151</v>
      </c>
      <c r="D275" s="16">
        <v>60</v>
      </c>
      <c r="E275" s="2" t="s">
        <v>692</v>
      </c>
      <c r="F275" s="2" t="s">
        <v>264</v>
      </c>
      <c r="G275" s="2" t="s">
        <v>695</v>
      </c>
      <c r="H275" s="17">
        <v>2768</v>
      </c>
      <c r="I275" s="2"/>
      <c r="J275" s="2"/>
      <c r="K275" s="17">
        <v>2768</v>
      </c>
      <c r="L275" s="18">
        <v>296.57</v>
      </c>
      <c r="M275" s="17">
        <v>2471.4299999999998</v>
      </c>
      <c r="N275" s="17">
        <v>2768</v>
      </c>
      <c r="O275" s="2"/>
      <c r="P275" s="2"/>
      <c r="Q275" s="31" t="s">
        <v>139</v>
      </c>
      <c r="R275" s="66"/>
      <c r="S275" s="62"/>
      <c r="T275" s="5"/>
    </row>
    <row r="276" spans="1:20">
      <c r="A276" s="2" t="s">
        <v>915</v>
      </c>
      <c r="B276" s="2" t="s">
        <v>951</v>
      </c>
      <c r="C276" s="2" t="s">
        <v>151</v>
      </c>
      <c r="D276" s="16">
        <v>60</v>
      </c>
      <c r="E276" s="2" t="s">
        <v>918</v>
      </c>
      <c r="F276" s="2" t="s">
        <v>264</v>
      </c>
      <c r="G276" s="2" t="s">
        <v>952</v>
      </c>
      <c r="H276" s="17">
        <v>13520</v>
      </c>
      <c r="I276" s="2"/>
      <c r="J276" s="2"/>
      <c r="K276" s="17">
        <v>13520</v>
      </c>
      <c r="L276" s="17">
        <v>1448.57</v>
      </c>
      <c r="M276" s="17">
        <v>12071.43</v>
      </c>
      <c r="N276" s="17">
        <v>13520</v>
      </c>
      <c r="O276" s="2"/>
      <c r="P276" s="2"/>
      <c r="Q276" s="31" t="s">
        <v>139</v>
      </c>
      <c r="R276" s="66"/>
      <c r="S276" s="62"/>
      <c r="T276" s="5"/>
    </row>
    <row r="277" spans="1:20">
      <c r="A277" s="2" t="s">
        <v>1117</v>
      </c>
      <c r="B277" s="2" t="s">
        <v>1163</v>
      </c>
      <c r="C277" s="2" t="s">
        <v>151</v>
      </c>
      <c r="D277" s="16">
        <v>60</v>
      </c>
      <c r="E277" s="2" t="s">
        <v>1139</v>
      </c>
      <c r="F277" s="2" t="s">
        <v>264</v>
      </c>
      <c r="G277" s="2" t="s">
        <v>1164</v>
      </c>
      <c r="H277" s="17">
        <v>23524.2</v>
      </c>
      <c r="I277" s="2"/>
      <c r="J277" s="2"/>
      <c r="K277" s="17">
        <v>23524.2</v>
      </c>
      <c r="L277" s="17">
        <v>2520.4499999999998</v>
      </c>
      <c r="M277" s="17">
        <v>21003.75</v>
      </c>
      <c r="N277" s="17">
        <v>23524.2</v>
      </c>
      <c r="O277" s="2"/>
      <c r="P277" s="2"/>
      <c r="Q277" s="31" t="s">
        <v>139</v>
      </c>
      <c r="R277" s="66"/>
      <c r="S277" s="62"/>
      <c r="T277" s="5"/>
    </row>
    <row r="278" spans="1:20">
      <c r="A278" s="2" t="s">
        <v>1372</v>
      </c>
      <c r="B278" s="2" t="s">
        <v>1409</v>
      </c>
      <c r="C278" s="2" t="s">
        <v>151</v>
      </c>
      <c r="D278" s="16">
        <v>60</v>
      </c>
      <c r="E278" s="2" t="s">
        <v>1373</v>
      </c>
      <c r="F278" s="2" t="s">
        <v>264</v>
      </c>
      <c r="G278" s="2" t="s">
        <v>1410</v>
      </c>
      <c r="H278" s="17">
        <v>11762</v>
      </c>
      <c r="I278" s="2"/>
      <c r="J278" s="2"/>
      <c r="K278" s="17">
        <v>11762</v>
      </c>
      <c r="L278" s="17">
        <v>1260.21</v>
      </c>
      <c r="M278" s="17">
        <v>10501.79</v>
      </c>
      <c r="N278" s="17">
        <v>11762</v>
      </c>
      <c r="O278" s="2"/>
      <c r="P278" s="2"/>
      <c r="Q278" s="31" t="s">
        <v>139</v>
      </c>
      <c r="R278" s="65"/>
      <c r="S278" s="62"/>
      <c r="T278" s="5"/>
    </row>
    <row r="279" spans="1:20">
      <c r="A279" s="2" t="s">
        <v>915</v>
      </c>
      <c r="B279" s="2" t="s">
        <v>920</v>
      </c>
      <c r="C279" s="2" t="s">
        <v>73</v>
      </c>
      <c r="D279" s="16">
        <v>30</v>
      </c>
      <c r="E279" s="2" t="s">
        <v>916</v>
      </c>
      <c r="F279" s="2" t="s">
        <v>921</v>
      </c>
      <c r="G279" s="2" t="s">
        <v>922</v>
      </c>
      <c r="H279" s="17">
        <v>348834</v>
      </c>
      <c r="I279" s="2"/>
      <c r="J279" s="2"/>
      <c r="K279" s="17">
        <v>348834</v>
      </c>
      <c r="L279" s="17">
        <v>37375.07</v>
      </c>
      <c r="M279" s="17">
        <v>311458.93</v>
      </c>
      <c r="N279" s="17">
        <v>348834</v>
      </c>
      <c r="O279" s="2"/>
      <c r="P279" s="2"/>
      <c r="Q279" s="31" t="s">
        <v>139</v>
      </c>
      <c r="R279" s="41">
        <f>+K279</f>
        <v>348834</v>
      </c>
      <c r="S279" s="62"/>
      <c r="T279" s="5"/>
    </row>
    <row r="280" spans="1:20">
      <c r="A280" s="2" t="s">
        <v>505</v>
      </c>
      <c r="B280" s="2" t="s">
        <v>588</v>
      </c>
      <c r="C280" s="2" t="s">
        <v>146</v>
      </c>
      <c r="D280" s="16">
        <v>90</v>
      </c>
      <c r="E280" s="2" t="s">
        <v>532</v>
      </c>
      <c r="F280" s="2" t="s">
        <v>589</v>
      </c>
      <c r="G280" s="2" t="s">
        <v>590</v>
      </c>
      <c r="H280" s="17">
        <v>533750</v>
      </c>
      <c r="I280" s="2"/>
      <c r="J280" s="2"/>
      <c r="K280" s="17">
        <v>533750</v>
      </c>
      <c r="L280" s="17">
        <v>57187.5</v>
      </c>
      <c r="M280" s="17">
        <v>476562.5</v>
      </c>
      <c r="N280" s="17">
        <v>533750</v>
      </c>
      <c r="O280" s="2"/>
      <c r="P280" s="2"/>
      <c r="Q280" s="31" t="s">
        <v>139</v>
      </c>
      <c r="R280" s="41">
        <f>+K280</f>
        <v>533750</v>
      </c>
      <c r="S280" s="62"/>
      <c r="T280" s="5"/>
    </row>
    <row r="281" spans="1:20">
      <c r="A281" s="2" t="s">
        <v>1372</v>
      </c>
      <c r="B281" s="2" t="s">
        <v>1404</v>
      </c>
      <c r="C281" s="2" t="s">
        <v>162</v>
      </c>
      <c r="D281" s="16">
        <v>90</v>
      </c>
      <c r="E281" s="2" t="s">
        <v>1376</v>
      </c>
      <c r="F281" s="2" t="s">
        <v>1405</v>
      </c>
      <c r="G281" s="2" t="s">
        <v>1406</v>
      </c>
      <c r="H281" s="17">
        <v>80378</v>
      </c>
      <c r="I281" s="2"/>
      <c r="J281" s="2"/>
      <c r="K281" s="17">
        <v>80378</v>
      </c>
      <c r="L281" s="17">
        <v>8611.93</v>
      </c>
      <c r="M281" s="17">
        <v>71766.070000000007</v>
      </c>
      <c r="N281" s="17">
        <v>80378</v>
      </c>
      <c r="O281" s="2"/>
      <c r="P281" s="2"/>
      <c r="Q281" s="31" t="s">
        <v>139</v>
      </c>
      <c r="R281" s="64">
        <f>+K281+K282</f>
        <v>109178</v>
      </c>
      <c r="S281" s="62"/>
      <c r="T281" s="5"/>
    </row>
    <row r="282" spans="1:20">
      <c r="A282" s="2" t="s">
        <v>1372</v>
      </c>
      <c r="B282" s="2" t="s">
        <v>1407</v>
      </c>
      <c r="C282" s="2" t="s">
        <v>162</v>
      </c>
      <c r="D282" s="16">
        <v>90</v>
      </c>
      <c r="E282" s="2" t="s">
        <v>1376</v>
      </c>
      <c r="F282" s="2" t="s">
        <v>1405</v>
      </c>
      <c r="G282" s="2" t="s">
        <v>1408</v>
      </c>
      <c r="H282" s="17">
        <v>28800</v>
      </c>
      <c r="I282" s="2"/>
      <c r="J282" s="2"/>
      <c r="K282" s="17">
        <v>28800</v>
      </c>
      <c r="L282" s="17">
        <v>3085.71</v>
      </c>
      <c r="M282" s="17">
        <v>25714.29</v>
      </c>
      <c r="N282" s="17">
        <v>28800</v>
      </c>
      <c r="O282" s="2"/>
      <c r="P282" s="2"/>
      <c r="Q282" s="31" t="s">
        <v>139</v>
      </c>
      <c r="R282" s="65"/>
      <c r="S282" s="63"/>
      <c r="T282" s="5"/>
    </row>
    <row r="283" spans="1:20">
      <c r="A283" s="2" t="s">
        <v>282</v>
      </c>
      <c r="B283" s="2" t="s">
        <v>311</v>
      </c>
      <c r="C283" s="2" t="s">
        <v>162</v>
      </c>
      <c r="D283" s="16">
        <v>90</v>
      </c>
      <c r="E283" s="2" t="s">
        <v>290</v>
      </c>
      <c r="F283" s="2" t="s">
        <v>313</v>
      </c>
      <c r="G283" s="2" t="s">
        <v>314</v>
      </c>
      <c r="H283" s="17">
        <v>159998.07999999999</v>
      </c>
      <c r="I283" s="2"/>
      <c r="J283" s="2"/>
      <c r="K283" s="17">
        <v>159998.07999999999</v>
      </c>
      <c r="L283" s="17">
        <v>17142.650000000001</v>
      </c>
      <c r="M283" s="17">
        <v>142855.43</v>
      </c>
      <c r="N283" s="17">
        <v>159998.07999999999</v>
      </c>
      <c r="O283" s="2"/>
      <c r="P283" s="2"/>
      <c r="Q283" s="31" t="s">
        <v>312</v>
      </c>
      <c r="R283" s="61">
        <f>+K283+K284</f>
        <v>272894.07999999996</v>
      </c>
      <c r="S283" s="61">
        <f>+R283</f>
        <v>272894.07999999996</v>
      </c>
      <c r="T283" s="5"/>
    </row>
    <row r="284" spans="1:20">
      <c r="A284" s="2" t="s">
        <v>1467</v>
      </c>
      <c r="B284" s="2" t="s">
        <v>1478</v>
      </c>
      <c r="C284" s="2" t="s">
        <v>162</v>
      </c>
      <c r="D284" s="16">
        <v>90</v>
      </c>
      <c r="E284" s="2" t="s">
        <v>1479</v>
      </c>
      <c r="F284" s="2" t="s">
        <v>313</v>
      </c>
      <c r="G284" s="2" t="s">
        <v>1480</v>
      </c>
      <c r="H284" s="17">
        <v>112896</v>
      </c>
      <c r="I284" s="2"/>
      <c r="J284" s="2"/>
      <c r="K284" s="17">
        <v>112896</v>
      </c>
      <c r="L284" s="17">
        <v>12096</v>
      </c>
      <c r="M284" s="17">
        <v>100800</v>
      </c>
      <c r="N284" s="17">
        <v>112896</v>
      </c>
      <c r="O284" s="2"/>
      <c r="P284" s="2"/>
      <c r="Q284" s="31" t="s">
        <v>312</v>
      </c>
      <c r="R284" s="63"/>
      <c r="S284" s="63"/>
      <c r="T284" s="5"/>
    </row>
    <row r="285" spans="1:20">
      <c r="A285" s="2" t="s">
        <v>282</v>
      </c>
      <c r="B285" s="2" t="s">
        <v>328</v>
      </c>
      <c r="C285" s="2" t="s">
        <v>34</v>
      </c>
      <c r="D285" s="16">
        <v>60</v>
      </c>
      <c r="E285" s="2" t="s">
        <v>286</v>
      </c>
      <c r="F285" s="2" t="s">
        <v>330</v>
      </c>
      <c r="G285" s="2" t="s">
        <v>331</v>
      </c>
      <c r="H285" s="17">
        <v>338400</v>
      </c>
      <c r="I285" s="2"/>
      <c r="J285" s="2"/>
      <c r="K285" s="17">
        <v>338400</v>
      </c>
      <c r="L285" s="17">
        <v>36257.14</v>
      </c>
      <c r="M285" s="17">
        <v>302142.86</v>
      </c>
      <c r="N285" s="17">
        <v>338400</v>
      </c>
      <c r="O285" s="2"/>
      <c r="P285" s="2"/>
      <c r="Q285" s="31" t="s">
        <v>329</v>
      </c>
      <c r="R285" s="61">
        <f>+K285+K286+K287</f>
        <v>1151970</v>
      </c>
      <c r="S285" s="61">
        <f>+R285+R288+R289+R291</f>
        <v>1759550.4</v>
      </c>
      <c r="T285" s="5"/>
    </row>
    <row r="286" spans="1:20">
      <c r="A286" s="2" t="s">
        <v>505</v>
      </c>
      <c r="B286" s="2" t="s">
        <v>540</v>
      </c>
      <c r="C286" s="2" t="s">
        <v>34</v>
      </c>
      <c r="D286" s="16">
        <v>60</v>
      </c>
      <c r="E286" s="2" t="s">
        <v>509</v>
      </c>
      <c r="F286" s="2" t="s">
        <v>330</v>
      </c>
      <c r="G286" s="2" t="s">
        <v>541</v>
      </c>
      <c r="H286" s="17">
        <v>360302</v>
      </c>
      <c r="I286" s="2"/>
      <c r="J286" s="2"/>
      <c r="K286" s="17">
        <v>360302</v>
      </c>
      <c r="L286" s="17">
        <v>38603.79</v>
      </c>
      <c r="M286" s="17">
        <v>321698.21000000002</v>
      </c>
      <c r="N286" s="17">
        <v>360302</v>
      </c>
      <c r="O286" s="2"/>
      <c r="P286" s="2"/>
      <c r="Q286" s="31" t="s">
        <v>329</v>
      </c>
      <c r="R286" s="62"/>
      <c r="S286" s="62"/>
      <c r="T286" s="5"/>
    </row>
    <row r="287" spans="1:20">
      <c r="A287" s="2" t="s">
        <v>1117</v>
      </c>
      <c r="B287" s="2" t="s">
        <v>1197</v>
      </c>
      <c r="C287" s="2" t="s">
        <v>34</v>
      </c>
      <c r="D287" s="16">
        <v>60</v>
      </c>
      <c r="E287" s="2" t="s">
        <v>1139</v>
      </c>
      <c r="F287" s="2" t="s">
        <v>330</v>
      </c>
      <c r="G287" s="2" t="s">
        <v>1198</v>
      </c>
      <c r="H287" s="17">
        <v>453268</v>
      </c>
      <c r="I287" s="2"/>
      <c r="J287" s="2"/>
      <c r="K287" s="17">
        <v>453268</v>
      </c>
      <c r="L287" s="17">
        <v>48564.43</v>
      </c>
      <c r="M287" s="17">
        <v>404703.57</v>
      </c>
      <c r="N287" s="17">
        <v>453268</v>
      </c>
      <c r="O287" s="2"/>
      <c r="P287" s="2"/>
      <c r="Q287" s="31" t="s">
        <v>329</v>
      </c>
      <c r="R287" s="63"/>
      <c r="S287" s="62"/>
      <c r="T287" s="5"/>
    </row>
    <row r="288" spans="1:20">
      <c r="A288" s="2" t="s">
        <v>769</v>
      </c>
      <c r="B288" s="2" t="s">
        <v>808</v>
      </c>
      <c r="C288" s="2" t="s">
        <v>18</v>
      </c>
      <c r="D288" s="16">
        <v>0</v>
      </c>
      <c r="E288" s="2" t="s">
        <v>769</v>
      </c>
      <c r="F288" s="2" t="s">
        <v>809</v>
      </c>
      <c r="G288" s="2" t="s">
        <v>810</v>
      </c>
      <c r="H288" s="17">
        <v>65238</v>
      </c>
      <c r="I288" s="19">
        <v>-1304.76</v>
      </c>
      <c r="J288" s="2"/>
      <c r="K288" s="17">
        <v>63933.24</v>
      </c>
      <c r="L288" s="17">
        <v>6849.99</v>
      </c>
      <c r="M288" s="17">
        <v>57083.25</v>
      </c>
      <c r="N288" s="17">
        <v>63933.24</v>
      </c>
      <c r="O288" s="2"/>
      <c r="P288" s="2"/>
      <c r="Q288" s="31" t="s">
        <v>329</v>
      </c>
      <c r="R288" s="32">
        <f>+K288</f>
        <v>63933.24</v>
      </c>
      <c r="S288" s="62"/>
      <c r="T288" s="5"/>
    </row>
    <row r="289" spans="1:20">
      <c r="A289" s="2" t="s">
        <v>596</v>
      </c>
      <c r="B289" s="2" t="s">
        <v>607</v>
      </c>
      <c r="C289" s="2" t="s">
        <v>60</v>
      </c>
      <c r="D289" s="16">
        <v>0</v>
      </c>
      <c r="E289" s="2" t="s">
        <v>596</v>
      </c>
      <c r="F289" s="2" t="s">
        <v>608</v>
      </c>
      <c r="G289" s="2" t="s">
        <v>609</v>
      </c>
      <c r="H289" s="17">
        <v>142360</v>
      </c>
      <c r="I289" s="19">
        <v>-2847.2</v>
      </c>
      <c r="J289" s="2"/>
      <c r="K289" s="17">
        <v>139512.79999999999</v>
      </c>
      <c r="L289" s="17">
        <v>14947.8</v>
      </c>
      <c r="M289" s="17">
        <v>124565</v>
      </c>
      <c r="N289" s="17">
        <v>139512.79999999999</v>
      </c>
      <c r="O289" s="2"/>
      <c r="P289" s="2"/>
      <c r="Q289" s="31" t="s">
        <v>329</v>
      </c>
      <c r="R289" s="61">
        <f>+K289+K290</f>
        <v>170780.68</v>
      </c>
      <c r="S289" s="62"/>
      <c r="T289" s="5"/>
    </row>
    <row r="290" spans="1:20">
      <c r="A290" s="2" t="s">
        <v>596</v>
      </c>
      <c r="B290" s="2" t="s">
        <v>610</v>
      </c>
      <c r="C290" s="2" t="s">
        <v>60</v>
      </c>
      <c r="D290" s="16">
        <v>0</v>
      </c>
      <c r="E290" s="2" t="s">
        <v>596</v>
      </c>
      <c r="F290" s="2" t="s">
        <v>608</v>
      </c>
      <c r="G290" s="2" t="s">
        <v>611</v>
      </c>
      <c r="H290" s="17">
        <v>31906</v>
      </c>
      <c r="I290" s="19">
        <v>-638.12</v>
      </c>
      <c r="J290" s="2"/>
      <c r="K290" s="17">
        <v>31267.88</v>
      </c>
      <c r="L290" s="17">
        <v>3350.13</v>
      </c>
      <c r="M290" s="17">
        <v>27917.75</v>
      </c>
      <c r="N290" s="17">
        <v>31267.88</v>
      </c>
      <c r="O290" s="2"/>
      <c r="P290" s="2"/>
      <c r="Q290" s="31" t="s">
        <v>329</v>
      </c>
      <c r="R290" s="63"/>
      <c r="S290" s="62"/>
      <c r="T290" s="5"/>
    </row>
    <row r="291" spans="1:20">
      <c r="A291" s="2" t="s">
        <v>505</v>
      </c>
      <c r="B291" s="2" t="s">
        <v>528</v>
      </c>
      <c r="C291" s="2" t="s">
        <v>23</v>
      </c>
      <c r="D291" s="16">
        <v>30</v>
      </c>
      <c r="E291" s="2" t="s">
        <v>518</v>
      </c>
      <c r="F291" s="2" t="s">
        <v>529</v>
      </c>
      <c r="G291" s="2" t="s">
        <v>530</v>
      </c>
      <c r="H291" s="17">
        <v>239276</v>
      </c>
      <c r="I291" s="19">
        <v>-4785.5200000000004</v>
      </c>
      <c r="J291" s="2"/>
      <c r="K291" s="17">
        <v>234490.48</v>
      </c>
      <c r="L291" s="17">
        <v>25123.98</v>
      </c>
      <c r="M291" s="17">
        <v>209366.5</v>
      </c>
      <c r="N291" s="17">
        <v>234490.48</v>
      </c>
      <c r="O291" s="2"/>
      <c r="P291" s="2"/>
      <c r="Q291" s="31" t="s">
        <v>329</v>
      </c>
      <c r="R291" s="61">
        <f>+K291+K292</f>
        <v>372866.48</v>
      </c>
      <c r="S291" s="62"/>
      <c r="T291" s="5"/>
    </row>
    <row r="292" spans="1:20">
      <c r="A292" s="2" t="s">
        <v>1117</v>
      </c>
      <c r="B292" s="2" t="s">
        <v>1193</v>
      </c>
      <c r="C292" s="2" t="s">
        <v>23</v>
      </c>
      <c r="D292" s="16">
        <v>30</v>
      </c>
      <c r="E292" s="2" t="s">
        <v>1118</v>
      </c>
      <c r="F292" s="2" t="s">
        <v>529</v>
      </c>
      <c r="G292" s="2" t="s">
        <v>1194</v>
      </c>
      <c r="H292" s="17">
        <v>141200</v>
      </c>
      <c r="I292" s="19">
        <v>-2824</v>
      </c>
      <c r="J292" s="2"/>
      <c r="K292" s="17">
        <v>138376</v>
      </c>
      <c r="L292" s="17">
        <v>14826</v>
      </c>
      <c r="M292" s="17">
        <v>123550</v>
      </c>
      <c r="N292" s="17">
        <v>138376</v>
      </c>
      <c r="O292" s="2"/>
      <c r="P292" s="2"/>
      <c r="Q292" s="31" t="s">
        <v>329</v>
      </c>
      <c r="R292" s="63"/>
      <c r="S292" s="63"/>
      <c r="T292" s="5"/>
    </row>
    <row r="293" spans="1:20">
      <c r="A293" s="2" t="s">
        <v>282</v>
      </c>
      <c r="B293" s="2" t="s">
        <v>292</v>
      </c>
      <c r="C293" s="2" t="s">
        <v>60</v>
      </c>
      <c r="D293" s="16">
        <v>0</v>
      </c>
      <c r="E293" s="2" t="s">
        <v>282</v>
      </c>
      <c r="F293" s="2" t="s">
        <v>293</v>
      </c>
      <c r="G293" s="2" t="s">
        <v>294</v>
      </c>
      <c r="H293" s="17">
        <v>58930</v>
      </c>
      <c r="I293" s="2"/>
      <c r="J293" s="2"/>
      <c r="K293" s="17">
        <v>58930</v>
      </c>
      <c r="L293" s="17">
        <v>6313.93</v>
      </c>
      <c r="M293" s="17">
        <v>52616.07</v>
      </c>
      <c r="N293" s="17">
        <v>58930</v>
      </c>
      <c r="O293" s="2"/>
      <c r="P293" s="2"/>
      <c r="Q293" s="31" t="s">
        <v>56</v>
      </c>
      <c r="R293" s="67">
        <f>+K293+K294+K295</f>
        <v>156160</v>
      </c>
      <c r="S293" s="61">
        <f>+R293+R296+R298+R299+R300+R304+R319+R322+R329+R330+R331+R333+R336+R337+R340+R342+R343+R344+R345+R351+R354+R355+R356+R360+R361+R363+R367+R375+R398+R399+R403+R404+R405+R412+R416+R418+R419+R424+R426+R428+R436</f>
        <v>35796816.950000003</v>
      </c>
      <c r="T293" s="5"/>
    </row>
    <row r="294" spans="1:20">
      <c r="A294" s="2" t="s">
        <v>689</v>
      </c>
      <c r="B294" s="2" t="s">
        <v>688</v>
      </c>
      <c r="C294" s="2" t="s">
        <v>60</v>
      </c>
      <c r="D294" s="16">
        <v>0</v>
      </c>
      <c r="E294" s="2" t="s">
        <v>689</v>
      </c>
      <c r="F294" s="2" t="s">
        <v>293</v>
      </c>
      <c r="G294" s="2" t="s">
        <v>690</v>
      </c>
      <c r="H294" s="17">
        <v>34500</v>
      </c>
      <c r="I294" s="2"/>
      <c r="J294" s="2"/>
      <c r="K294" s="17">
        <v>34500</v>
      </c>
      <c r="L294" s="17">
        <v>3696.43</v>
      </c>
      <c r="M294" s="17">
        <v>30803.57</v>
      </c>
      <c r="N294" s="17">
        <v>34500</v>
      </c>
      <c r="O294" s="2"/>
      <c r="P294" s="2"/>
      <c r="Q294" s="31" t="s">
        <v>56</v>
      </c>
      <c r="R294" s="68"/>
      <c r="S294" s="62"/>
      <c r="T294" s="5"/>
    </row>
    <row r="295" spans="1:20">
      <c r="A295" s="2" t="s">
        <v>1287</v>
      </c>
      <c r="B295" s="2" t="s">
        <v>1310</v>
      </c>
      <c r="C295" s="2" t="s">
        <v>60</v>
      </c>
      <c r="D295" s="16">
        <v>0</v>
      </c>
      <c r="E295" s="2" t="s">
        <v>1287</v>
      </c>
      <c r="F295" s="2" t="s">
        <v>293</v>
      </c>
      <c r="G295" s="2" t="s">
        <v>1311</v>
      </c>
      <c r="H295" s="17">
        <v>62730</v>
      </c>
      <c r="I295" s="2"/>
      <c r="J295" s="2"/>
      <c r="K295" s="17">
        <v>62730</v>
      </c>
      <c r="L295" s="17">
        <v>6721.07</v>
      </c>
      <c r="M295" s="17">
        <v>56008.93</v>
      </c>
      <c r="N295" s="17">
        <v>62730</v>
      </c>
      <c r="O295" s="2"/>
      <c r="P295" s="2"/>
      <c r="Q295" s="31" t="s">
        <v>56</v>
      </c>
      <c r="R295" s="69"/>
      <c r="S295" s="62"/>
      <c r="T295" s="5"/>
    </row>
    <row r="296" spans="1:20">
      <c r="A296" s="2" t="s">
        <v>505</v>
      </c>
      <c r="B296" s="2" t="s">
        <v>545</v>
      </c>
      <c r="C296" s="2" t="s">
        <v>60</v>
      </c>
      <c r="D296" s="16">
        <v>0</v>
      </c>
      <c r="E296" s="2" t="s">
        <v>505</v>
      </c>
      <c r="F296" s="2" t="s">
        <v>546</v>
      </c>
      <c r="G296" s="2" t="s">
        <v>547</v>
      </c>
      <c r="H296" s="17">
        <v>83454.48</v>
      </c>
      <c r="I296" s="2"/>
      <c r="J296" s="2"/>
      <c r="K296" s="17">
        <v>83454.48</v>
      </c>
      <c r="L296" s="17">
        <v>8941.5499999999993</v>
      </c>
      <c r="M296" s="17">
        <v>74512.929999999993</v>
      </c>
      <c r="N296" s="17">
        <v>83454.48</v>
      </c>
      <c r="O296" s="2"/>
      <c r="P296" s="2"/>
      <c r="Q296" s="31" t="s">
        <v>56</v>
      </c>
      <c r="R296" s="61">
        <f>+K296+K297</f>
        <v>129818.07999999999</v>
      </c>
      <c r="S296" s="62"/>
      <c r="T296" s="5"/>
    </row>
    <row r="297" spans="1:20">
      <c r="A297" s="2" t="s">
        <v>689</v>
      </c>
      <c r="B297" s="2" t="s">
        <v>738</v>
      </c>
      <c r="C297" s="2" t="s">
        <v>60</v>
      </c>
      <c r="D297" s="16">
        <v>0</v>
      </c>
      <c r="E297" s="2" t="s">
        <v>689</v>
      </c>
      <c r="F297" s="2" t="s">
        <v>546</v>
      </c>
      <c r="G297" s="2" t="s">
        <v>739</v>
      </c>
      <c r="H297" s="17">
        <v>46363.6</v>
      </c>
      <c r="I297" s="2"/>
      <c r="J297" s="2"/>
      <c r="K297" s="17">
        <v>46363.6</v>
      </c>
      <c r="L297" s="17">
        <v>4967.53</v>
      </c>
      <c r="M297" s="17">
        <v>41396.07</v>
      </c>
      <c r="N297" s="17">
        <v>46363.6</v>
      </c>
      <c r="O297" s="2"/>
      <c r="P297" s="2"/>
      <c r="Q297" s="31" t="s">
        <v>56</v>
      </c>
      <c r="R297" s="63"/>
      <c r="S297" s="62"/>
      <c r="T297" s="5"/>
    </row>
    <row r="298" spans="1:20">
      <c r="A298" s="2" t="s">
        <v>17</v>
      </c>
      <c r="B298" s="2" t="s">
        <v>63</v>
      </c>
      <c r="C298" s="2" t="s">
        <v>64</v>
      </c>
      <c r="D298" s="16">
        <v>30</v>
      </c>
      <c r="E298" s="2" t="s">
        <v>24</v>
      </c>
      <c r="F298" s="2" t="s">
        <v>65</v>
      </c>
      <c r="G298" s="2" t="s">
        <v>66</v>
      </c>
      <c r="H298" s="17">
        <v>603830</v>
      </c>
      <c r="I298" s="2"/>
      <c r="J298" s="2"/>
      <c r="K298" s="17">
        <v>603830</v>
      </c>
      <c r="L298" s="17">
        <v>64696.07</v>
      </c>
      <c r="M298" s="17">
        <v>539133.93000000005</v>
      </c>
      <c r="N298" s="17">
        <v>603830</v>
      </c>
      <c r="O298" s="2"/>
      <c r="P298" s="2"/>
      <c r="Q298" s="31" t="s">
        <v>56</v>
      </c>
      <c r="R298" s="32">
        <f>+K298</f>
        <v>603830</v>
      </c>
      <c r="S298" s="62"/>
      <c r="T298" s="5"/>
    </row>
    <row r="299" spans="1:20">
      <c r="A299" s="2" t="s">
        <v>769</v>
      </c>
      <c r="B299" s="2" t="s">
        <v>845</v>
      </c>
      <c r="C299" s="2" t="s">
        <v>73</v>
      </c>
      <c r="D299" s="16">
        <v>30</v>
      </c>
      <c r="E299" s="2" t="s">
        <v>805</v>
      </c>
      <c r="F299" s="2" t="s">
        <v>846</v>
      </c>
      <c r="G299" s="2" t="s">
        <v>847</v>
      </c>
      <c r="H299" s="17">
        <v>360296</v>
      </c>
      <c r="I299" s="2"/>
      <c r="J299" s="2"/>
      <c r="K299" s="17">
        <v>360296</v>
      </c>
      <c r="L299" s="17">
        <v>38603.14</v>
      </c>
      <c r="M299" s="17">
        <v>321692.86</v>
      </c>
      <c r="N299" s="17">
        <v>360296</v>
      </c>
      <c r="O299" s="2"/>
      <c r="P299" s="2"/>
      <c r="Q299" s="31" t="s">
        <v>56</v>
      </c>
      <c r="R299" s="43">
        <f>+K299</f>
        <v>360296</v>
      </c>
      <c r="S299" s="62"/>
      <c r="T299" s="5"/>
    </row>
    <row r="300" spans="1:20">
      <c r="A300" s="2" t="s">
        <v>1048</v>
      </c>
      <c r="B300" s="2" t="s">
        <v>1108</v>
      </c>
      <c r="C300" s="2" t="s">
        <v>73</v>
      </c>
      <c r="D300" s="16">
        <v>30</v>
      </c>
      <c r="E300" s="2" t="s">
        <v>1056</v>
      </c>
      <c r="F300" s="2" t="s">
        <v>1109</v>
      </c>
      <c r="G300" s="2" t="s">
        <v>1110</v>
      </c>
      <c r="H300" s="17">
        <v>812880</v>
      </c>
      <c r="I300" s="2"/>
      <c r="J300" s="2"/>
      <c r="K300" s="17">
        <v>812880</v>
      </c>
      <c r="L300" s="17">
        <v>87094.29</v>
      </c>
      <c r="M300" s="17">
        <v>725785.71</v>
      </c>
      <c r="N300" s="17">
        <v>812880</v>
      </c>
      <c r="O300" s="2"/>
      <c r="P300" s="2"/>
      <c r="Q300" s="31" t="s">
        <v>56</v>
      </c>
      <c r="R300" s="61">
        <f>+K300+K301+K302+K303</f>
        <v>3742560</v>
      </c>
      <c r="S300" s="62"/>
      <c r="T300" s="5"/>
    </row>
    <row r="301" spans="1:20">
      <c r="A301" s="2" t="s">
        <v>1048</v>
      </c>
      <c r="B301" s="2" t="s">
        <v>1111</v>
      </c>
      <c r="C301" s="2" t="s">
        <v>73</v>
      </c>
      <c r="D301" s="16">
        <v>30</v>
      </c>
      <c r="E301" s="2" t="s">
        <v>1056</v>
      </c>
      <c r="F301" s="2" t="s">
        <v>1109</v>
      </c>
      <c r="G301" s="2" t="s">
        <v>1112</v>
      </c>
      <c r="H301" s="17">
        <v>1129000</v>
      </c>
      <c r="I301" s="2"/>
      <c r="J301" s="2"/>
      <c r="K301" s="17">
        <v>1129000</v>
      </c>
      <c r="L301" s="17">
        <v>120964.29</v>
      </c>
      <c r="M301" s="17">
        <v>1008035.71</v>
      </c>
      <c r="N301" s="17">
        <v>1129000</v>
      </c>
      <c r="O301" s="2"/>
      <c r="P301" s="2"/>
      <c r="Q301" s="31" t="s">
        <v>56</v>
      </c>
      <c r="R301" s="62"/>
      <c r="S301" s="62"/>
      <c r="T301" s="5"/>
    </row>
    <row r="302" spans="1:20">
      <c r="A302" s="2" t="s">
        <v>1117</v>
      </c>
      <c r="B302" s="2" t="s">
        <v>1169</v>
      </c>
      <c r="C302" s="2" t="s">
        <v>73</v>
      </c>
      <c r="D302" s="16">
        <v>30</v>
      </c>
      <c r="E302" s="2" t="s">
        <v>1118</v>
      </c>
      <c r="F302" s="2" t="s">
        <v>1109</v>
      </c>
      <c r="G302" s="2" t="s">
        <v>1170</v>
      </c>
      <c r="H302" s="17">
        <v>1048060</v>
      </c>
      <c r="I302" s="2"/>
      <c r="J302" s="2"/>
      <c r="K302" s="17">
        <v>1048060</v>
      </c>
      <c r="L302" s="17">
        <v>112292.14</v>
      </c>
      <c r="M302" s="17">
        <v>935767.86</v>
      </c>
      <c r="N302" s="17">
        <v>1048060</v>
      </c>
      <c r="O302" s="2"/>
      <c r="P302" s="2"/>
      <c r="Q302" s="31" t="s">
        <v>56</v>
      </c>
      <c r="R302" s="62"/>
      <c r="S302" s="62"/>
      <c r="T302" s="5"/>
    </row>
    <row r="303" spans="1:20">
      <c r="A303" s="2" t="s">
        <v>1117</v>
      </c>
      <c r="B303" s="2" t="s">
        <v>1171</v>
      </c>
      <c r="C303" s="2" t="s">
        <v>73</v>
      </c>
      <c r="D303" s="16">
        <v>30</v>
      </c>
      <c r="E303" s="2" t="s">
        <v>1118</v>
      </c>
      <c r="F303" s="2" t="s">
        <v>1109</v>
      </c>
      <c r="G303" s="2" t="s">
        <v>1172</v>
      </c>
      <c r="H303" s="17">
        <v>752620</v>
      </c>
      <c r="I303" s="2"/>
      <c r="J303" s="2"/>
      <c r="K303" s="17">
        <v>752620</v>
      </c>
      <c r="L303" s="17">
        <v>80637.86</v>
      </c>
      <c r="M303" s="17">
        <v>671982.14</v>
      </c>
      <c r="N303" s="17">
        <v>752620</v>
      </c>
      <c r="O303" s="2"/>
      <c r="P303" s="2"/>
      <c r="Q303" s="31" t="s">
        <v>56</v>
      </c>
      <c r="R303" s="63"/>
      <c r="S303" s="62"/>
      <c r="T303" s="5"/>
    </row>
    <row r="304" spans="1:20">
      <c r="A304" s="2" t="s">
        <v>93</v>
      </c>
      <c r="B304" s="2" t="s">
        <v>195</v>
      </c>
      <c r="C304" s="2" t="s">
        <v>60</v>
      </c>
      <c r="D304" s="16">
        <v>0</v>
      </c>
      <c r="E304" s="2" t="s">
        <v>93</v>
      </c>
      <c r="F304" s="2" t="s">
        <v>196</v>
      </c>
      <c r="G304" s="2" t="s">
        <v>197</v>
      </c>
      <c r="H304" s="17">
        <v>192020</v>
      </c>
      <c r="I304" s="2"/>
      <c r="J304" s="2"/>
      <c r="K304" s="17">
        <v>192020</v>
      </c>
      <c r="L304" s="17">
        <v>20573.57</v>
      </c>
      <c r="M304" s="17">
        <v>171446.43</v>
      </c>
      <c r="N304" s="17">
        <v>192020</v>
      </c>
      <c r="O304" s="2"/>
      <c r="P304" s="2"/>
      <c r="Q304" s="31" t="s">
        <v>56</v>
      </c>
      <c r="R304" s="61">
        <f>+K304+K305+K306+K307+K308+K309+K310+K311+K312+K313+K314+K315+K316+K317+K318</f>
        <v>3220160</v>
      </c>
      <c r="S304" s="62"/>
      <c r="T304" s="5"/>
    </row>
    <row r="305" spans="1:20">
      <c r="A305" s="2" t="s">
        <v>448</v>
      </c>
      <c r="B305" s="2" t="s">
        <v>498</v>
      </c>
      <c r="C305" s="2" t="s">
        <v>60</v>
      </c>
      <c r="D305" s="16">
        <v>0</v>
      </c>
      <c r="E305" s="2" t="s">
        <v>448</v>
      </c>
      <c r="F305" s="2" t="s">
        <v>196</v>
      </c>
      <c r="G305" s="2" t="s">
        <v>499</v>
      </c>
      <c r="H305" s="17">
        <v>17000</v>
      </c>
      <c r="I305" s="2"/>
      <c r="J305" s="2"/>
      <c r="K305" s="17">
        <v>17000</v>
      </c>
      <c r="L305" s="17">
        <v>1821.43</v>
      </c>
      <c r="M305" s="17">
        <v>15178.57</v>
      </c>
      <c r="N305" s="17">
        <v>17000</v>
      </c>
      <c r="O305" s="2"/>
      <c r="P305" s="2"/>
      <c r="Q305" s="31" t="s">
        <v>56</v>
      </c>
      <c r="R305" s="62"/>
      <c r="S305" s="62"/>
      <c r="T305" s="5"/>
    </row>
    <row r="306" spans="1:20">
      <c r="A306" s="2" t="s">
        <v>448</v>
      </c>
      <c r="B306" s="2" t="s">
        <v>500</v>
      </c>
      <c r="C306" s="2" t="s">
        <v>60</v>
      </c>
      <c r="D306" s="16">
        <v>0</v>
      </c>
      <c r="E306" s="2" t="s">
        <v>448</v>
      </c>
      <c r="F306" s="2" t="s">
        <v>196</v>
      </c>
      <c r="G306" s="2" t="s">
        <v>501</v>
      </c>
      <c r="H306" s="17">
        <v>104316</v>
      </c>
      <c r="I306" s="2"/>
      <c r="J306" s="2"/>
      <c r="K306" s="17">
        <v>104316</v>
      </c>
      <c r="L306" s="17">
        <v>11176.71</v>
      </c>
      <c r="M306" s="17">
        <v>93139.29</v>
      </c>
      <c r="N306" s="17">
        <v>104316</v>
      </c>
      <c r="O306" s="2"/>
      <c r="P306" s="2"/>
      <c r="Q306" s="31" t="s">
        <v>56</v>
      </c>
      <c r="R306" s="62"/>
      <c r="S306" s="62"/>
      <c r="T306" s="5"/>
    </row>
    <row r="307" spans="1:20">
      <c r="A307" s="2" t="s">
        <v>689</v>
      </c>
      <c r="B307" s="2" t="s">
        <v>699</v>
      </c>
      <c r="C307" s="2" t="s">
        <v>60</v>
      </c>
      <c r="D307" s="16">
        <v>0</v>
      </c>
      <c r="E307" s="2" t="s">
        <v>689</v>
      </c>
      <c r="F307" s="2" t="s">
        <v>196</v>
      </c>
      <c r="G307" s="2" t="s">
        <v>700</v>
      </c>
      <c r="H307" s="17">
        <v>321457</v>
      </c>
      <c r="I307" s="2"/>
      <c r="J307" s="2"/>
      <c r="K307" s="17">
        <v>321457</v>
      </c>
      <c r="L307" s="17">
        <v>34441.82</v>
      </c>
      <c r="M307" s="17">
        <v>287015.18</v>
      </c>
      <c r="N307" s="17">
        <v>321457</v>
      </c>
      <c r="O307" s="2"/>
      <c r="P307" s="2"/>
      <c r="Q307" s="31" t="s">
        <v>56</v>
      </c>
      <c r="R307" s="62"/>
      <c r="S307" s="62"/>
      <c r="T307" s="5"/>
    </row>
    <row r="308" spans="1:20">
      <c r="A308" s="2" t="s">
        <v>689</v>
      </c>
      <c r="B308" s="2" t="s">
        <v>701</v>
      </c>
      <c r="C308" s="2" t="s">
        <v>60</v>
      </c>
      <c r="D308" s="16">
        <v>0</v>
      </c>
      <c r="E308" s="2" t="s">
        <v>689</v>
      </c>
      <c r="F308" s="2" t="s">
        <v>196</v>
      </c>
      <c r="G308" s="2" t="s">
        <v>702</v>
      </c>
      <c r="H308" s="17">
        <v>168063</v>
      </c>
      <c r="I308" s="2"/>
      <c r="J308" s="2"/>
      <c r="K308" s="17">
        <v>168063</v>
      </c>
      <c r="L308" s="17">
        <v>18006.75</v>
      </c>
      <c r="M308" s="17">
        <v>150056.25</v>
      </c>
      <c r="N308" s="17">
        <v>168063</v>
      </c>
      <c r="O308" s="2"/>
      <c r="P308" s="2"/>
      <c r="Q308" s="31" t="s">
        <v>56</v>
      </c>
      <c r="R308" s="62"/>
      <c r="S308" s="62"/>
      <c r="T308" s="5"/>
    </row>
    <row r="309" spans="1:20">
      <c r="A309" s="2" t="s">
        <v>689</v>
      </c>
      <c r="B309" s="2" t="s">
        <v>718</v>
      </c>
      <c r="C309" s="2" t="s">
        <v>60</v>
      </c>
      <c r="D309" s="16">
        <v>0</v>
      </c>
      <c r="E309" s="2" t="s">
        <v>689</v>
      </c>
      <c r="F309" s="2" t="s">
        <v>196</v>
      </c>
      <c r="G309" s="2" t="s">
        <v>719</v>
      </c>
      <c r="H309" s="17">
        <v>86505</v>
      </c>
      <c r="I309" s="2"/>
      <c r="J309" s="2"/>
      <c r="K309" s="17">
        <v>86505</v>
      </c>
      <c r="L309" s="17">
        <v>9268.39</v>
      </c>
      <c r="M309" s="17">
        <v>77236.61</v>
      </c>
      <c r="N309" s="17">
        <v>86505</v>
      </c>
      <c r="O309" s="2"/>
      <c r="P309" s="2"/>
      <c r="Q309" s="31" t="s">
        <v>56</v>
      </c>
      <c r="R309" s="62"/>
      <c r="S309" s="62"/>
      <c r="T309" s="5"/>
    </row>
    <row r="310" spans="1:20">
      <c r="A310" s="2" t="s">
        <v>866</v>
      </c>
      <c r="B310" s="2" t="s">
        <v>882</v>
      </c>
      <c r="C310" s="2" t="s">
        <v>60</v>
      </c>
      <c r="D310" s="16">
        <v>0</v>
      </c>
      <c r="E310" s="2" t="s">
        <v>866</v>
      </c>
      <c r="F310" s="2" t="s">
        <v>196</v>
      </c>
      <c r="G310" s="2" t="s">
        <v>883</v>
      </c>
      <c r="H310" s="17">
        <v>4000</v>
      </c>
      <c r="I310" s="2"/>
      <c r="J310" s="2"/>
      <c r="K310" s="17">
        <v>4000</v>
      </c>
      <c r="L310" s="18">
        <v>428.57</v>
      </c>
      <c r="M310" s="17">
        <v>3571.43</v>
      </c>
      <c r="N310" s="17">
        <v>4000</v>
      </c>
      <c r="O310" s="2"/>
      <c r="P310" s="2"/>
      <c r="Q310" s="31" t="s">
        <v>56</v>
      </c>
      <c r="R310" s="62"/>
      <c r="S310" s="62"/>
      <c r="T310" s="5"/>
    </row>
    <row r="311" spans="1:20">
      <c r="A311" s="2" t="s">
        <v>866</v>
      </c>
      <c r="B311" s="2" t="s">
        <v>895</v>
      </c>
      <c r="C311" s="2" t="s">
        <v>60</v>
      </c>
      <c r="D311" s="16">
        <v>0</v>
      </c>
      <c r="E311" s="2" t="s">
        <v>866</v>
      </c>
      <c r="F311" s="2" t="s">
        <v>196</v>
      </c>
      <c r="G311" s="2" t="s">
        <v>896</v>
      </c>
      <c r="H311" s="17">
        <v>313966</v>
      </c>
      <c r="I311" s="2"/>
      <c r="J311" s="2"/>
      <c r="K311" s="17">
        <v>313966</v>
      </c>
      <c r="L311" s="17">
        <v>33639.21</v>
      </c>
      <c r="M311" s="17">
        <v>280326.78999999998</v>
      </c>
      <c r="N311" s="17">
        <v>313966</v>
      </c>
      <c r="O311" s="2"/>
      <c r="P311" s="2"/>
      <c r="Q311" s="31" t="s">
        <v>56</v>
      </c>
      <c r="R311" s="62"/>
      <c r="S311" s="62"/>
      <c r="T311" s="5"/>
    </row>
    <row r="312" spans="1:20">
      <c r="A312" s="2" t="s">
        <v>866</v>
      </c>
      <c r="B312" s="2" t="s">
        <v>897</v>
      </c>
      <c r="C312" s="2" t="s">
        <v>60</v>
      </c>
      <c r="D312" s="16">
        <v>0</v>
      </c>
      <c r="E312" s="2" t="s">
        <v>866</v>
      </c>
      <c r="F312" s="2" t="s">
        <v>196</v>
      </c>
      <c r="G312" s="2" t="s">
        <v>898</v>
      </c>
      <c r="H312" s="17">
        <v>81908</v>
      </c>
      <c r="I312" s="2"/>
      <c r="J312" s="2"/>
      <c r="K312" s="17">
        <v>81908</v>
      </c>
      <c r="L312" s="17">
        <v>8775.86</v>
      </c>
      <c r="M312" s="17">
        <v>73132.14</v>
      </c>
      <c r="N312" s="17">
        <v>81908</v>
      </c>
      <c r="O312" s="2"/>
      <c r="P312" s="2"/>
      <c r="Q312" s="31" t="s">
        <v>56</v>
      </c>
      <c r="R312" s="62"/>
      <c r="S312" s="62"/>
      <c r="T312" s="5"/>
    </row>
    <row r="313" spans="1:20">
      <c r="A313" s="2" t="s">
        <v>1217</v>
      </c>
      <c r="B313" s="2" t="s">
        <v>1250</v>
      </c>
      <c r="C313" s="2" t="s">
        <v>60</v>
      </c>
      <c r="D313" s="16">
        <v>0</v>
      </c>
      <c r="E313" s="2" t="s">
        <v>1217</v>
      </c>
      <c r="F313" s="2" t="s">
        <v>196</v>
      </c>
      <c r="G313" s="2" t="s">
        <v>1251</v>
      </c>
      <c r="H313" s="17">
        <v>740550</v>
      </c>
      <c r="I313" s="2"/>
      <c r="J313" s="2"/>
      <c r="K313" s="17">
        <v>740550</v>
      </c>
      <c r="L313" s="17">
        <v>79344.639999999999</v>
      </c>
      <c r="M313" s="17">
        <v>661205.36</v>
      </c>
      <c r="N313" s="17">
        <v>740550</v>
      </c>
      <c r="O313" s="2"/>
      <c r="P313" s="2"/>
      <c r="Q313" s="31" t="s">
        <v>56</v>
      </c>
      <c r="R313" s="62"/>
      <c r="S313" s="62"/>
      <c r="T313" s="5"/>
    </row>
    <row r="314" spans="1:20">
      <c r="A314" s="2" t="s">
        <v>1287</v>
      </c>
      <c r="B314" s="2" t="s">
        <v>1353</v>
      </c>
      <c r="C314" s="2" t="s">
        <v>60</v>
      </c>
      <c r="D314" s="16">
        <v>0</v>
      </c>
      <c r="E314" s="2" t="s">
        <v>1287</v>
      </c>
      <c r="F314" s="2" t="s">
        <v>196</v>
      </c>
      <c r="G314" s="2" t="s">
        <v>1354</v>
      </c>
      <c r="H314" s="17">
        <v>434653</v>
      </c>
      <c r="I314" s="2"/>
      <c r="J314" s="2"/>
      <c r="K314" s="17">
        <v>434653</v>
      </c>
      <c r="L314" s="17">
        <v>46569.96</v>
      </c>
      <c r="M314" s="17">
        <v>388083.04</v>
      </c>
      <c r="N314" s="17">
        <v>434653</v>
      </c>
      <c r="O314" s="2"/>
      <c r="P314" s="2"/>
      <c r="Q314" s="31" t="s">
        <v>56</v>
      </c>
      <c r="R314" s="62"/>
      <c r="S314" s="62"/>
      <c r="T314" s="5"/>
    </row>
    <row r="315" spans="1:20">
      <c r="A315" s="2" t="s">
        <v>1287</v>
      </c>
      <c r="B315" s="2" t="s">
        <v>1355</v>
      </c>
      <c r="C315" s="2" t="s">
        <v>60</v>
      </c>
      <c r="D315" s="16">
        <v>0</v>
      </c>
      <c r="E315" s="2" t="s">
        <v>1287</v>
      </c>
      <c r="F315" s="2" t="s">
        <v>196</v>
      </c>
      <c r="G315" s="2" t="s">
        <v>1356</v>
      </c>
      <c r="H315" s="17">
        <v>183132</v>
      </c>
      <c r="I315" s="2"/>
      <c r="J315" s="2"/>
      <c r="K315" s="17">
        <v>183132</v>
      </c>
      <c r="L315" s="17">
        <v>19621.29</v>
      </c>
      <c r="M315" s="17">
        <v>163510.71</v>
      </c>
      <c r="N315" s="17">
        <v>183132</v>
      </c>
      <c r="O315" s="2"/>
      <c r="P315" s="2"/>
      <c r="Q315" s="31" t="s">
        <v>56</v>
      </c>
      <c r="R315" s="62"/>
      <c r="S315" s="62"/>
      <c r="T315" s="5"/>
    </row>
    <row r="316" spans="1:20">
      <c r="A316" s="2" t="s">
        <v>1372</v>
      </c>
      <c r="B316" s="2" t="s">
        <v>1398</v>
      </c>
      <c r="C316" s="2" t="s">
        <v>60</v>
      </c>
      <c r="D316" s="16">
        <v>0</v>
      </c>
      <c r="E316" s="2" t="s">
        <v>1372</v>
      </c>
      <c r="F316" s="2" t="s">
        <v>196</v>
      </c>
      <c r="G316" s="2" t="s">
        <v>1399</v>
      </c>
      <c r="H316" s="17">
        <v>492232</v>
      </c>
      <c r="I316" s="2"/>
      <c r="J316" s="2"/>
      <c r="K316" s="17">
        <v>492232</v>
      </c>
      <c r="L316" s="17">
        <v>52739.14</v>
      </c>
      <c r="M316" s="17">
        <v>439492.86</v>
      </c>
      <c r="N316" s="17">
        <v>492232</v>
      </c>
      <c r="O316" s="2"/>
      <c r="P316" s="2"/>
      <c r="Q316" s="31" t="s">
        <v>56</v>
      </c>
      <c r="R316" s="62"/>
      <c r="S316" s="62"/>
      <c r="T316" s="5"/>
    </row>
    <row r="317" spans="1:20">
      <c r="A317" s="2" t="s">
        <v>1553</v>
      </c>
      <c r="B317" s="2" t="s">
        <v>1599</v>
      </c>
      <c r="C317" s="2" t="s">
        <v>60</v>
      </c>
      <c r="D317" s="16">
        <v>0</v>
      </c>
      <c r="E317" s="2" t="s">
        <v>1553</v>
      </c>
      <c r="F317" s="2" t="s">
        <v>196</v>
      </c>
      <c r="G317" s="2" t="s">
        <v>1600</v>
      </c>
      <c r="H317" s="17">
        <v>20090</v>
      </c>
      <c r="I317" s="2"/>
      <c r="J317" s="2"/>
      <c r="K317" s="17">
        <v>20090</v>
      </c>
      <c r="L317" s="17">
        <v>2152.5</v>
      </c>
      <c r="M317" s="17">
        <v>17937.5</v>
      </c>
      <c r="N317" s="17">
        <v>20090</v>
      </c>
      <c r="O317" s="2"/>
      <c r="P317" s="2"/>
      <c r="Q317" s="31" t="s">
        <v>56</v>
      </c>
      <c r="R317" s="62"/>
      <c r="S317" s="62"/>
      <c r="T317" s="5"/>
    </row>
    <row r="318" spans="1:20">
      <c r="A318" s="2" t="s">
        <v>1553</v>
      </c>
      <c r="B318" s="2" t="s">
        <v>1601</v>
      </c>
      <c r="C318" s="2" t="s">
        <v>60</v>
      </c>
      <c r="D318" s="16">
        <v>0</v>
      </c>
      <c r="E318" s="2" t="s">
        <v>1553</v>
      </c>
      <c r="F318" s="2" t="s">
        <v>196</v>
      </c>
      <c r="G318" s="2" t="s">
        <v>1602</v>
      </c>
      <c r="H318" s="17">
        <v>60268</v>
      </c>
      <c r="I318" s="2"/>
      <c r="J318" s="2"/>
      <c r="K318" s="17">
        <v>60268</v>
      </c>
      <c r="L318" s="17">
        <v>6457.29</v>
      </c>
      <c r="M318" s="17">
        <v>53810.71</v>
      </c>
      <c r="N318" s="17">
        <v>60268</v>
      </c>
      <c r="O318" s="2"/>
      <c r="P318" s="2"/>
      <c r="Q318" s="31" t="s">
        <v>56</v>
      </c>
      <c r="R318" s="63"/>
      <c r="S318" s="62"/>
      <c r="T318" s="5"/>
    </row>
    <row r="319" spans="1:20">
      <c r="A319" s="2" t="s">
        <v>93</v>
      </c>
      <c r="B319" s="2" t="s">
        <v>116</v>
      </c>
      <c r="C319" s="2" t="s">
        <v>117</v>
      </c>
      <c r="D319" s="16">
        <v>120</v>
      </c>
      <c r="E319" s="2" t="s">
        <v>118</v>
      </c>
      <c r="F319" s="2" t="s">
        <v>119</v>
      </c>
      <c r="G319" s="2" t="s">
        <v>120</v>
      </c>
      <c r="H319" s="17">
        <v>201354</v>
      </c>
      <c r="I319" s="2"/>
      <c r="J319" s="2"/>
      <c r="K319" s="17">
        <v>201354</v>
      </c>
      <c r="L319" s="17">
        <v>21573.64</v>
      </c>
      <c r="M319" s="17">
        <v>179780.36</v>
      </c>
      <c r="N319" s="17">
        <v>201354</v>
      </c>
      <c r="O319" s="2"/>
      <c r="P319" s="2"/>
      <c r="Q319" s="31" t="s">
        <v>56</v>
      </c>
      <c r="R319" s="61">
        <f>+K319+K320+K321</f>
        <v>343918</v>
      </c>
      <c r="S319" s="62"/>
      <c r="T319" s="5"/>
    </row>
    <row r="320" spans="1:20">
      <c r="A320" s="2" t="s">
        <v>93</v>
      </c>
      <c r="B320" s="2" t="s">
        <v>121</v>
      </c>
      <c r="C320" s="2" t="s">
        <v>117</v>
      </c>
      <c r="D320" s="16">
        <v>120</v>
      </c>
      <c r="E320" s="2" t="s">
        <v>118</v>
      </c>
      <c r="F320" s="2" t="s">
        <v>119</v>
      </c>
      <c r="G320" s="2" t="s">
        <v>122</v>
      </c>
      <c r="H320" s="17">
        <v>25672</v>
      </c>
      <c r="I320" s="2"/>
      <c r="J320" s="2"/>
      <c r="K320" s="17">
        <v>25672</v>
      </c>
      <c r="L320" s="17">
        <v>2750.57</v>
      </c>
      <c r="M320" s="17">
        <v>22921.43</v>
      </c>
      <c r="N320" s="17">
        <v>25672</v>
      </c>
      <c r="O320" s="2"/>
      <c r="P320" s="2"/>
      <c r="Q320" s="31" t="s">
        <v>56</v>
      </c>
      <c r="R320" s="62"/>
      <c r="S320" s="62"/>
      <c r="T320" s="5"/>
    </row>
    <row r="321" spans="1:20">
      <c r="A321" s="2" t="s">
        <v>93</v>
      </c>
      <c r="B321" s="2" t="s">
        <v>123</v>
      </c>
      <c r="C321" s="2" t="s">
        <v>117</v>
      </c>
      <c r="D321" s="16">
        <v>120</v>
      </c>
      <c r="E321" s="2" t="s">
        <v>118</v>
      </c>
      <c r="F321" s="2" t="s">
        <v>119</v>
      </c>
      <c r="G321" s="2" t="s">
        <v>124</v>
      </c>
      <c r="H321" s="17">
        <v>116892</v>
      </c>
      <c r="I321" s="2"/>
      <c r="J321" s="2"/>
      <c r="K321" s="17">
        <v>116892</v>
      </c>
      <c r="L321" s="17">
        <v>12524.14</v>
      </c>
      <c r="M321" s="17">
        <v>104367.86</v>
      </c>
      <c r="N321" s="17">
        <v>116892</v>
      </c>
      <c r="O321" s="2"/>
      <c r="P321" s="2"/>
      <c r="Q321" s="31" t="s">
        <v>56</v>
      </c>
      <c r="R321" s="63"/>
      <c r="S321" s="62"/>
      <c r="T321" s="5"/>
    </row>
    <row r="322" spans="1:20">
      <c r="A322" s="2" t="s">
        <v>368</v>
      </c>
      <c r="B322" s="2" t="s">
        <v>411</v>
      </c>
      <c r="C322" s="2" t="s">
        <v>18</v>
      </c>
      <c r="D322" s="16">
        <v>0</v>
      </c>
      <c r="E322" s="2" t="s">
        <v>368</v>
      </c>
      <c r="F322" s="2" t="s">
        <v>412</v>
      </c>
      <c r="G322" s="2" t="s">
        <v>413</v>
      </c>
      <c r="H322" s="17">
        <v>1211223</v>
      </c>
      <c r="I322" s="19">
        <v>-36336.69</v>
      </c>
      <c r="J322" s="2"/>
      <c r="K322" s="17">
        <v>1174886.31</v>
      </c>
      <c r="L322" s="17">
        <v>125880.68</v>
      </c>
      <c r="M322" s="17">
        <v>1049005.6299999999</v>
      </c>
      <c r="N322" s="17">
        <v>1174886.31</v>
      </c>
      <c r="O322" s="2"/>
      <c r="P322" s="2"/>
      <c r="Q322" s="31" t="s">
        <v>56</v>
      </c>
      <c r="R322" s="61">
        <f>+K322+K323+K324+K325+K326+K327+K328</f>
        <v>2763748.3800000004</v>
      </c>
      <c r="S322" s="62"/>
      <c r="T322" s="5"/>
    </row>
    <row r="323" spans="1:20">
      <c r="A323" s="2" t="s">
        <v>368</v>
      </c>
      <c r="B323" s="2" t="s">
        <v>442</v>
      </c>
      <c r="C323" s="2" t="s">
        <v>60</v>
      </c>
      <c r="D323" s="16">
        <v>0</v>
      </c>
      <c r="E323" s="2" t="s">
        <v>368</v>
      </c>
      <c r="F323" s="2" t="s">
        <v>412</v>
      </c>
      <c r="G323" s="2" t="s">
        <v>443</v>
      </c>
      <c r="H323" s="17">
        <v>158400</v>
      </c>
      <c r="I323" s="19">
        <v>-4752</v>
      </c>
      <c r="J323" s="2"/>
      <c r="K323" s="17">
        <v>153648</v>
      </c>
      <c r="L323" s="17">
        <v>16462.29</v>
      </c>
      <c r="M323" s="17">
        <v>137185.71</v>
      </c>
      <c r="N323" s="17">
        <v>153648</v>
      </c>
      <c r="O323" s="2"/>
      <c r="P323" s="2"/>
      <c r="Q323" s="31" t="s">
        <v>56</v>
      </c>
      <c r="R323" s="62"/>
      <c r="S323" s="62"/>
      <c r="T323" s="5"/>
    </row>
    <row r="324" spans="1:20">
      <c r="A324" s="2" t="s">
        <v>368</v>
      </c>
      <c r="B324" s="2" t="s">
        <v>444</v>
      </c>
      <c r="C324" s="2" t="s">
        <v>60</v>
      </c>
      <c r="D324" s="16">
        <v>0</v>
      </c>
      <c r="E324" s="2" t="s">
        <v>368</v>
      </c>
      <c r="F324" s="2" t="s">
        <v>412</v>
      </c>
      <c r="G324" s="2" t="s">
        <v>443</v>
      </c>
      <c r="H324" s="17">
        <v>158400</v>
      </c>
      <c r="I324" s="19">
        <v>-4752</v>
      </c>
      <c r="J324" s="2"/>
      <c r="K324" s="17">
        <v>153648</v>
      </c>
      <c r="L324" s="17">
        <v>16462.29</v>
      </c>
      <c r="M324" s="17">
        <v>137185.71</v>
      </c>
      <c r="N324" s="17">
        <v>153648</v>
      </c>
      <c r="O324" s="2"/>
      <c r="P324" s="2"/>
      <c r="Q324" s="31" t="s">
        <v>56</v>
      </c>
      <c r="R324" s="62"/>
      <c r="S324" s="62"/>
      <c r="T324" s="5"/>
    </row>
    <row r="325" spans="1:20">
      <c r="A325" s="2" t="s">
        <v>505</v>
      </c>
      <c r="B325" s="2" t="s">
        <v>548</v>
      </c>
      <c r="C325" s="2" t="s">
        <v>18</v>
      </c>
      <c r="D325" s="16">
        <v>0</v>
      </c>
      <c r="E325" s="2" t="s">
        <v>505</v>
      </c>
      <c r="F325" s="2" t="s">
        <v>412</v>
      </c>
      <c r="G325" s="2" t="s">
        <v>549</v>
      </c>
      <c r="H325" s="17">
        <v>308052</v>
      </c>
      <c r="I325" s="19">
        <v>-9241.56</v>
      </c>
      <c r="J325" s="2"/>
      <c r="K325" s="17">
        <v>298810.44</v>
      </c>
      <c r="L325" s="17">
        <v>32015.4</v>
      </c>
      <c r="M325" s="17">
        <v>266795.03999999998</v>
      </c>
      <c r="N325" s="17">
        <v>298810.44</v>
      </c>
      <c r="O325" s="2"/>
      <c r="P325" s="2"/>
      <c r="Q325" s="31" t="s">
        <v>56</v>
      </c>
      <c r="R325" s="62"/>
      <c r="S325" s="62"/>
      <c r="T325" s="5"/>
    </row>
    <row r="326" spans="1:20">
      <c r="A326" s="2" t="s">
        <v>971</v>
      </c>
      <c r="B326" s="2" t="s">
        <v>1045</v>
      </c>
      <c r="C326" s="2" t="s">
        <v>18</v>
      </c>
      <c r="D326" s="16">
        <v>0</v>
      </c>
      <c r="E326" s="2" t="s">
        <v>971</v>
      </c>
      <c r="F326" s="2" t="s">
        <v>412</v>
      </c>
      <c r="G326" s="2" t="s">
        <v>1046</v>
      </c>
      <c r="H326" s="17">
        <v>965019</v>
      </c>
      <c r="I326" s="19">
        <v>-28950.57</v>
      </c>
      <c r="J326" s="2"/>
      <c r="K326" s="17">
        <v>936068.43</v>
      </c>
      <c r="L326" s="17">
        <v>100293.05</v>
      </c>
      <c r="M326" s="17">
        <v>835775.38</v>
      </c>
      <c r="N326" s="17">
        <v>936068.43</v>
      </c>
      <c r="O326" s="2"/>
      <c r="P326" s="2"/>
      <c r="Q326" s="31" t="s">
        <v>56</v>
      </c>
      <c r="R326" s="62"/>
      <c r="S326" s="62"/>
      <c r="T326" s="5"/>
    </row>
    <row r="327" spans="1:20">
      <c r="A327" s="2" t="s">
        <v>1217</v>
      </c>
      <c r="B327" s="2" t="s">
        <v>1274</v>
      </c>
      <c r="C327" s="2" t="s">
        <v>60</v>
      </c>
      <c r="D327" s="16">
        <v>0</v>
      </c>
      <c r="E327" s="2" t="s">
        <v>1217</v>
      </c>
      <c r="F327" s="2" t="s">
        <v>412</v>
      </c>
      <c r="G327" s="2" t="s">
        <v>1275</v>
      </c>
      <c r="H327" s="17">
        <v>11760</v>
      </c>
      <c r="I327" s="19">
        <v>-352.8</v>
      </c>
      <c r="J327" s="2"/>
      <c r="K327" s="17">
        <v>11407.2</v>
      </c>
      <c r="L327" s="17">
        <v>1222.2</v>
      </c>
      <c r="M327" s="17">
        <v>10185</v>
      </c>
      <c r="N327" s="17">
        <v>11407.2</v>
      </c>
      <c r="O327" s="2"/>
      <c r="P327" s="2"/>
      <c r="Q327" s="31" t="s">
        <v>56</v>
      </c>
      <c r="R327" s="62"/>
      <c r="S327" s="62"/>
      <c r="T327" s="5"/>
    </row>
    <row r="328" spans="1:20">
      <c r="A328" s="2" t="s">
        <v>1461</v>
      </c>
      <c r="B328" s="2" t="s">
        <v>1460</v>
      </c>
      <c r="C328" s="2" t="s">
        <v>60</v>
      </c>
      <c r="D328" s="16">
        <v>0</v>
      </c>
      <c r="E328" s="2" t="s">
        <v>1461</v>
      </c>
      <c r="F328" s="2" t="s">
        <v>412</v>
      </c>
      <c r="G328" s="2" t="s">
        <v>1462</v>
      </c>
      <c r="H328" s="17">
        <v>35280</v>
      </c>
      <c r="I328" s="2"/>
      <c r="J328" s="2"/>
      <c r="K328" s="17">
        <v>35280</v>
      </c>
      <c r="L328" s="17">
        <v>3780</v>
      </c>
      <c r="M328" s="17">
        <v>31500</v>
      </c>
      <c r="N328" s="17">
        <v>35280</v>
      </c>
      <c r="O328" s="2"/>
      <c r="P328" s="2"/>
      <c r="Q328" s="31" t="s">
        <v>56</v>
      </c>
      <c r="R328" s="63"/>
      <c r="S328" s="62"/>
      <c r="T328" s="5"/>
    </row>
    <row r="329" spans="1:20">
      <c r="A329" s="2" t="s">
        <v>282</v>
      </c>
      <c r="B329" s="2" t="s">
        <v>325</v>
      </c>
      <c r="C329" s="2" t="s">
        <v>18</v>
      </c>
      <c r="D329" s="16">
        <v>0</v>
      </c>
      <c r="E329" s="2" t="s">
        <v>282</v>
      </c>
      <c r="F329" s="2" t="s">
        <v>326</v>
      </c>
      <c r="G329" s="2" t="s">
        <v>327</v>
      </c>
      <c r="H329" s="17">
        <v>184000</v>
      </c>
      <c r="I329" s="19">
        <v>-3680</v>
      </c>
      <c r="J329" s="2"/>
      <c r="K329" s="17">
        <v>180320</v>
      </c>
      <c r="L329" s="17">
        <v>19320</v>
      </c>
      <c r="M329" s="17">
        <v>161000</v>
      </c>
      <c r="N329" s="17">
        <v>180320</v>
      </c>
      <c r="O329" s="2"/>
      <c r="P329" s="2"/>
      <c r="Q329" s="31" t="s">
        <v>56</v>
      </c>
      <c r="R329" s="32">
        <f>+K329</f>
        <v>180320</v>
      </c>
      <c r="S329" s="62"/>
      <c r="T329" s="5"/>
    </row>
    <row r="330" spans="1:20">
      <c r="A330" s="2" t="s">
        <v>505</v>
      </c>
      <c r="B330" s="2" t="s">
        <v>504</v>
      </c>
      <c r="C330" s="2" t="s">
        <v>132</v>
      </c>
      <c r="D330" s="16">
        <v>0</v>
      </c>
      <c r="E330" s="2" t="s">
        <v>505</v>
      </c>
      <c r="F330" s="2" t="s">
        <v>506</v>
      </c>
      <c r="G330" s="2" t="s">
        <v>507</v>
      </c>
      <c r="H330" s="17">
        <v>2916</v>
      </c>
      <c r="I330" s="2"/>
      <c r="J330" s="2"/>
      <c r="K330" s="17">
        <v>2916</v>
      </c>
      <c r="L330" s="18">
        <v>312.43</v>
      </c>
      <c r="M330" s="17">
        <v>2603.5700000000002</v>
      </c>
      <c r="N330" s="17">
        <v>2916</v>
      </c>
      <c r="O330" s="2"/>
      <c r="P330" s="2"/>
      <c r="Q330" s="31" t="s">
        <v>56</v>
      </c>
      <c r="R330" s="32">
        <f>+K330</f>
        <v>2916</v>
      </c>
      <c r="S330" s="62"/>
      <c r="T330" s="5"/>
    </row>
    <row r="331" spans="1:20">
      <c r="A331" s="2" t="s">
        <v>637</v>
      </c>
      <c r="B331" s="2" t="s">
        <v>665</v>
      </c>
      <c r="C331" s="2" t="s">
        <v>146</v>
      </c>
      <c r="D331" s="16">
        <v>90</v>
      </c>
      <c r="E331" s="2" t="s">
        <v>655</v>
      </c>
      <c r="F331" s="2" t="s">
        <v>666</v>
      </c>
      <c r="G331" s="2" t="s">
        <v>667</v>
      </c>
      <c r="H331" s="17">
        <v>710170</v>
      </c>
      <c r="I331" s="2"/>
      <c r="J331" s="2"/>
      <c r="K331" s="17">
        <v>710170</v>
      </c>
      <c r="L331" s="17">
        <v>76089.64</v>
      </c>
      <c r="M331" s="17">
        <v>634080.36</v>
      </c>
      <c r="N331" s="17">
        <v>710170</v>
      </c>
      <c r="O331" s="2"/>
      <c r="P331" s="2"/>
      <c r="Q331" s="31" t="s">
        <v>56</v>
      </c>
      <c r="R331" s="61">
        <f>+K331+K332</f>
        <v>1071365</v>
      </c>
      <c r="S331" s="62"/>
      <c r="T331" s="5"/>
    </row>
    <row r="332" spans="1:20">
      <c r="A332" s="2" t="s">
        <v>1287</v>
      </c>
      <c r="B332" s="2" t="s">
        <v>1346</v>
      </c>
      <c r="C332" s="2" t="s">
        <v>146</v>
      </c>
      <c r="D332" s="16">
        <v>90</v>
      </c>
      <c r="E332" s="2" t="s">
        <v>1315</v>
      </c>
      <c r="F332" s="2" t="s">
        <v>666</v>
      </c>
      <c r="G332" s="2" t="s">
        <v>1347</v>
      </c>
      <c r="H332" s="17">
        <v>361195</v>
      </c>
      <c r="I332" s="2"/>
      <c r="J332" s="2"/>
      <c r="K332" s="17">
        <v>361195</v>
      </c>
      <c r="L332" s="17">
        <v>38699.46</v>
      </c>
      <c r="M332" s="17">
        <v>322495.53999999998</v>
      </c>
      <c r="N332" s="17">
        <v>361195</v>
      </c>
      <c r="O332" s="2"/>
      <c r="P332" s="2"/>
      <c r="Q332" s="31" t="s">
        <v>56</v>
      </c>
      <c r="R332" s="63"/>
      <c r="S332" s="62"/>
      <c r="T332" s="5"/>
    </row>
    <row r="333" spans="1:20">
      <c r="A333" s="2" t="s">
        <v>282</v>
      </c>
      <c r="B333" s="2" t="s">
        <v>354</v>
      </c>
      <c r="C333" s="2" t="s">
        <v>54</v>
      </c>
      <c r="D333" s="16">
        <v>90</v>
      </c>
      <c r="E333" s="2" t="s">
        <v>290</v>
      </c>
      <c r="F333" s="2" t="s">
        <v>355</v>
      </c>
      <c r="G333" s="2" t="s">
        <v>356</v>
      </c>
      <c r="H333" s="17">
        <v>97500</v>
      </c>
      <c r="I333" s="2"/>
      <c r="J333" s="2"/>
      <c r="K333" s="17">
        <v>97500</v>
      </c>
      <c r="L333" s="17">
        <v>10446.43</v>
      </c>
      <c r="M333" s="17">
        <v>87053.57</v>
      </c>
      <c r="N333" s="17">
        <v>97500</v>
      </c>
      <c r="O333" s="2"/>
      <c r="P333" s="2"/>
      <c r="Q333" s="31" t="s">
        <v>56</v>
      </c>
      <c r="R333" s="61">
        <f>+K333+K334+K335</f>
        <v>534982</v>
      </c>
      <c r="S333" s="62"/>
      <c r="T333" s="5"/>
    </row>
    <row r="334" spans="1:20">
      <c r="A334" s="2" t="s">
        <v>282</v>
      </c>
      <c r="B334" s="2" t="s">
        <v>357</v>
      </c>
      <c r="C334" s="2" t="s">
        <v>54</v>
      </c>
      <c r="D334" s="16">
        <v>90</v>
      </c>
      <c r="E334" s="2" t="s">
        <v>290</v>
      </c>
      <c r="F334" s="2" t="s">
        <v>355</v>
      </c>
      <c r="G334" s="2" t="s">
        <v>358</v>
      </c>
      <c r="H334" s="17">
        <v>60000</v>
      </c>
      <c r="I334" s="2"/>
      <c r="J334" s="2"/>
      <c r="K334" s="17">
        <v>60000</v>
      </c>
      <c r="L334" s="17">
        <v>6428.57</v>
      </c>
      <c r="M334" s="17">
        <v>53571.43</v>
      </c>
      <c r="N334" s="17">
        <v>60000</v>
      </c>
      <c r="O334" s="2"/>
      <c r="P334" s="2"/>
      <c r="Q334" s="31" t="s">
        <v>56</v>
      </c>
      <c r="R334" s="62"/>
      <c r="S334" s="62"/>
      <c r="T334" s="5"/>
    </row>
    <row r="335" spans="1:20">
      <c r="A335" s="2" t="s">
        <v>282</v>
      </c>
      <c r="B335" s="2" t="s">
        <v>359</v>
      </c>
      <c r="C335" s="2" t="s">
        <v>54</v>
      </c>
      <c r="D335" s="16">
        <v>90</v>
      </c>
      <c r="E335" s="2" t="s">
        <v>290</v>
      </c>
      <c r="F335" s="2" t="s">
        <v>355</v>
      </c>
      <c r="G335" s="2" t="s">
        <v>360</v>
      </c>
      <c r="H335" s="17">
        <v>377482</v>
      </c>
      <c r="I335" s="2"/>
      <c r="J335" s="2"/>
      <c r="K335" s="17">
        <v>377482</v>
      </c>
      <c r="L335" s="17">
        <v>40444.5</v>
      </c>
      <c r="M335" s="17">
        <v>337037.5</v>
      </c>
      <c r="N335" s="17">
        <v>377482</v>
      </c>
      <c r="O335" s="2"/>
      <c r="P335" s="2"/>
      <c r="Q335" s="31" t="s">
        <v>56</v>
      </c>
      <c r="R335" s="63"/>
      <c r="S335" s="62"/>
      <c r="T335" s="5"/>
    </row>
    <row r="336" spans="1:20">
      <c r="A336" s="2" t="s">
        <v>93</v>
      </c>
      <c r="B336" s="2" t="s">
        <v>113</v>
      </c>
      <c r="C336" s="2" t="s">
        <v>60</v>
      </c>
      <c r="D336" s="16">
        <v>0</v>
      </c>
      <c r="E336" s="2" t="s">
        <v>93</v>
      </c>
      <c r="F336" s="2" t="s">
        <v>114</v>
      </c>
      <c r="G336" s="2" t="s">
        <v>115</v>
      </c>
      <c r="H336" s="17">
        <v>272065</v>
      </c>
      <c r="I336" s="2"/>
      <c r="J336" s="2"/>
      <c r="K336" s="17">
        <v>272065</v>
      </c>
      <c r="L336" s="17">
        <v>29149.82</v>
      </c>
      <c r="M336" s="17">
        <v>242915.18</v>
      </c>
      <c r="N336" s="17">
        <v>272065</v>
      </c>
      <c r="O336" s="2"/>
      <c r="P336" s="2"/>
      <c r="Q336" s="31" t="s">
        <v>56</v>
      </c>
      <c r="R336" s="32">
        <f>+K336</f>
        <v>272065</v>
      </c>
      <c r="S336" s="62"/>
      <c r="T336" s="5"/>
    </row>
    <row r="337" spans="1:20">
      <c r="A337" s="2" t="s">
        <v>93</v>
      </c>
      <c r="B337" s="2" t="s">
        <v>125</v>
      </c>
      <c r="C337" s="2" t="s">
        <v>60</v>
      </c>
      <c r="D337" s="16">
        <v>0</v>
      </c>
      <c r="E337" s="2" t="s">
        <v>93</v>
      </c>
      <c r="F337" s="2" t="s">
        <v>126</v>
      </c>
      <c r="G337" s="2" t="s">
        <v>127</v>
      </c>
      <c r="H337" s="17">
        <v>19600</v>
      </c>
      <c r="I337" s="2"/>
      <c r="J337" s="2"/>
      <c r="K337" s="17">
        <v>19600</v>
      </c>
      <c r="L337" s="17">
        <v>2100</v>
      </c>
      <c r="M337" s="17">
        <v>17500</v>
      </c>
      <c r="N337" s="17">
        <v>19600</v>
      </c>
      <c r="O337" s="2"/>
      <c r="P337" s="2"/>
      <c r="Q337" s="31" t="s">
        <v>56</v>
      </c>
      <c r="R337" s="61">
        <f>+K337+K338+K339</f>
        <v>78400</v>
      </c>
      <c r="S337" s="62"/>
      <c r="T337" s="5"/>
    </row>
    <row r="338" spans="1:20">
      <c r="A338" s="2" t="s">
        <v>637</v>
      </c>
      <c r="B338" s="2" t="s">
        <v>636</v>
      </c>
      <c r="C338" s="2" t="s">
        <v>73</v>
      </c>
      <c r="D338" s="16">
        <v>30</v>
      </c>
      <c r="E338" s="2" t="s">
        <v>638</v>
      </c>
      <c r="F338" s="2" t="s">
        <v>126</v>
      </c>
      <c r="G338" s="2" t="s">
        <v>639</v>
      </c>
      <c r="H338" s="17">
        <v>19600</v>
      </c>
      <c r="I338" s="2"/>
      <c r="J338" s="2"/>
      <c r="K338" s="17">
        <v>19600</v>
      </c>
      <c r="L338" s="17">
        <v>2100</v>
      </c>
      <c r="M338" s="17">
        <v>17500</v>
      </c>
      <c r="N338" s="17">
        <v>19600</v>
      </c>
      <c r="O338" s="2"/>
      <c r="P338" s="2"/>
      <c r="Q338" s="31" t="s">
        <v>56</v>
      </c>
      <c r="R338" s="62"/>
      <c r="S338" s="62"/>
      <c r="T338" s="5"/>
    </row>
    <row r="339" spans="1:20">
      <c r="A339" s="2" t="s">
        <v>1217</v>
      </c>
      <c r="B339" s="2" t="s">
        <v>1237</v>
      </c>
      <c r="C339" s="2" t="s">
        <v>243</v>
      </c>
      <c r="D339" s="16">
        <v>30</v>
      </c>
      <c r="E339" s="2" t="s">
        <v>1231</v>
      </c>
      <c r="F339" s="2" t="s">
        <v>126</v>
      </c>
      <c r="G339" s="2" t="s">
        <v>1238</v>
      </c>
      <c r="H339" s="17">
        <v>39200</v>
      </c>
      <c r="I339" s="2"/>
      <c r="J339" s="2"/>
      <c r="K339" s="17">
        <v>39200</v>
      </c>
      <c r="L339" s="17">
        <v>4200</v>
      </c>
      <c r="M339" s="17">
        <v>35000</v>
      </c>
      <c r="N339" s="17">
        <v>39200</v>
      </c>
      <c r="O339" s="2"/>
      <c r="P339" s="2"/>
      <c r="Q339" s="31" t="s">
        <v>56</v>
      </c>
      <c r="R339" s="63"/>
      <c r="S339" s="62"/>
      <c r="T339" s="5"/>
    </row>
    <row r="340" spans="1:20">
      <c r="A340" s="2" t="s">
        <v>1048</v>
      </c>
      <c r="B340" s="2" t="s">
        <v>1054</v>
      </c>
      <c r="C340" s="2" t="s">
        <v>1055</v>
      </c>
      <c r="D340" s="16">
        <v>30</v>
      </c>
      <c r="E340" s="2" t="s">
        <v>1056</v>
      </c>
      <c r="F340" s="2" t="s">
        <v>1057</v>
      </c>
      <c r="G340" s="2" t="s">
        <v>1058</v>
      </c>
      <c r="H340" s="17">
        <v>19740</v>
      </c>
      <c r="I340" s="2"/>
      <c r="J340" s="2"/>
      <c r="K340" s="17">
        <v>19740</v>
      </c>
      <c r="L340" s="17">
        <v>2115</v>
      </c>
      <c r="M340" s="17">
        <v>17625</v>
      </c>
      <c r="N340" s="17">
        <v>19740</v>
      </c>
      <c r="O340" s="2"/>
      <c r="P340" s="2"/>
      <c r="Q340" s="31" t="s">
        <v>56</v>
      </c>
      <c r="R340" s="61">
        <f>+K340+K341</f>
        <v>49350</v>
      </c>
      <c r="S340" s="62"/>
      <c r="T340" s="5"/>
    </row>
    <row r="341" spans="1:20">
      <c r="A341" s="2" t="s">
        <v>1117</v>
      </c>
      <c r="B341" s="2" t="s">
        <v>1204</v>
      </c>
      <c r="C341" s="2" t="s">
        <v>1055</v>
      </c>
      <c r="D341" s="16">
        <v>30</v>
      </c>
      <c r="E341" s="2" t="s">
        <v>1118</v>
      </c>
      <c r="F341" s="2" t="s">
        <v>1057</v>
      </c>
      <c r="G341" s="2" t="s">
        <v>1205</v>
      </c>
      <c r="H341" s="17">
        <v>29610</v>
      </c>
      <c r="I341" s="2"/>
      <c r="J341" s="2"/>
      <c r="K341" s="17">
        <v>29610</v>
      </c>
      <c r="L341" s="17">
        <v>3172.5</v>
      </c>
      <c r="M341" s="17">
        <v>26437.5</v>
      </c>
      <c r="N341" s="17">
        <v>29610</v>
      </c>
      <c r="O341" s="2"/>
      <c r="P341" s="2"/>
      <c r="Q341" s="31" t="s">
        <v>56</v>
      </c>
      <c r="R341" s="63"/>
      <c r="S341" s="62"/>
      <c r="T341" s="5"/>
    </row>
    <row r="342" spans="1:20">
      <c r="A342" s="2" t="s">
        <v>971</v>
      </c>
      <c r="B342" s="2" t="s">
        <v>1005</v>
      </c>
      <c r="C342" s="2" t="s">
        <v>60</v>
      </c>
      <c r="D342" s="16">
        <v>0</v>
      </c>
      <c r="E342" s="2" t="s">
        <v>971</v>
      </c>
      <c r="F342" s="2" t="s">
        <v>1006</v>
      </c>
      <c r="G342" s="2" t="s">
        <v>1007</v>
      </c>
      <c r="H342" s="17">
        <v>78544</v>
      </c>
      <c r="I342" s="2"/>
      <c r="J342" s="2"/>
      <c r="K342" s="17">
        <v>78544</v>
      </c>
      <c r="L342" s="17">
        <v>8415.43</v>
      </c>
      <c r="M342" s="17">
        <v>70128.570000000007</v>
      </c>
      <c r="N342" s="17">
        <v>78544</v>
      </c>
      <c r="O342" s="2"/>
      <c r="P342" s="2"/>
      <c r="Q342" s="31" t="s">
        <v>56</v>
      </c>
      <c r="R342" s="32">
        <f>+K342</f>
        <v>78544</v>
      </c>
      <c r="S342" s="62"/>
      <c r="T342" s="5"/>
    </row>
    <row r="343" spans="1:20">
      <c r="A343" s="2" t="s">
        <v>637</v>
      </c>
      <c r="B343" s="2" t="s">
        <v>640</v>
      </c>
      <c r="C343" s="2" t="s">
        <v>117</v>
      </c>
      <c r="D343" s="16">
        <v>120</v>
      </c>
      <c r="E343" s="2" t="s">
        <v>641</v>
      </c>
      <c r="F343" s="2" t="s">
        <v>642</v>
      </c>
      <c r="G343" s="2" t="s">
        <v>643</v>
      </c>
      <c r="H343" s="17">
        <v>490500</v>
      </c>
      <c r="I343" s="2"/>
      <c r="J343" s="2"/>
      <c r="K343" s="17">
        <v>490500</v>
      </c>
      <c r="L343" s="17">
        <v>52553.57</v>
      </c>
      <c r="M343" s="17">
        <v>437946.43</v>
      </c>
      <c r="N343" s="17">
        <v>490500</v>
      </c>
      <c r="O343" s="2"/>
      <c r="P343" s="2"/>
      <c r="Q343" s="31" t="s">
        <v>56</v>
      </c>
      <c r="R343" s="32">
        <f>+K343</f>
        <v>490500</v>
      </c>
      <c r="S343" s="62"/>
      <c r="T343" s="5"/>
    </row>
    <row r="344" spans="1:20">
      <c r="A344" s="2" t="s">
        <v>769</v>
      </c>
      <c r="B344" s="2" t="s">
        <v>840</v>
      </c>
      <c r="C344" s="2" t="s">
        <v>60</v>
      </c>
      <c r="D344" s="16">
        <v>0</v>
      </c>
      <c r="E344" s="2" t="s">
        <v>769</v>
      </c>
      <c r="F344" s="2" t="s">
        <v>841</v>
      </c>
      <c r="G344" s="2" t="s">
        <v>842</v>
      </c>
      <c r="H344" s="17">
        <v>1117</v>
      </c>
      <c r="I344" s="2"/>
      <c r="J344" s="2"/>
      <c r="K344" s="17">
        <v>1117</v>
      </c>
      <c r="L344" s="18">
        <v>119.68</v>
      </c>
      <c r="M344" s="18">
        <v>997.32</v>
      </c>
      <c r="N344" s="17">
        <v>1117</v>
      </c>
      <c r="O344" s="2"/>
      <c r="P344" s="2"/>
      <c r="Q344" s="31" t="s">
        <v>56</v>
      </c>
      <c r="R344" s="32">
        <f>+K344</f>
        <v>1117</v>
      </c>
      <c r="S344" s="62"/>
      <c r="T344" s="5"/>
    </row>
    <row r="345" spans="1:20">
      <c r="A345" s="2" t="s">
        <v>199</v>
      </c>
      <c r="B345" s="2" t="s">
        <v>210</v>
      </c>
      <c r="C345" s="2" t="s">
        <v>60</v>
      </c>
      <c r="D345" s="16">
        <v>0</v>
      </c>
      <c r="E345" s="2" t="s">
        <v>199</v>
      </c>
      <c r="F345" s="2" t="s">
        <v>211</v>
      </c>
      <c r="G345" s="2" t="s">
        <v>212</v>
      </c>
      <c r="H345" s="17">
        <v>56000</v>
      </c>
      <c r="I345" s="2"/>
      <c r="J345" s="2"/>
      <c r="K345" s="17">
        <v>56000</v>
      </c>
      <c r="L345" s="17">
        <v>6000</v>
      </c>
      <c r="M345" s="17">
        <v>50000</v>
      </c>
      <c r="N345" s="17">
        <v>56000</v>
      </c>
      <c r="O345" s="2"/>
      <c r="P345" s="2"/>
      <c r="Q345" s="31" t="s">
        <v>56</v>
      </c>
      <c r="R345" s="61">
        <f>+K345+K346+K347+K348+K349+K350</f>
        <v>198400</v>
      </c>
      <c r="S345" s="62"/>
      <c r="T345" s="5"/>
    </row>
    <row r="346" spans="1:20">
      <c r="A346" s="2" t="s">
        <v>199</v>
      </c>
      <c r="B346" s="2" t="s">
        <v>213</v>
      </c>
      <c r="C346" s="2" t="s">
        <v>60</v>
      </c>
      <c r="D346" s="16">
        <v>0</v>
      </c>
      <c r="E346" s="2" t="s">
        <v>199</v>
      </c>
      <c r="F346" s="2" t="s">
        <v>211</v>
      </c>
      <c r="G346" s="2" t="s">
        <v>214</v>
      </c>
      <c r="H346" s="17">
        <v>28000</v>
      </c>
      <c r="I346" s="2"/>
      <c r="J346" s="2"/>
      <c r="K346" s="17">
        <v>28000</v>
      </c>
      <c r="L346" s="17">
        <v>3000</v>
      </c>
      <c r="M346" s="17">
        <v>25000</v>
      </c>
      <c r="N346" s="17">
        <v>28000</v>
      </c>
      <c r="O346" s="2"/>
      <c r="P346" s="2"/>
      <c r="Q346" s="31" t="s">
        <v>56</v>
      </c>
      <c r="R346" s="62"/>
      <c r="S346" s="62"/>
      <c r="T346" s="5"/>
    </row>
    <row r="347" spans="1:20">
      <c r="A347" s="2" t="s">
        <v>199</v>
      </c>
      <c r="B347" s="2" t="s">
        <v>215</v>
      </c>
      <c r="C347" s="2" t="s">
        <v>60</v>
      </c>
      <c r="D347" s="16">
        <v>0</v>
      </c>
      <c r="E347" s="2" t="s">
        <v>199</v>
      </c>
      <c r="F347" s="2" t="s">
        <v>211</v>
      </c>
      <c r="G347" s="2" t="s">
        <v>216</v>
      </c>
      <c r="H347" s="17">
        <v>28000</v>
      </c>
      <c r="I347" s="2"/>
      <c r="J347" s="2"/>
      <c r="K347" s="17">
        <v>28000</v>
      </c>
      <c r="L347" s="17">
        <v>3000</v>
      </c>
      <c r="M347" s="17">
        <v>25000</v>
      </c>
      <c r="N347" s="17">
        <v>28000</v>
      </c>
      <c r="O347" s="2"/>
      <c r="P347" s="2"/>
      <c r="Q347" s="31" t="s">
        <v>56</v>
      </c>
      <c r="R347" s="62"/>
      <c r="S347" s="62"/>
      <c r="T347" s="5"/>
    </row>
    <row r="348" spans="1:20">
      <c r="A348" s="2" t="s">
        <v>1287</v>
      </c>
      <c r="B348" s="2" t="s">
        <v>1304</v>
      </c>
      <c r="C348" s="2" t="s">
        <v>60</v>
      </c>
      <c r="D348" s="16">
        <v>0</v>
      </c>
      <c r="E348" s="2" t="s">
        <v>1287</v>
      </c>
      <c r="F348" s="2" t="s">
        <v>211</v>
      </c>
      <c r="G348" s="2" t="s">
        <v>1305</v>
      </c>
      <c r="H348" s="17">
        <v>28800</v>
      </c>
      <c r="I348" s="2"/>
      <c r="J348" s="2"/>
      <c r="K348" s="17">
        <v>28800</v>
      </c>
      <c r="L348" s="17">
        <v>3085.71</v>
      </c>
      <c r="M348" s="17">
        <v>25714.29</v>
      </c>
      <c r="N348" s="17">
        <v>28800</v>
      </c>
      <c r="O348" s="2"/>
      <c r="P348" s="2"/>
      <c r="Q348" s="31" t="s">
        <v>56</v>
      </c>
      <c r="R348" s="62"/>
      <c r="S348" s="62"/>
      <c r="T348" s="5"/>
    </row>
    <row r="349" spans="1:20">
      <c r="A349" s="2" t="s">
        <v>1287</v>
      </c>
      <c r="B349" s="2" t="s">
        <v>1306</v>
      </c>
      <c r="C349" s="2" t="s">
        <v>60</v>
      </c>
      <c r="D349" s="16">
        <v>0</v>
      </c>
      <c r="E349" s="2" t="s">
        <v>1287</v>
      </c>
      <c r="F349" s="2" t="s">
        <v>211</v>
      </c>
      <c r="G349" s="2" t="s">
        <v>1307</v>
      </c>
      <c r="H349" s="17">
        <v>28800</v>
      </c>
      <c r="I349" s="2"/>
      <c r="J349" s="2"/>
      <c r="K349" s="17">
        <v>28800</v>
      </c>
      <c r="L349" s="17">
        <v>3085.71</v>
      </c>
      <c r="M349" s="17">
        <v>25714.29</v>
      </c>
      <c r="N349" s="17">
        <v>28800</v>
      </c>
      <c r="O349" s="2"/>
      <c r="P349" s="2"/>
      <c r="Q349" s="31" t="s">
        <v>56</v>
      </c>
      <c r="R349" s="62"/>
      <c r="S349" s="62"/>
      <c r="T349" s="5"/>
    </row>
    <row r="350" spans="1:20">
      <c r="A350" s="2" t="s">
        <v>1287</v>
      </c>
      <c r="B350" s="2" t="s">
        <v>1308</v>
      </c>
      <c r="C350" s="2" t="s">
        <v>60</v>
      </c>
      <c r="D350" s="16">
        <v>0</v>
      </c>
      <c r="E350" s="2" t="s">
        <v>1287</v>
      </c>
      <c r="F350" s="2" t="s">
        <v>211</v>
      </c>
      <c r="G350" s="2" t="s">
        <v>1309</v>
      </c>
      <c r="H350" s="17">
        <v>28800</v>
      </c>
      <c r="I350" s="2"/>
      <c r="J350" s="2"/>
      <c r="K350" s="17">
        <v>28800</v>
      </c>
      <c r="L350" s="17">
        <v>3085.71</v>
      </c>
      <c r="M350" s="17">
        <v>25714.29</v>
      </c>
      <c r="N350" s="17">
        <v>28800</v>
      </c>
      <c r="O350" s="2"/>
      <c r="P350" s="2"/>
      <c r="Q350" s="31" t="s">
        <v>56</v>
      </c>
      <c r="R350" s="63"/>
      <c r="S350" s="62"/>
      <c r="T350" s="5"/>
    </row>
    <row r="351" spans="1:20">
      <c r="A351" s="2" t="s">
        <v>199</v>
      </c>
      <c r="B351" s="2" t="s">
        <v>242</v>
      </c>
      <c r="C351" s="2" t="s">
        <v>243</v>
      </c>
      <c r="D351" s="16">
        <v>30</v>
      </c>
      <c r="E351" s="2" t="s">
        <v>223</v>
      </c>
      <c r="F351" s="2" t="s">
        <v>244</v>
      </c>
      <c r="G351" s="2" t="s">
        <v>245</v>
      </c>
      <c r="H351" s="17">
        <v>28250</v>
      </c>
      <c r="I351" s="2"/>
      <c r="J351" s="2"/>
      <c r="K351" s="17">
        <v>28250</v>
      </c>
      <c r="L351" s="17">
        <v>3026.79</v>
      </c>
      <c r="M351" s="17">
        <v>25223.21</v>
      </c>
      <c r="N351" s="17">
        <v>28250</v>
      </c>
      <c r="O351" s="2"/>
      <c r="P351" s="2"/>
      <c r="Q351" s="31" t="s">
        <v>56</v>
      </c>
      <c r="R351" s="61">
        <f>+K351+K352+K353</f>
        <v>603290</v>
      </c>
      <c r="S351" s="62"/>
      <c r="T351" s="5"/>
    </row>
    <row r="352" spans="1:20">
      <c r="A352" s="2" t="s">
        <v>368</v>
      </c>
      <c r="B352" s="2" t="s">
        <v>445</v>
      </c>
      <c r="C352" s="2" t="s">
        <v>73</v>
      </c>
      <c r="D352" s="16">
        <v>30</v>
      </c>
      <c r="E352" s="2" t="s">
        <v>370</v>
      </c>
      <c r="F352" s="2" t="s">
        <v>244</v>
      </c>
      <c r="G352" s="2" t="s">
        <v>446</v>
      </c>
      <c r="H352" s="17">
        <v>384480</v>
      </c>
      <c r="I352" s="2"/>
      <c r="J352" s="2"/>
      <c r="K352" s="17">
        <v>384480</v>
      </c>
      <c r="L352" s="17">
        <v>41194.29</v>
      </c>
      <c r="M352" s="17">
        <v>343285.71</v>
      </c>
      <c r="N352" s="17">
        <v>384480</v>
      </c>
      <c r="O352" s="2"/>
      <c r="P352" s="2"/>
      <c r="Q352" s="31" t="s">
        <v>56</v>
      </c>
      <c r="R352" s="62"/>
      <c r="S352" s="62"/>
      <c r="T352" s="5"/>
    </row>
    <row r="353" spans="1:20">
      <c r="A353" s="2" t="s">
        <v>637</v>
      </c>
      <c r="B353" s="2" t="s">
        <v>652</v>
      </c>
      <c r="C353" s="2" t="s">
        <v>73</v>
      </c>
      <c r="D353" s="16">
        <v>30</v>
      </c>
      <c r="E353" s="2" t="s">
        <v>638</v>
      </c>
      <c r="F353" s="2" t="s">
        <v>244</v>
      </c>
      <c r="G353" s="2" t="s">
        <v>653</v>
      </c>
      <c r="H353" s="17">
        <v>190560</v>
      </c>
      <c r="I353" s="2"/>
      <c r="J353" s="2"/>
      <c r="K353" s="17">
        <v>190560</v>
      </c>
      <c r="L353" s="17">
        <v>20417.14</v>
      </c>
      <c r="M353" s="17">
        <v>170142.86</v>
      </c>
      <c r="N353" s="17">
        <v>190560</v>
      </c>
      <c r="O353" s="2"/>
      <c r="P353" s="2"/>
      <c r="Q353" s="31" t="s">
        <v>56</v>
      </c>
      <c r="R353" s="63"/>
      <c r="S353" s="62"/>
      <c r="T353" s="5"/>
    </row>
    <row r="354" spans="1:20">
      <c r="A354" s="2" t="s">
        <v>1117</v>
      </c>
      <c r="B354" s="2" t="s">
        <v>1126</v>
      </c>
      <c r="C354" s="2" t="s">
        <v>18</v>
      </c>
      <c r="D354" s="16">
        <v>0</v>
      </c>
      <c r="E354" s="2" t="s">
        <v>1117</v>
      </c>
      <c r="F354" s="2" t="s">
        <v>1127</v>
      </c>
      <c r="G354" s="2" t="s">
        <v>1128</v>
      </c>
      <c r="H354" s="17">
        <v>124768</v>
      </c>
      <c r="I354" s="19">
        <v>-2495.36</v>
      </c>
      <c r="J354" s="2"/>
      <c r="K354" s="17">
        <v>122272.64</v>
      </c>
      <c r="L354" s="17">
        <v>13100.64</v>
      </c>
      <c r="M354" s="17">
        <v>109172</v>
      </c>
      <c r="N354" s="17">
        <v>122272.64</v>
      </c>
      <c r="O354" s="2"/>
      <c r="P354" s="2"/>
      <c r="Q354" s="31" t="s">
        <v>56</v>
      </c>
      <c r="R354" s="32">
        <f>+K354</f>
        <v>122272.64</v>
      </c>
      <c r="S354" s="62"/>
      <c r="T354" s="5"/>
    </row>
    <row r="355" spans="1:20">
      <c r="A355" s="2" t="s">
        <v>971</v>
      </c>
      <c r="B355" s="2" t="s">
        <v>1002</v>
      </c>
      <c r="C355" s="2" t="s">
        <v>60</v>
      </c>
      <c r="D355" s="16">
        <v>0</v>
      </c>
      <c r="E355" s="2" t="s">
        <v>971</v>
      </c>
      <c r="F355" s="2" t="s">
        <v>1003</v>
      </c>
      <c r="G355" s="2" t="s">
        <v>1004</v>
      </c>
      <c r="H355" s="17">
        <v>1328544</v>
      </c>
      <c r="I355" s="2"/>
      <c r="J355" s="2"/>
      <c r="K355" s="17">
        <v>1328544</v>
      </c>
      <c r="L355" s="17">
        <v>142344</v>
      </c>
      <c r="M355" s="17">
        <v>1186200</v>
      </c>
      <c r="N355" s="17">
        <v>1328544</v>
      </c>
      <c r="O355" s="2"/>
      <c r="P355" s="2"/>
      <c r="Q355" s="31" t="s">
        <v>56</v>
      </c>
      <c r="R355" s="32">
        <f>+K355</f>
        <v>1328544</v>
      </c>
      <c r="S355" s="62"/>
      <c r="T355" s="5"/>
    </row>
    <row r="356" spans="1:20">
      <c r="A356" s="2" t="s">
        <v>17</v>
      </c>
      <c r="B356" s="2" t="s">
        <v>89</v>
      </c>
      <c r="C356" s="2" t="s">
        <v>73</v>
      </c>
      <c r="D356" s="16">
        <v>30</v>
      </c>
      <c r="E356" s="2" t="s">
        <v>24</v>
      </c>
      <c r="F356" s="2" t="s">
        <v>90</v>
      </c>
      <c r="G356" s="2" t="s">
        <v>91</v>
      </c>
      <c r="H356" s="17">
        <v>182032</v>
      </c>
      <c r="I356" s="2"/>
      <c r="J356" s="2"/>
      <c r="K356" s="17">
        <v>182032</v>
      </c>
      <c r="L356" s="17">
        <v>19503.43</v>
      </c>
      <c r="M356" s="17">
        <v>162528.57</v>
      </c>
      <c r="N356" s="17">
        <v>182032</v>
      </c>
      <c r="O356" s="2"/>
      <c r="P356" s="2"/>
      <c r="Q356" s="31" t="s">
        <v>56</v>
      </c>
      <c r="R356" s="61">
        <f>+K356+K357+K358+K359</f>
        <v>764540</v>
      </c>
      <c r="S356" s="62"/>
      <c r="T356" s="5"/>
    </row>
    <row r="357" spans="1:20">
      <c r="A357" s="2" t="s">
        <v>199</v>
      </c>
      <c r="B357" s="2" t="s">
        <v>279</v>
      </c>
      <c r="C357" s="2" t="s">
        <v>54</v>
      </c>
      <c r="D357" s="16">
        <v>90</v>
      </c>
      <c r="E357" s="2" t="s">
        <v>233</v>
      </c>
      <c r="F357" s="2" t="s">
        <v>90</v>
      </c>
      <c r="G357" s="2" t="s">
        <v>280</v>
      </c>
      <c r="H357" s="17">
        <v>191133</v>
      </c>
      <c r="I357" s="2"/>
      <c r="J357" s="2"/>
      <c r="K357" s="17">
        <v>191133</v>
      </c>
      <c r="L357" s="17">
        <v>20478.54</v>
      </c>
      <c r="M357" s="17">
        <v>170654.46</v>
      </c>
      <c r="N357" s="17">
        <v>191133</v>
      </c>
      <c r="O357" s="2"/>
      <c r="P357" s="2"/>
      <c r="Q357" s="31" t="s">
        <v>56</v>
      </c>
      <c r="R357" s="62"/>
      <c r="S357" s="62"/>
      <c r="T357" s="5"/>
    </row>
    <row r="358" spans="1:20">
      <c r="A358" s="2" t="s">
        <v>282</v>
      </c>
      <c r="B358" s="2" t="s">
        <v>289</v>
      </c>
      <c r="C358" s="2" t="s">
        <v>54</v>
      </c>
      <c r="D358" s="16">
        <v>90</v>
      </c>
      <c r="E358" s="2" t="s">
        <v>290</v>
      </c>
      <c r="F358" s="2" t="s">
        <v>90</v>
      </c>
      <c r="G358" s="2" t="s">
        <v>291</v>
      </c>
      <c r="H358" s="17">
        <v>282155</v>
      </c>
      <c r="I358" s="2"/>
      <c r="J358" s="2"/>
      <c r="K358" s="17">
        <v>282155</v>
      </c>
      <c r="L358" s="17">
        <v>30230.89</v>
      </c>
      <c r="M358" s="17">
        <v>251924.11</v>
      </c>
      <c r="N358" s="17">
        <v>282155</v>
      </c>
      <c r="O358" s="2"/>
      <c r="P358" s="2"/>
      <c r="Q358" s="31" t="s">
        <v>56</v>
      </c>
      <c r="R358" s="62"/>
      <c r="S358" s="62"/>
      <c r="T358" s="5"/>
    </row>
    <row r="359" spans="1:20">
      <c r="A359" s="2" t="s">
        <v>368</v>
      </c>
      <c r="B359" s="2" t="s">
        <v>440</v>
      </c>
      <c r="C359" s="2" t="s">
        <v>54</v>
      </c>
      <c r="D359" s="16">
        <v>90</v>
      </c>
      <c r="E359" s="2" t="s">
        <v>383</v>
      </c>
      <c r="F359" s="2" t="s">
        <v>90</v>
      </c>
      <c r="G359" s="2" t="s">
        <v>441</v>
      </c>
      <c r="H359" s="17">
        <v>109220</v>
      </c>
      <c r="I359" s="2"/>
      <c r="J359" s="2"/>
      <c r="K359" s="17">
        <v>109220</v>
      </c>
      <c r="L359" s="17">
        <v>11702.14</v>
      </c>
      <c r="M359" s="17">
        <v>97517.86</v>
      </c>
      <c r="N359" s="17">
        <v>109220</v>
      </c>
      <c r="O359" s="2"/>
      <c r="P359" s="2"/>
      <c r="Q359" s="31" t="s">
        <v>56</v>
      </c>
      <c r="R359" s="63"/>
      <c r="S359" s="62"/>
      <c r="T359" s="5"/>
    </row>
    <row r="360" spans="1:20">
      <c r="A360" s="2" t="s">
        <v>769</v>
      </c>
      <c r="B360" s="2" t="s">
        <v>789</v>
      </c>
      <c r="C360" s="2" t="s">
        <v>60</v>
      </c>
      <c r="D360" s="16">
        <v>0</v>
      </c>
      <c r="E360" s="2" t="s">
        <v>769</v>
      </c>
      <c r="F360" s="2" t="s">
        <v>790</v>
      </c>
      <c r="G360" s="2" t="s">
        <v>791</v>
      </c>
      <c r="H360" s="17">
        <v>53782.400000000001</v>
      </c>
      <c r="I360" s="2"/>
      <c r="J360" s="2"/>
      <c r="K360" s="17">
        <v>53782.400000000001</v>
      </c>
      <c r="L360" s="17">
        <v>5762.4</v>
      </c>
      <c r="M360" s="17">
        <v>48020</v>
      </c>
      <c r="N360" s="17">
        <v>53782.400000000001</v>
      </c>
      <c r="O360" s="2"/>
      <c r="P360" s="2"/>
      <c r="Q360" s="31" t="s">
        <v>56</v>
      </c>
      <c r="R360" s="32">
        <f>+K360</f>
        <v>53782.400000000001</v>
      </c>
      <c r="S360" s="62"/>
      <c r="T360" s="5"/>
    </row>
    <row r="361" spans="1:20">
      <c r="A361" s="2" t="s">
        <v>1048</v>
      </c>
      <c r="B361" s="2" t="s">
        <v>1073</v>
      </c>
      <c r="C361" s="2" t="s">
        <v>1074</v>
      </c>
      <c r="D361" s="16">
        <v>0</v>
      </c>
      <c r="E361" s="2" t="s">
        <v>1048</v>
      </c>
      <c r="F361" s="2" t="s">
        <v>1075</v>
      </c>
      <c r="G361" s="2" t="s">
        <v>1076</v>
      </c>
      <c r="H361" s="17">
        <v>919820</v>
      </c>
      <c r="I361" s="19">
        <v>-18396.400000000001</v>
      </c>
      <c r="J361" s="2"/>
      <c r="K361" s="17">
        <v>901423.6</v>
      </c>
      <c r="L361" s="17">
        <v>96581.1</v>
      </c>
      <c r="M361" s="17">
        <v>804842.5</v>
      </c>
      <c r="N361" s="17">
        <v>901423.6</v>
      </c>
      <c r="O361" s="2"/>
      <c r="P361" s="2"/>
      <c r="Q361" s="31" t="s">
        <v>56</v>
      </c>
      <c r="R361" s="61">
        <f>+K361+K362</f>
        <v>1802847.2</v>
      </c>
      <c r="S361" s="62"/>
      <c r="T361" s="5"/>
    </row>
    <row r="362" spans="1:20">
      <c r="A362" s="2" t="s">
        <v>1048</v>
      </c>
      <c r="B362" s="2" t="s">
        <v>1085</v>
      </c>
      <c r="C362" s="2" t="s">
        <v>1074</v>
      </c>
      <c r="D362" s="16">
        <v>0</v>
      </c>
      <c r="E362" s="2" t="s">
        <v>1048</v>
      </c>
      <c r="F362" s="2" t="s">
        <v>1075</v>
      </c>
      <c r="G362" s="2" t="s">
        <v>1076</v>
      </c>
      <c r="H362" s="17">
        <v>919820</v>
      </c>
      <c r="I362" s="19">
        <v>-18396.400000000001</v>
      </c>
      <c r="J362" s="2"/>
      <c r="K362" s="17">
        <v>901423.6</v>
      </c>
      <c r="L362" s="17">
        <v>96581.1</v>
      </c>
      <c r="M362" s="17">
        <v>804842.5</v>
      </c>
      <c r="N362" s="17">
        <v>901423.6</v>
      </c>
      <c r="O362" s="2"/>
      <c r="P362" s="2"/>
      <c r="Q362" s="31" t="s">
        <v>56</v>
      </c>
      <c r="R362" s="63"/>
      <c r="S362" s="62"/>
      <c r="T362" s="5"/>
    </row>
    <row r="363" spans="1:20">
      <c r="A363" s="2" t="s">
        <v>971</v>
      </c>
      <c r="B363" s="2" t="s">
        <v>1010</v>
      </c>
      <c r="C363" s="2" t="s">
        <v>1011</v>
      </c>
      <c r="D363" s="16">
        <v>60</v>
      </c>
      <c r="E363" s="2" t="s">
        <v>991</v>
      </c>
      <c r="F363" s="2" t="s">
        <v>1012</v>
      </c>
      <c r="G363" s="2" t="s">
        <v>1013</v>
      </c>
      <c r="H363" s="17">
        <v>168032</v>
      </c>
      <c r="I363" s="2"/>
      <c r="J363" s="2"/>
      <c r="K363" s="17">
        <v>168032</v>
      </c>
      <c r="L363" s="17">
        <v>18003.43</v>
      </c>
      <c r="M363" s="17">
        <v>150028.57</v>
      </c>
      <c r="N363" s="17">
        <v>168032</v>
      </c>
      <c r="O363" s="2"/>
      <c r="P363" s="2"/>
      <c r="Q363" s="31" t="s">
        <v>56</v>
      </c>
      <c r="R363" s="61">
        <f>+K363+K364+K365+K366</f>
        <v>547152</v>
      </c>
      <c r="S363" s="62"/>
      <c r="T363" s="5"/>
    </row>
    <row r="364" spans="1:20">
      <c r="A364" s="2" t="s">
        <v>971</v>
      </c>
      <c r="B364" s="2" t="s">
        <v>1016</v>
      </c>
      <c r="C364" s="2" t="s">
        <v>1011</v>
      </c>
      <c r="D364" s="16">
        <v>60</v>
      </c>
      <c r="E364" s="2" t="s">
        <v>991</v>
      </c>
      <c r="F364" s="2" t="s">
        <v>1012</v>
      </c>
      <c r="G364" s="2" t="s">
        <v>1017</v>
      </c>
      <c r="H364" s="17">
        <v>135474</v>
      </c>
      <c r="I364" s="2"/>
      <c r="J364" s="2"/>
      <c r="K364" s="17">
        <v>135474</v>
      </c>
      <c r="L364" s="17">
        <v>14515.07</v>
      </c>
      <c r="M364" s="17">
        <v>120958.93</v>
      </c>
      <c r="N364" s="17">
        <v>135474</v>
      </c>
      <c r="O364" s="2"/>
      <c r="P364" s="2"/>
      <c r="Q364" s="31" t="s">
        <v>56</v>
      </c>
      <c r="R364" s="62"/>
      <c r="S364" s="62"/>
      <c r="T364" s="5"/>
    </row>
    <row r="365" spans="1:20">
      <c r="A365" s="2" t="s">
        <v>971</v>
      </c>
      <c r="B365" s="2" t="s">
        <v>1018</v>
      </c>
      <c r="C365" s="2" t="s">
        <v>1011</v>
      </c>
      <c r="D365" s="16">
        <v>60</v>
      </c>
      <c r="E365" s="2" t="s">
        <v>991</v>
      </c>
      <c r="F365" s="2" t="s">
        <v>1012</v>
      </c>
      <c r="G365" s="2" t="s">
        <v>1019</v>
      </c>
      <c r="H365" s="17">
        <v>75614</v>
      </c>
      <c r="I365" s="2"/>
      <c r="J365" s="2"/>
      <c r="K365" s="17">
        <v>75614</v>
      </c>
      <c r="L365" s="17">
        <v>8101.5</v>
      </c>
      <c r="M365" s="17">
        <v>67512.5</v>
      </c>
      <c r="N365" s="17">
        <v>75614</v>
      </c>
      <c r="O365" s="2"/>
      <c r="P365" s="2"/>
      <c r="Q365" s="31" t="s">
        <v>56</v>
      </c>
      <c r="R365" s="62"/>
      <c r="S365" s="62"/>
      <c r="T365" s="5"/>
    </row>
    <row r="366" spans="1:20">
      <c r="A366" s="2" t="s">
        <v>971</v>
      </c>
      <c r="B366" s="2" t="s">
        <v>1020</v>
      </c>
      <c r="C366" s="2" t="s">
        <v>1011</v>
      </c>
      <c r="D366" s="16">
        <v>60</v>
      </c>
      <c r="E366" s="2" t="s">
        <v>991</v>
      </c>
      <c r="F366" s="2" t="s">
        <v>1012</v>
      </c>
      <c r="G366" s="2" t="s">
        <v>1021</v>
      </c>
      <c r="H366" s="17">
        <v>168032</v>
      </c>
      <c r="I366" s="2"/>
      <c r="J366" s="2"/>
      <c r="K366" s="17">
        <v>168032</v>
      </c>
      <c r="L366" s="17">
        <v>18003.43</v>
      </c>
      <c r="M366" s="17">
        <v>150028.57</v>
      </c>
      <c r="N366" s="17">
        <v>168032</v>
      </c>
      <c r="O366" s="2"/>
      <c r="P366" s="2"/>
      <c r="Q366" s="31" t="s">
        <v>56</v>
      </c>
      <c r="R366" s="63"/>
      <c r="S366" s="62"/>
      <c r="T366" s="5"/>
    </row>
    <row r="367" spans="1:20">
      <c r="A367" s="2" t="s">
        <v>93</v>
      </c>
      <c r="B367" s="2" t="s">
        <v>166</v>
      </c>
      <c r="C367" s="2" t="s">
        <v>167</v>
      </c>
      <c r="D367" s="16">
        <v>90</v>
      </c>
      <c r="E367" s="2" t="s">
        <v>147</v>
      </c>
      <c r="F367" s="2" t="s">
        <v>168</v>
      </c>
      <c r="G367" s="2" t="s">
        <v>169</v>
      </c>
      <c r="H367" s="17">
        <v>205370</v>
      </c>
      <c r="I367" s="2"/>
      <c r="J367" s="2"/>
      <c r="K367" s="17">
        <v>205370</v>
      </c>
      <c r="L367" s="17">
        <v>22003.93</v>
      </c>
      <c r="M367" s="17">
        <v>183366.07</v>
      </c>
      <c r="N367" s="17">
        <v>205370</v>
      </c>
      <c r="O367" s="2"/>
      <c r="P367" s="2"/>
      <c r="Q367" s="31" t="s">
        <v>56</v>
      </c>
      <c r="R367" s="61">
        <f>+K367+K368+K369+K370+K371+K372+K373+K374</f>
        <v>1490916.8399999999</v>
      </c>
      <c r="S367" s="62"/>
      <c r="T367" s="5"/>
    </row>
    <row r="368" spans="1:20">
      <c r="A368" s="2" t="s">
        <v>93</v>
      </c>
      <c r="B368" s="2" t="s">
        <v>170</v>
      </c>
      <c r="C368" s="2" t="s">
        <v>167</v>
      </c>
      <c r="D368" s="16">
        <v>90</v>
      </c>
      <c r="E368" s="2" t="s">
        <v>147</v>
      </c>
      <c r="F368" s="2" t="s">
        <v>168</v>
      </c>
      <c r="G368" s="2" t="s">
        <v>171</v>
      </c>
      <c r="H368" s="17">
        <v>70560</v>
      </c>
      <c r="I368" s="2"/>
      <c r="J368" s="2"/>
      <c r="K368" s="17">
        <v>70560</v>
      </c>
      <c r="L368" s="17">
        <v>7560</v>
      </c>
      <c r="M368" s="17">
        <v>63000</v>
      </c>
      <c r="N368" s="17">
        <v>70560</v>
      </c>
      <c r="O368" s="2"/>
      <c r="P368" s="2"/>
      <c r="Q368" s="31" t="s">
        <v>56</v>
      </c>
      <c r="R368" s="62"/>
      <c r="S368" s="62"/>
      <c r="T368" s="5"/>
    </row>
    <row r="369" spans="1:20">
      <c r="A369" s="2" t="s">
        <v>368</v>
      </c>
      <c r="B369" s="2" t="s">
        <v>394</v>
      </c>
      <c r="C369" s="2" t="s">
        <v>167</v>
      </c>
      <c r="D369" s="16">
        <v>90</v>
      </c>
      <c r="E369" s="2" t="s">
        <v>383</v>
      </c>
      <c r="F369" s="2" t="s">
        <v>168</v>
      </c>
      <c r="G369" s="2" t="s">
        <v>395</v>
      </c>
      <c r="H369" s="17">
        <v>82150</v>
      </c>
      <c r="I369" s="2"/>
      <c r="J369" s="2"/>
      <c r="K369" s="17">
        <v>82150</v>
      </c>
      <c r="L369" s="17">
        <v>8801.7900000000009</v>
      </c>
      <c r="M369" s="17">
        <v>73348.210000000006</v>
      </c>
      <c r="N369" s="17">
        <v>82150</v>
      </c>
      <c r="O369" s="2"/>
      <c r="P369" s="2"/>
      <c r="Q369" s="31" t="s">
        <v>56</v>
      </c>
      <c r="R369" s="62"/>
      <c r="S369" s="62"/>
      <c r="T369" s="5"/>
    </row>
    <row r="370" spans="1:20">
      <c r="A370" s="2" t="s">
        <v>368</v>
      </c>
      <c r="B370" s="2" t="s">
        <v>396</v>
      </c>
      <c r="C370" s="2" t="s">
        <v>167</v>
      </c>
      <c r="D370" s="16">
        <v>90</v>
      </c>
      <c r="E370" s="2" t="s">
        <v>383</v>
      </c>
      <c r="F370" s="2" t="s">
        <v>168</v>
      </c>
      <c r="G370" s="2" t="s">
        <v>397</v>
      </c>
      <c r="H370" s="17">
        <v>175940</v>
      </c>
      <c r="I370" s="2"/>
      <c r="J370" s="2"/>
      <c r="K370" s="17">
        <v>175940</v>
      </c>
      <c r="L370" s="17">
        <v>18850.71</v>
      </c>
      <c r="M370" s="17">
        <v>157089.29</v>
      </c>
      <c r="N370" s="17">
        <v>175940</v>
      </c>
      <c r="O370" s="2"/>
      <c r="P370" s="2"/>
      <c r="Q370" s="31" t="s">
        <v>56</v>
      </c>
      <c r="R370" s="62"/>
      <c r="S370" s="62"/>
      <c r="T370" s="5"/>
    </row>
    <row r="371" spans="1:20">
      <c r="A371" s="2" t="s">
        <v>505</v>
      </c>
      <c r="B371" s="2" t="s">
        <v>524</v>
      </c>
      <c r="C371" s="2" t="s">
        <v>60</v>
      </c>
      <c r="D371" s="16">
        <v>0</v>
      </c>
      <c r="E371" s="2" t="s">
        <v>505</v>
      </c>
      <c r="F371" s="2" t="s">
        <v>168</v>
      </c>
      <c r="G371" s="2" t="s">
        <v>525</v>
      </c>
      <c r="H371" s="17">
        <v>58172.84</v>
      </c>
      <c r="I371" s="2"/>
      <c r="J371" s="2"/>
      <c r="K371" s="17">
        <v>58172.84</v>
      </c>
      <c r="L371" s="17">
        <v>6232.8</v>
      </c>
      <c r="M371" s="17">
        <v>51940.04</v>
      </c>
      <c r="N371" s="17">
        <v>58172.84</v>
      </c>
      <c r="O371" s="2"/>
      <c r="P371" s="2"/>
      <c r="Q371" s="31" t="s">
        <v>56</v>
      </c>
      <c r="R371" s="62"/>
      <c r="S371" s="62"/>
      <c r="T371" s="5"/>
    </row>
    <row r="372" spans="1:20">
      <c r="A372" s="2" t="s">
        <v>596</v>
      </c>
      <c r="B372" s="2" t="s">
        <v>628</v>
      </c>
      <c r="C372" s="2" t="s">
        <v>167</v>
      </c>
      <c r="D372" s="16">
        <v>90</v>
      </c>
      <c r="E372" s="2" t="s">
        <v>597</v>
      </c>
      <c r="F372" s="2" t="s">
        <v>168</v>
      </c>
      <c r="G372" s="2" t="s">
        <v>629</v>
      </c>
      <c r="H372" s="17">
        <v>52800</v>
      </c>
      <c r="I372" s="2"/>
      <c r="J372" s="2"/>
      <c r="K372" s="17">
        <v>52800</v>
      </c>
      <c r="L372" s="17">
        <v>5657.14</v>
      </c>
      <c r="M372" s="17">
        <v>47142.86</v>
      </c>
      <c r="N372" s="17">
        <v>52800</v>
      </c>
      <c r="O372" s="2"/>
      <c r="P372" s="2"/>
      <c r="Q372" s="31" t="s">
        <v>56</v>
      </c>
      <c r="R372" s="62"/>
      <c r="S372" s="62"/>
      <c r="T372" s="5"/>
    </row>
    <row r="373" spans="1:20">
      <c r="A373" s="2" t="s">
        <v>1467</v>
      </c>
      <c r="B373" s="2" t="s">
        <v>1483</v>
      </c>
      <c r="C373" s="2" t="s">
        <v>167</v>
      </c>
      <c r="D373" s="16">
        <v>90</v>
      </c>
      <c r="E373" s="2" t="s">
        <v>1479</v>
      </c>
      <c r="F373" s="2" t="s">
        <v>168</v>
      </c>
      <c r="G373" s="2" t="s">
        <v>1484</v>
      </c>
      <c r="H373" s="17">
        <v>69380</v>
      </c>
      <c r="I373" s="2"/>
      <c r="J373" s="2"/>
      <c r="K373" s="17">
        <v>69380</v>
      </c>
      <c r="L373" s="17">
        <v>7433.57</v>
      </c>
      <c r="M373" s="17">
        <v>61946.43</v>
      </c>
      <c r="N373" s="17">
        <v>69380</v>
      </c>
      <c r="O373" s="2"/>
      <c r="P373" s="2"/>
      <c r="Q373" s="31" t="s">
        <v>56</v>
      </c>
      <c r="R373" s="62"/>
      <c r="S373" s="62"/>
      <c r="T373" s="5"/>
    </row>
    <row r="374" spans="1:20">
      <c r="A374" s="2" t="s">
        <v>1553</v>
      </c>
      <c r="B374" s="2" t="s">
        <v>1552</v>
      </c>
      <c r="C374" s="2" t="s">
        <v>167</v>
      </c>
      <c r="D374" s="16">
        <v>90</v>
      </c>
      <c r="E374" s="2" t="s">
        <v>1554</v>
      </c>
      <c r="F374" s="2" t="s">
        <v>168</v>
      </c>
      <c r="G374" s="2" t="s">
        <v>1555</v>
      </c>
      <c r="H374" s="17">
        <v>776544</v>
      </c>
      <c r="I374" s="2"/>
      <c r="J374" s="2"/>
      <c r="K374" s="17">
        <v>776544</v>
      </c>
      <c r="L374" s="17">
        <v>83201.14</v>
      </c>
      <c r="M374" s="17">
        <v>693342.86</v>
      </c>
      <c r="N374" s="17">
        <v>776544</v>
      </c>
      <c r="O374" s="2"/>
      <c r="P374" s="2"/>
      <c r="Q374" s="31" t="s">
        <v>56</v>
      </c>
      <c r="R374" s="63"/>
      <c r="S374" s="62"/>
      <c r="T374" s="5"/>
    </row>
    <row r="375" spans="1:20">
      <c r="A375" s="2" t="s">
        <v>93</v>
      </c>
      <c r="B375" s="2" t="s">
        <v>189</v>
      </c>
      <c r="C375" s="2" t="s">
        <v>60</v>
      </c>
      <c r="D375" s="16">
        <v>0</v>
      </c>
      <c r="E375" s="2" t="s">
        <v>93</v>
      </c>
      <c r="F375" s="2" t="s">
        <v>190</v>
      </c>
      <c r="G375" s="2" t="s">
        <v>191</v>
      </c>
      <c r="H375" s="17">
        <v>73932</v>
      </c>
      <c r="I375" s="2"/>
      <c r="J375" s="2"/>
      <c r="K375" s="17">
        <v>73932</v>
      </c>
      <c r="L375" s="17">
        <v>7921.29</v>
      </c>
      <c r="M375" s="17">
        <v>66010.710000000006</v>
      </c>
      <c r="N375" s="17">
        <v>73932</v>
      </c>
      <c r="O375" s="2"/>
      <c r="P375" s="2"/>
      <c r="Q375" s="31" t="s">
        <v>56</v>
      </c>
      <c r="R375" s="61">
        <f>+K375+K376+K377+K378+K379+K380+K381+K382+K383+K384+K385+K386+K387+K388+K389+K390+K391+K392+K393+K394+K395+K396+K397</f>
        <v>3518043.02</v>
      </c>
      <c r="S375" s="62"/>
      <c r="T375" s="5"/>
    </row>
    <row r="376" spans="1:20">
      <c r="A376" s="2" t="s">
        <v>199</v>
      </c>
      <c r="B376" s="2" t="s">
        <v>220</v>
      </c>
      <c r="C376" s="2" t="s">
        <v>60</v>
      </c>
      <c r="D376" s="16">
        <v>0</v>
      </c>
      <c r="E376" s="2" t="s">
        <v>199</v>
      </c>
      <c r="F376" s="2" t="s">
        <v>190</v>
      </c>
      <c r="G376" s="2" t="s">
        <v>221</v>
      </c>
      <c r="H376" s="17">
        <v>11407.2</v>
      </c>
      <c r="I376" s="2"/>
      <c r="J376" s="2"/>
      <c r="K376" s="17">
        <v>11407.2</v>
      </c>
      <c r="L376" s="17">
        <v>1222.2</v>
      </c>
      <c r="M376" s="17">
        <v>10185</v>
      </c>
      <c r="N376" s="17">
        <v>11407.2</v>
      </c>
      <c r="O376" s="2"/>
      <c r="P376" s="2"/>
      <c r="Q376" s="31" t="s">
        <v>56</v>
      </c>
      <c r="R376" s="62"/>
      <c r="S376" s="62"/>
      <c r="T376" s="5"/>
    </row>
    <row r="377" spans="1:20">
      <c r="A377" s="2" t="s">
        <v>199</v>
      </c>
      <c r="B377" s="2" t="s">
        <v>240</v>
      </c>
      <c r="C377" s="2" t="s">
        <v>60</v>
      </c>
      <c r="D377" s="16">
        <v>0</v>
      </c>
      <c r="E377" s="2" t="s">
        <v>199</v>
      </c>
      <c r="F377" s="2" t="s">
        <v>190</v>
      </c>
      <c r="G377" s="2" t="s">
        <v>241</v>
      </c>
      <c r="H377" s="17">
        <v>7760</v>
      </c>
      <c r="I377" s="2"/>
      <c r="J377" s="2"/>
      <c r="K377" s="17">
        <v>7760</v>
      </c>
      <c r="L377" s="18">
        <v>831.43</v>
      </c>
      <c r="M377" s="17">
        <v>6928.57</v>
      </c>
      <c r="N377" s="17">
        <v>7760</v>
      </c>
      <c r="O377" s="2"/>
      <c r="P377" s="2"/>
      <c r="Q377" s="31" t="s">
        <v>56</v>
      </c>
      <c r="R377" s="62"/>
      <c r="S377" s="62"/>
      <c r="T377" s="5"/>
    </row>
    <row r="378" spans="1:20">
      <c r="A378" s="2" t="s">
        <v>282</v>
      </c>
      <c r="B378" s="2" t="s">
        <v>361</v>
      </c>
      <c r="C378" s="2" t="s">
        <v>167</v>
      </c>
      <c r="D378" s="16">
        <v>90</v>
      </c>
      <c r="E378" s="2" t="s">
        <v>290</v>
      </c>
      <c r="F378" s="2" t="s">
        <v>190</v>
      </c>
      <c r="G378" s="2" t="s">
        <v>362</v>
      </c>
      <c r="H378" s="17">
        <v>260736</v>
      </c>
      <c r="I378" s="2"/>
      <c r="J378" s="2"/>
      <c r="K378" s="17">
        <v>260736</v>
      </c>
      <c r="L378" s="17">
        <v>27936</v>
      </c>
      <c r="M378" s="17">
        <v>232800</v>
      </c>
      <c r="N378" s="17">
        <v>260736</v>
      </c>
      <c r="O378" s="2"/>
      <c r="P378" s="2"/>
      <c r="Q378" s="31" t="s">
        <v>56</v>
      </c>
      <c r="R378" s="62"/>
      <c r="S378" s="62"/>
      <c r="T378" s="5"/>
    </row>
    <row r="379" spans="1:20">
      <c r="A379" s="2" t="s">
        <v>282</v>
      </c>
      <c r="B379" s="2" t="s">
        <v>365</v>
      </c>
      <c r="C379" s="2" t="s">
        <v>167</v>
      </c>
      <c r="D379" s="16">
        <v>90</v>
      </c>
      <c r="E379" s="2" t="s">
        <v>290</v>
      </c>
      <c r="F379" s="2" t="s">
        <v>190</v>
      </c>
      <c r="G379" s="2" t="s">
        <v>366</v>
      </c>
      <c r="H379" s="17">
        <v>229696</v>
      </c>
      <c r="I379" s="2"/>
      <c r="J379" s="2"/>
      <c r="K379" s="17">
        <v>229696</v>
      </c>
      <c r="L379" s="17">
        <v>24610.29</v>
      </c>
      <c r="M379" s="17">
        <v>205085.71</v>
      </c>
      <c r="N379" s="17">
        <v>229696</v>
      </c>
      <c r="O379" s="2"/>
      <c r="P379" s="2"/>
      <c r="Q379" s="31" t="s">
        <v>56</v>
      </c>
      <c r="R379" s="62"/>
      <c r="S379" s="62"/>
      <c r="T379" s="5"/>
    </row>
    <row r="380" spans="1:20">
      <c r="A380" s="2" t="s">
        <v>368</v>
      </c>
      <c r="B380" s="2" t="s">
        <v>386</v>
      </c>
      <c r="C380" s="2" t="s">
        <v>60</v>
      </c>
      <c r="D380" s="16">
        <v>0</v>
      </c>
      <c r="E380" s="2" t="s">
        <v>368</v>
      </c>
      <c r="F380" s="2" t="s">
        <v>190</v>
      </c>
      <c r="G380" s="2" t="s">
        <v>387</v>
      </c>
      <c r="H380" s="17">
        <v>208317.2</v>
      </c>
      <c r="I380" s="2"/>
      <c r="J380" s="2"/>
      <c r="K380" s="17">
        <v>208317.2</v>
      </c>
      <c r="L380" s="17">
        <v>22319.7</v>
      </c>
      <c r="M380" s="17">
        <v>185997.5</v>
      </c>
      <c r="N380" s="17">
        <v>208317.2</v>
      </c>
      <c r="O380" s="2"/>
      <c r="P380" s="2"/>
      <c r="Q380" s="31" t="s">
        <v>56</v>
      </c>
      <c r="R380" s="62"/>
      <c r="S380" s="62"/>
      <c r="T380" s="5"/>
    </row>
    <row r="381" spans="1:20">
      <c r="A381" s="2" t="s">
        <v>448</v>
      </c>
      <c r="B381" s="2" t="s">
        <v>492</v>
      </c>
      <c r="C381" s="2" t="s">
        <v>167</v>
      </c>
      <c r="D381" s="16">
        <v>90</v>
      </c>
      <c r="E381" s="2" t="s">
        <v>479</v>
      </c>
      <c r="F381" s="2" t="s">
        <v>190</v>
      </c>
      <c r="G381" s="2" t="s">
        <v>493</v>
      </c>
      <c r="H381" s="17">
        <v>270048</v>
      </c>
      <c r="I381" s="2"/>
      <c r="J381" s="2"/>
      <c r="K381" s="17">
        <v>270048</v>
      </c>
      <c r="L381" s="17">
        <v>28933.71</v>
      </c>
      <c r="M381" s="17">
        <v>241114.29</v>
      </c>
      <c r="N381" s="17">
        <v>270048</v>
      </c>
      <c r="O381" s="2"/>
      <c r="P381" s="2"/>
      <c r="Q381" s="31" t="s">
        <v>56</v>
      </c>
      <c r="R381" s="62"/>
      <c r="S381" s="62"/>
      <c r="T381" s="5"/>
    </row>
    <row r="382" spans="1:20">
      <c r="A382" s="2" t="s">
        <v>505</v>
      </c>
      <c r="B382" s="2" t="s">
        <v>526</v>
      </c>
      <c r="C382" s="2" t="s">
        <v>60</v>
      </c>
      <c r="D382" s="16">
        <v>0</v>
      </c>
      <c r="E382" s="2" t="s">
        <v>505</v>
      </c>
      <c r="F382" s="2" t="s">
        <v>190</v>
      </c>
      <c r="G382" s="2" t="s">
        <v>527</v>
      </c>
      <c r="H382" s="17">
        <v>32000</v>
      </c>
      <c r="I382" s="2"/>
      <c r="J382" s="2"/>
      <c r="K382" s="17">
        <v>32000</v>
      </c>
      <c r="L382" s="17">
        <v>3428.57</v>
      </c>
      <c r="M382" s="17">
        <v>28571.43</v>
      </c>
      <c r="N382" s="17">
        <v>32000</v>
      </c>
      <c r="O382" s="2"/>
      <c r="P382" s="2"/>
      <c r="Q382" s="31" t="s">
        <v>56</v>
      </c>
      <c r="R382" s="62"/>
      <c r="S382" s="62"/>
      <c r="T382" s="5"/>
    </row>
    <row r="383" spans="1:20">
      <c r="A383" s="2" t="s">
        <v>505</v>
      </c>
      <c r="B383" s="2" t="s">
        <v>531</v>
      </c>
      <c r="C383" s="2" t="s">
        <v>167</v>
      </c>
      <c r="D383" s="16">
        <v>90</v>
      </c>
      <c r="E383" s="2" t="s">
        <v>532</v>
      </c>
      <c r="F383" s="2" t="s">
        <v>190</v>
      </c>
      <c r="G383" s="2" t="s">
        <v>533</v>
      </c>
      <c r="H383" s="17">
        <v>470460</v>
      </c>
      <c r="I383" s="2"/>
      <c r="J383" s="2"/>
      <c r="K383" s="17">
        <v>470460</v>
      </c>
      <c r="L383" s="17">
        <v>50406.43</v>
      </c>
      <c r="M383" s="17">
        <v>420053.57</v>
      </c>
      <c r="N383" s="17">
        <v>470460</v>
      </c>
      <c r="O383" s="2"/>
      <c r="P383" s="2"/>
      <c r="Q383" s="31" t="s">
        <v>56</v>
      </c>
      <c r="R383" s="62"/>
      <c r="S383" s="62"/>
      <c r="T383" s="5"/>
    </row>
    <row r="384" spans="1:20">
      <c r="A384" s="2" t="s">
        <v>505</v>
      </c>
      <c r="B384" s="2" t="s">
        <v>534</v>
      </c>
      <c r="C384" s="2" t="s">
        <v>60</v>
      </c>
      <c r="D384" s="16">
        <v>0</v>
      </c>
      <c r="E384" s="2" t="s">
        <v>505</v>
      </c>
      <c r="F384" s="2" t="s">
        <v>190</v>
      </c>
      <c r="G384" s="2" t="s">
        <v>535</v>
      </c>
      <c r="H384" s="17">
        <v>98552</v>
      </c>
      <c r="I384" s="2"/>
      <c r="J384" s="2"/>
      <c r="K384" s="17">
        <v>98552</v>
      </c>
      <c r="L384" s="17">
        <v>10559.14</v>
      </c>
      <c r="M384" s="17">
        <v>87992.86</v>
      </c>
      <c r="N384" s="17">
        <v>98552</v>
      </c>
      <c r="O384" s="2"/>
      <c r="P384" s="2"/>
      <c r="Q384" s="31" t="s">
        <v>56</v>
      </c>
      <c r="R384" s="62"/>
      <c r="S384" s="62"/>
      <c r="T384" s="5"/>
    </row>
    <row r="385" spans="1:20">
      <c r="A385" s="2" t="s">
        <v>505</v>
      </c>
      <c r="B385" s="2" t="s">
        <v>536</v>
      </c>
      <c r="C385" s="2" t="s">
        <v>60</v>
      </c>
      <c r="D385" s="16">
        <v>0</v>
      </c>
      <c r="E385" s="2" t="s">
        <v>505</v>
      </c>
      <c r="F385" s="2" t="s">
        <v>190</v>
      </c>
      <c r="G385" s="2" t="s">
        <v>537</v>
      </c>
      <c r="H385" s="17">
        <v>78570</v>
      </c>
      <c r="I385" s="2"/>
      <c r="J385" s="2"/>
      <c r="K385" s="17">
        <v>78570</v>
      </c>
      <c r="L385" s="17">
        <v>8418.2099999999991</v>
      </c>
      <c r="M385" s="17">
        <v>70151.789999999994</v>
      </c>
      <c r="N385" s="17">
        <v>78570</v>
      </c>
      <c r="O385" s="2"/>
      <c r="P385" s="2"/>
      <c r="Q385" s="31" t="s">
        <v>56</v>
      </c>
      <c r="R385" s="62"/>
      <c r="S385" s="62"/>
      <c r="T385" s="5"/>
    </row>
    <row r="386" spans="1:20">
      <c r="A386" s="2" t="s">
        <v>505</v>
      </c>
      <c r="B386" s="2" t="s">
        <v>538</v>
      </c>
      <c r="C386" s="2" t="s">
        <v>60</v>
      </c>
      <c r="D386" s="16">
        <v>0</v>
      </c>
      <c r="E386" s="2" t="s">
        <v>505</v>
      </c>
      <c r="F386" s="2" t="s">
        <v>190</v>
      </c>
      <c r="G386" s="2" t="s">
        <v>539</v>
      </c>
      <c r="H386" s="17">
        <v>9506</v>
      </c>
      <c r="I386" s="2"/>
      <c r="J386" s="2"/>
      <c r="K386" s="17">
        <v>9506</v>
      </c>
      <c r="L386" s="17">
        <v>1018.5</v>
      </c>
      <c r="M386" s="17">
        <v>8487.5</v>
      </c>
      <c r="N386" s="17">
        <v>9506</v>
      </c>
      <c r="O386" s="2"/>
      <c r="P386" s="2"/>
      <c r="Q386" s="31" t="s">
        <v>56</v>
      </c>
      <c r="R386" s="62"/>
      <c r="S386" s="62"/>
      <c r="T386" s="5"/>
    </row>
    <row r="387" spans="1:20">
      <c r="A387" s="2" t="s">
        <v>505</v>
      </c>
      <c r="B387" s="2" t="s">
        <v>571</v>
      </c>
      <c r="C387" s="2" t="s">
        <v>167</v>
      </c>
      <c r="D387" s="16">
        <v>90</v>
      </c>
      <c r="E387" s="2" t="s">
        <v>532</v>
      </c>
      <c r="F387" s="2" t="s">
        <v>190</v>
      </c>
      <c r="G387" s="2" t="s">
        <v>572</v>
      </c>
      <c r="H387" s="17">
        <v>260736</v>
      </c>
      <c r="I387" s="2"/>
      <c r="J387" s="2"/>
      <c r="K387" s="17">
        <v>260736</v>
      </c>
      <c r="L387" s="17">
        <v>27936</v>
      </c>
      <c r="M387" s="17">
        <v>232800</v>
      </c>
      <c r="N387" s="17">
        <v>260736</v>
      </c>
      <c r="O387" s="2"/>
      <c r="P387" s="2"/>
      <c r="Q387" s="31" t="s">
        <v>56</v>
      </c>
      <c r="R387" s="62"/>
      <c r="S387" s="62"/>
      <c r="T387" s="5"/>
    </row>
    <row r="388" spans="1:20">
      <c r="A388" s="2" t="s">
        <v>596</v>
      </c>
      <c r="B388" s="2" t="s">
        <v>602</v>
      </c>
      <c r="C388" s="2" t="s">
        <v>167</v>
      </c>
      <c r="D388" s="16">
        <v>90</v>
      </c>
      <c r="E388" s="2" t="s">
        <v>597</v>
      </c>
      <c r="F388" s="2" t="s">
        <v>190</v>
      </c>
      <c r="G388" s="2" t="s">
        <v>603</v>
      </c>
      <c r="H388" s="17">
        <v>313116</v>
      </c>
      <c r="I388" s="2"/>
      <c r="J388" s="2"/>
      <c r="K388" s="17">
        <v>313116</v>
      </c>
      <c r="L388" s="17">
        <v>33548.14</v>
      </c>
      <c r="M388" s="17">
        <v>279567.86</v>
      </c>
      <c r="N388" s="17">
        <v>313116</v>
      </c>
      <c r="O388" s="2"/>
      <c r="P388" s="2"/>
      <c r="Q388" s="31" t="s">
        <v>56</v>
      </c>
      <c r="R388" s="62"/>
      <c r="S388" s="62"/>
      <c r="T388" s="5"/>
    </row>
    <row r="389" spans="1:20">
      <c r="A389" s="2" t="s">
        <v>637</v>
      </c>
      <c r="B389" s="2" t="s">
        <v>654</v>
      </c>
      <c r="C389" s="2" t="s">
        <v>167</v>
      </c>
      <c r="D389" s="16">
        <v>90</v>
      </c>
      <c r="E389" s="2" t="s">
        <v>655</v>
      </c>
      <c r="F389" s="2" t="s">
        <v>190</v>
      </c>
      <c r="G389" s="2" t="s">
        <v>656</v>
      </c>
      <c r="H389" s="17">
        <v>205540</v>
      </c>
      <c r="I389" s="2"/>
      <c r="J389" s="2"/>
      <c r="K389" s="17">
        <v>205540</v>
      </c>
      <c r="L389" s="17">
        <v>22022.14</v>
      </c>
      <c r="M389" s="17">
        <v>183517.86</v>
      </c>
      <c r="N389" s="17">
        <v>205540</v>
      </c>
      <c r="O389" s="2"/>
      <c r="P389" s="2"/>
      <c r="Q389" s="31" t="s">
        <v>56</v>
      </c>
      <c r="R389" s="62"/>
      <c r="S389" s="62"/>
      <c r="T389" s="5"/>
    </row>
    <row r="390" spans="1:20">
      <c r="A390" s="2" t="s">
        <v>915</v>
      </c>
      <c r="B390" s="2" t="s">
        <v>949</v>
      </c>
      <c r="C390" s="2" t="s">
        <v>60</v>
      </c>
      <c r="D390" s="16">
        <v>0</v>
      </c>
      <c r="E390" s="2" t="s">
        <v>915</v>
      </c>
      <c r="F390" s="2" t="s">
        <v>190</v>
      </c>
      <c r="G390" s="2" t="s">
        <v>950</v>
      </c>
      <c r="H390" s="17">
        <v>27760</v>
      </c>
      <c r="I390" s="2"/>
      <c r="J390" s="2"/>
      <c r="K390" s="17">
        <v>27760</v>
      </c>
      <c r="L390" s="17">
        <v>2974.29</v>
      </c>
      <c r="M390" s="17">
        <v>24785.71</v>
      </c>
      <c r="N390" s="17">
        <v>27760</v>
      </c>
      <c r="O390" s="2"/>
      <c r="P390" s="2"/>
      <c r="Q390" s="31" t="s">
        <v>56</v>
      </c>
      <c r="R390" s="62"/>
      <c r="S390" s="62"/>
      <c r="T390" s="5"/>
    </row>
    <row r="391" spans="1:20">
      <c r="A391" s="2" t="s">
        <v>971</v>
      </c>
      <c r="B391" s="2" t="s">
        <v>983</v>
      </c>
      <c r="C391" s="2" t="s">
        <v>60</v>
      </c>
      <c r="D391" s="16">
        <v>0</v>
      </c>
      <c r="E391" s="2" t="s">
        <v>971</v>
      </c>
      <c r="F391" s="2" t="s">
        <v>190</v>
      </c>
      <c r="G391" s="2" t="s">
        <v>984</v>
      </c>
      <c r="H391" s="17">
        <v>2489.9</v>
      </c>
      <c r="I391" s="2"/>
      <c r="J391" s="2"/>
      <c r="K391" s="17">
        <v>2489.9</v>
      </c>
      <c r="L391" s="18">
        <v>266.77</v>
      </c>
      <c r="M391" s="17">
        <v>2223.13</v>
      </c>
      <c r="N391" s="17">
        <v>2489.9</v>
      </c>
      <c r="O391" s="2"/>
      <c r="P391" s="2"/>
      <c r="Q391" s="31" t="s">
        <v>56</v>
      </c>
      <c r="R391" s="62"/>
      <c r="S391" s="62"/>
      <c r="T391" s="5"/>
    </row>
    <row r="392" spans="1:20">
      <c r="A392" s="2" t="s">
        <v>971</v>
      </c>
      <c r="B392" s="2" t="s">
        <v>1033</v>
      </c>
      <c r="C392" s="2" t="s">
        <v>60</v>
      </c>
      <c r="D392" s="16">
        <v>0</v>
      </c>
      <c r="E392" s="2" t="s">
        <v>971</v>
      </c>
      <c r="F392" s="2" t="s">
        <v>190</v>
      </c>
      <c r="G392" s="2" t="s">
        <v>1034</v>
      </c>
      <c r="H392" s="17">
        <v>165070.72</v>
      </c>
      <c r="I392" s="2"/>
      <c r="J392" s="2"/>
      <c r="K392" s="17">
        <v>165070.72</v>
      </c>
      <c r="L392" s="17">
        <v>17686.150000000001</v>
      </c>
      <c r="M392" s="17">
        <v>147384.57</v>
      </c>
      <c r="N392" s="17">
        <v>165070.72</v>
      </c>
      <c r="O392" s="2"/>
      <c r="P392" s="2"/>
      <c r="Q392" s="31" t="s">
        <v>56</v>
      </c>
      <c r="R392" s="62"/>
      <c r="S392" s="62"/>
      <c r="T392" s="5"/>
    </row>
    <row r="393" spans="1:20">
      <c r="A393" s="2" t="s">
        <v>1048</v>
      </c>
      <c r="B393" s="2" t="s">
        <v>1063</v>
      </c>
      <c r="C393" s="2" t="s">
        <v>167</v>
      </c>
      <c r="D393" s="16">
        <v>90</v>
      </c>
      <c r="E393" s="2" t="s">
        <v>1064</v>
      </c>
      <c r="F393" s="2" t="s">
        <v>190</v>
      </c>
      <c r="G393" s="2" t="s">
        <v>1065</v>
      </c>
      <c r="H393" s="17">
        <v>191136</v>
      </c>
      <c r="I393" s="2"/>
      <c r="J393" s="2"/>
      <c r="K393" s="17">
        <v>191136</v>
      </c>
      <c r="L393" s="17">
        <v>20478.86</v>
      </c>
      <c r="M393" s="17">
        <v>170657.14</v>
      </c>
      <c r="N393" s="17">
        <v>191136</v>
      </c>
      <c r="O393" s="2"/>
      <c r="P393" s="2"/>
      <c r="Q393" s="31" t="s">
        <v>56</v>
      </c>
      <c r="R393" s="62"/>
      <c r="S393" s="62"/>
      <c r="T393" s="5"/>
    </row>
    <row r="394" spans="1:20">
      <c r="A394" s="2" t="s">
        <v>1117</v>
      </c>
      <c r="B394" s="2" t="s">
        <v>1173</v>
      </c>
      <c r="C394" s="2" t="s">
        <v>60</v>
      </c>
      <c r="D394" s="16">
        <v>0</v>
      </c>
      <c r="E394" s="2" t="s">
        <v>1117</v>
      </c>
      <c r="F394" s="2" t="s">
        <v>190</v>
      </c>
      <c r="G394" s="2" t="s">
        <v>1174</v>
      </c>
      <c r="H394" s="17">
        <v>204476</v>
      </c>
      <c r="I394" s="2"/>
      <c r="J394" s="2"/>
      <c r="K394" s="17">
        <v>204476</v>
      </c>
      <c r="L394" s="17">
        <v>21908.14</v>
      </c>
      <c r="M394" s="17">
        <v>182567.86</v>
      </c>
      <c r="N394" s="17">
        <v>204476</v>
      </c>
      <c r="O394" s="2"/>
      <c r="P394" s="2"/>
      <c r="Q394" s="31" t="s">
        <v>56</v>
      </c>
      <c r="R394" s="62"/>
      <c r="S394" s="62"/>
      <c r="T394" s="5"/>
    </row>
    <row r="395" spans="1:20">
      <c r="A395" s="2" t="s">
        <v>1117</v>
      </c>
      <c r="B395" s="2" t="s">
        <v>1186</v>
      </c>
      <c r="C395" s="2" t="s">
        <v>60</v>
      </c>
      <c r="D395" s="16">
        <v>0</v>
      </c>
      <c r="E395" s="2" t="s">
        <v>1117</v>
      </c>
      <c r="F395" s="2" t="s">
        <v>190</v>
      </c>
      <c r="G395" s="2" t="s">
        <v>1187</v>
      </c>
      <c r="H395" s="17">
        <v>119504</v>
      </c>
      <c r="I395" s="2"/>
      <c r="J395" s="2"/>
      <c r="K395" s="17">
        <v>119504</v>
      </c>
      <c r="L395" s="17">
        <v>12804</v>
      </c>
      <c r="M395" s="17">
        <v>106700</v>
      </c>
      <c r="N395" s="17">
        <v>119504</v>
      </c>
      <c r="O395" s="2"/>
      <c r="P395" s="2"/>
      <c r="Q395" s="31" t="s">
        <v>56</v>
      </c>
      <c r="R395" s="62"/>
      <c r="S395" s="62"/>
      <c r="T395" s="5"/>
    </row>
    <row r="396" spans="1:20">
      <c r="A396" s="2" t="s">
        <v>1217</v>
      </c>
      <c r="B396" s="2" t="s">
        <v>1239</v>
      </c>
      <c r="C396" s="2" t="s">
        <v>60</v>
      </c>
      <c r="D396" s="16">
        <v>0</v>
      </c>
      <c r="E396" s="2" t="s">
        <v>1217</v>
      </c>
      <c r="F396" s="2" t="s">
        <v>190</v>
      </c>
      <c r="G396" s="2" t="s">
        <v>1240</v>
      </c>
      <c r="H396" s="17">
        <v>28240</v>
      </c>
      <c r="I396" s="2"/>
      <c r="J396" s="2"/>
      <c r="K396" s="17">
        <v>28240</v>
      </c>
      <c r="L396" s="17">
        <v>3025.71</v>
      </c>
      <c r="M396" s="17">
        <v>25214.29</v>
      </c>
      <c r="N396" s="17">
        <v>28240</v>
      </c>
      <c r="O396" s="2"/>
      <c r="P396" s="2"/>
      <c r="Q396" s="31" t="s">
        <v>56</v>
      </c>
      <c r="R396" s="62"/>
      <c r="S396" s="62"/>
      <c r="T396" s="5"/>
    </row>
    <row r="397" spans="1:20">
      <c r="A397" s="2" t="s">
        <v>1287</v>
      </c>
      <c r="B397" s="2" t="s">
        <v>1312</v>
      </c>
      <c r="C397" s="2" t="s">
        <v>60</v>
      </c>
      <c r="D397" s="16">
        <v>0</v>
      </c>
      <c r="E397" s="2" t="s">
        <v>1287</v>
      </c>
      <c r="F397" s="2" t="s">
        <v>190</v>
      </c>
      <c r="G397" s="2" t="s">
        <v>1313</v>
      </c>
      <c r="H397" s="17">
        <v>248990</v>
      </c>
      <c r="I397" s="2"/>
      <c r="J397" s="2"/>
      <c r="K397" s="17">
        <v>248990</v>
      </c>
      <c r="L397" s="17">
        <v>26677.5</v>
      </c>
      <c r="M397" s="17">
        <v>222312.5</v>
      </c>
      <c r="N397" s="17">
        <v>248990</v>
      </c>
      <c r="O397" s="2"/>
      <c r="P397" s="2"/>
      <c r="Q397" s="31" t="s">
        <v>56</v>
      </c>
      <c r="R397" s="63"/>
      <c r="S397" s="62"/>
      <c r="T397" s="5"/>
    </row>
    <row r="398" spans="1:20">
      <c r="A398" s="2" t="s">
        <v>199</v>
      </c>
      <c r="B398" s="2" t="s">
        <v>232</v>
      </c>
      <c r="C398" s="2" t="s">
        <v>162</v>
      </c>
      <c r="D398" s="16">
        <v>90</v>
      </c>
      <c r="E398" s="2" t="s">
        <v>233</v>
      </c>
      <c r="F398" s="2" t="s">
        <v>234</v>
      </c>
      <c r="G398" s="2" t="s">
        <v>235</v>
      </c>
      <c r="H398" s="17">
        <v>15682</v>
      </c>
      <c r="I398" s="2"/>
      <c r="J398" s="2"/>
      <c r="K398" s="17">
        <v>15682</v>
      </c>
      <c r="L398" s="17">
        <v>1680.21</v>
      </c>
      <c r="M398" s="17">
        <v>14001.79</v>
      </c>
      <c r="N398" s="17">
        <v>15682</v>
      </c>
      <c r="O398" s="2"/>
      <c r="P398" s="2"/>
      <c r="Q398" s="31" t="s">
        <v>56</v>
      </c>
      <c r="R398" s="32">
        <f>+K398</f>
        <v>15682</v>
      </c>
      <c r="S398" s="62"/>
      <c r="T398" s="5"/>
    </row>
    <row r="399" spans="1:20">
      <c r="A399" s="2" t="s">
        <v>93</v>
      </c>
      <c r="B399" s="2" t="s">
        <v>150</v>
      </c>
      <c r="C399" s="2" t="s">
        <v>151</v>
      </c>
      <c r="D399" s="16">
        <v>60</v>
      </c>
      <c r="E399" s="2" t="s">
        <v>136</v>
      </c>
      <c r="F399" s="2" t="s">
        <v>152</v>
      </c>
      <c r="G399" s="2" t="s">
        <v>153</v>
      </c>
      <c r="H399" s="17">
        <v>71884</v>
      </c>
      <c r="I399" s="2"/>
      <c r="J399" s="2"/>
      <c r="K399" s="17">
        <v>71884</v>
      </c>
      <c r="L399" s="17">
        <v>7701.86</v>
      </c>
      <c r="M399" s="17">
        <v>64182.14</v>
      </c>
      <c r="N399" s="17">
        <v>71884</v>
      </c>
      <c r="O399" s="2"/>
      <c r="P399" s="2"/>
      <c r="Q399" s="31" t="s">
        <v>56</v>
      </c>
      <c r="R399" s="61">
        <f>+K399+K400+K401+K402</f>
        <v>169929</v>
      </c>
      <c r="S399" s="62"/>
      <c r="T399" s="5"/>
    </row>
    <row r="400" spans="1:20">
      <c r="A400" s="2" t="s">
        <v>1048</v>
      </c>
      <c r="B400" s="2" t="s">
        <v>1066</v>
      </c>
      <c r="C400" s="2" t="s">
        <v>151</v>
      </c>
      <c r="D400" s="16">
        <v>60</v>
      </c>
      <c r="E400" s="2" t="s">
        <v>1067</v>
      </c>
      <c r="F400" s="2" t="s">
        <v>152</v>
      </c>
      <c r="G400" s="2" t="s">
        <v>1068</v>
      </c>
      <c r="H400" s="17">
        <v>68700</v>
      </c>
      <c r="I400" s="2"/>
      <c r="J400" s="2"/>
      <c r="K400" s="17">
        <v>68700</v>
      </c>
      <c r="L400" s="17">
        <v>7360.71</v>
      </c>
      <c r="M400" s="17">
        <v>61339.29</v>
      </c>
      <c r="N400" s="17">
        <v>68700</v>
      </c>
      <c r="O400" s="2"/>
      <c r="P400" s="2"/>
      <c r="Q400" s="31" t="s">
        <v>56</v>
      </c>
      <c r="R400" s="62"/>
      <c r="S400" s="62"/>
      <c r="T400" s="5"/>
    </row>
    <row r="401" spans="1:20">
      <c r="A401" s="2" t="s">
        <v>1048</v>
      </c>
      <c r="B401" s="2" t="s">
        <v>1069</v>
      </c>
      <c r="C401" s="2" t="s">
        <v>151</v>
      </c>
      <c r="D401" s="16">
        <v>60</v>
      </c>
      <c r="E401" s="2" t="s">
        <v>1067</v>
      </c>
      <c r="F401" s="2" t="s">
        <v>152</v>
      </c>
      <c r="G401" s="2" t="s">
        <v>1070</v>
      </c>
      <c r="H401" s="17">
        <v>7841</v>
      </c>
      <c r="I401" s="2"/>
      <c r="J401" s="2"/>
      <c r="K401" s="17">
        <v>7841</v>
      </c>
      <c r="L401" s="18">
        <v>840.11</v>
      </c>
      <c r="M401" s="17">
        <v>7000.89</v>
      </c>
      <c r="N401" s="17">
        <v>7841</v>
      </c>
      <c r="O401" s="2"/>
      <c r="P401" s="2"/>
      <c r="Q401" s="31" t="s">
        <v>56</v>
      </c>
      <c r="R401" s="62"/>
      <c r="S401" s="62"/>
      <c r="T401" s="5"/>
    </row>
    <row r="402" spans="1:20">
      <c r="A402" s="2" t="s">
        <v>1553</v>
      </c>
      <c r="B402" s="2" t="s">
        <v>1618</v>
      </c>
      <c r="C402" s="2" t="s">
        <v>151</v>
      </c>
      <c r="D402" s="16">
        <v>60</v>
      </c>
      <c r="E402" s="2" t="s">
        <v>1557</v>
      </c>
      <c r="F402" s="2" t="s">
        <v>152</v>
      </c>
      <c r="G402" s="2" t="s">
        <v>1619</v>
      </c>
      <c r="H402" s="17">
        <v>21504</v>
      </c>
      <c r="I402" s="2"/>
      <c r="J402" s="2"/>
      <c r="K402" s="17">
        <v>21504</v>
      </c>
      <c r="L402" s="17">
        <v>2304</v>
      </c>
      <c r="M402" s="17">
        <v>19200</v>
      </c>
      <c r="N402" s="17">
        <v>21504</v>
      </c>
      <c r="O402" s="2"/>
      <c r="P402" s="2"/>
      <c r="Q402" s="31" t="s">
        <v>56</v>
      </c>
      <c r="R402" s="63"/>
      <c r="S402" s="62"/>
      <c r="T402" s="5"/>
    </row>
    <row r="403" spans="1:20">
      <c r="A403" s="2" t="s">
        <v>282</v>
      </c>
      <c r="B403" s="2" t="s">
        <v>315</v>
      </c>
      <c r="C403" s="2" t="s">
        <v>151</v>
      </c>
      <c r="D403" s="16">
        <v>60</v>
      </c>
      <c r="E403" s="2" t="s">
        <v>286</v>
      </c>
      <c r="F403" s="2" t="s">
        <v>316</v>
      </c>
      <c r="G403" s="2" t="s">
        <v>317</v>
      </c>
      <c r="H403" s="17">
        <v>77013</v>
      </c>
      <c r="I403" s="2"/>
      <c r="J403" s="2"/>
      <c r="K403" s="17">
        <v>77013</v>
      </c>
      <c r="L403" s="17">
        <v>8251.39</v>
      </c>
      <c r="M403" s="17">
        <v>68761.61</v>
      </c>
      <c r="N403" s="17">
        <v>77013</v>
      </c>
      <c r="O403" s="2"/>
      <c r="P403" s="2"/>
      <c r="Q403" s="31" t="s">
        <v>56</v>
      </c>
      <c r="R403" s="32">
        <f>+K403</f>
        <v>77013</v>
      </c>
      <c r="S403" s="62"/>
      <c r="T403" s="5"/>
    </row>
    <row r="404" spans="1:20">
      <c r="A404" s="2" t="s">
        <v>637</v>
      </c>
      <c r="B404" s="2" t="s">
        <v>668</v>
      </c>
      <c r="C404" s="2" t="s">
        <v>151</v>
      </c>
      <c r="D404" s="16">
        <v>60</v>
      </c>
      <c r="E404" s="2" t="s">
        <v>659</v>
      </c>
      <c r="F404" s="2" t="s">
        <v>669</v>
      </c>
      <c r="G404" s="2" t="s">
        <v>670</v>
      </c>
      <c r="H404" s="17">
        <v>23500</v>
      </c>
      <c r="I404" s="2"/>
      <c r="J404" s="2"/>
      <c r="K404" s="17">
        <v>23500</v>
      </c>
      <c r="L404" s="17">
        <v>2517.86</v>
      </c>
      <c r="M404" s="17">
        <v>20982.14</v>
      </c>
      <c r="N404" s="17">
        <v>23500</v>
      </c>
      <c r="O404" s="2"/>
      <c r="P404" s="2"/>
      <c r="Q404" s="31" t="s">
        <v>56</v>
      </c>
      <c r="R404" s="32">
        <f>+K404</f>
        <v>23500</v>
      </c>
      <c r="S404" s="62"/>
      <c r="T404" s="5"/>
    </row>
    <row r="405" spans="1:20">
      <c r="A405" s="2" t="s">
        <v>769</v>
      </c>
      <c r="B405" s="2" t="s">
        <v>811</v>
      </c>
      <c r="C405" s="2" t="s">
        <v>73</v>
      </c>
      <c r="D405" s="16">
        <v>30</v>
      </c>
      <c r="E405" s="2" t="s">
        <v>805</v>
      </c>
      <c r="F405" s="2" t="s">
        <v>812</v>
      </c>
      <c r="G405" s="2" t="s">
        <v>813</v>
      </c>
      <c r="H405" s="17">
        <v>966395</v>
      </c>
      <c r="I405" s="2"/>
      <c r="J405" s="2"/>
      <c r="K405" s="17">
        <v>966395</v>
      </c>
      <c r="L405" s="17">
        <v>103542.32</v>
      </c>
      <c r="M405" s="17">
        <v>862852.68</v>
      </c>
      <c r="N405" s="17">
        <v>966395</v>
      </c>
      <c r="O405" s="2"/>
      <c r="P405" s="2"/>
      <c r="Q405" s="31" t="s">
        <v>56</v>
      </c>
      <c r="R405" s="61">
        <f>+K405+K406+K407+K408+K409+K410+K411</f>
        <v>1866726</v>
      </c>
      <c r="S405" s="62"/>
      <c r="T405" s="5"/>
    </row>
    <row r="406" spans="1:20">
      <c r="A406" s="2" t="s">
        <v>769</v>
      </c>
      <c r="B406" s="2" t="s">
        <v>848</v>
      </c>
      <c r="C406" s="2" t="s">
        <v>73</v>
      </c>
      <c r="D406" s="16">
        <v>30</v>
      </c>
      <c r="E406" s="2" t="s">
        <v>805</v>
      </c>
      <c r="F406" s="2" t="s">
        <v>812</v>
      </c>
      <c r="G406" s="2" t="s">
        <v>849</v>
      </c>
      <c r="H406" s="17">
        <v>127702</v>
      </c>
      <c r="I406" s="2"/>
      <c r="J406" s="2"/>
      <c r="K406" s="17">
        <v>127702</v>
      </c>
      <c r="L406" s="17">
        <v>13682.36</v>
      </c>
      <c r="M406" s="17">
        <v>114019.64</v>
      </c>
      <c r="N406" s="17">
        <v>127702</v>
      </c>
      <c r="O406" s="2"/>
      <c r="P406" s="2"/>
      <c r="Q406" s="31" t="s">
        <v>56</v>
      </c>
      <c r="R406" s="62"/>
      <c r="S406" s="62"/>
      <c r="T406" s="5"/>
    </row>
    <row r="407" spans="1:20">
      <c r="A407" s="2" t="s">
        <v>915</v>
      </c>
      <c r="B407" s="2" t="s">
        <v>914</v>
      </c>
      <c r="C407" s="2" t="s">
        <v>73</v>
      </c>
      <c r="D407" s="16">
        <v>30</v>
      </c>
      <c r="E407" s="2" t="s">
        <v>916</v>
      </c>
      <c r="F407" s="2" t="s">
        <v>812</v>
      </c>
      <c r="G407" s="2" t="s">
        <v>849</v>
      </c>
      <c r="H407" s="17">
        <v>127702</v>
      </c>
      <c r="I407" s="2"/>
      <c r="J407" s="2"/>
      <c r="K407" s="17">
        <v>127702</v>
      </c>
      <c r="L407" s="17">
        <v>13682.36</v>
      </c>
      <c r="M407" s="17">
        <v>114019.64</v>
      </c>
      <c r="N407" s="17">
        <v>127702</v>
      </c>
      <c r="O407" s="2"/>
      <c r="P407" s="2"/>
      <c r="Q407" s="31" t="s">
        <v>56</v>
      </c>
      <c r="R407" s="62"/>
      <c r="S407" s="62"/>
      <c r="T407" s="5"/>
    </row>
    <row r="408" spans="1:20">
      <c r="A408" s="2" t="s">
        <v>1217</v>
      </c>
      <c r="B408" s="2" t="s">
        <v>1278</v>
      </c>
      <c r="C408" s="2" t="s">
        <v>73</v>
      </c>
      <c r="D408" s="16">
        <v>30</v>
      </c>
      <c r="E408" s="2" t="s">
        <v>1231</v>
      </c>
      <c r="F408" s="2" t="s">
        <v>812</v>
      </c>
      <c r="G408" s="2" t="s">
        <v>1279</v>
      </c>
      <c r="H408" s="17">
        <v>147233</v>
      </c>
      <c r="I408" s="2"/>
      <c r="J408" s="2"/>
      <c r="K408" s="17">
        <v>147233</v>
      </c>
      <c r="L408" s="17">
        <v>15774.96</v>
      </c>
      <c r="M408" s="17">
        <v>131458.04</v>
      </c>
      <c r="N408" s="17">
        <v>147233</v>
      </c>
      <c r="O408" s="2"/>
      <c r="P408" s="2"/>
      <c r="Q408" s="31" t="s">
        <v>56</v>
      </c>
      <c r="R408" s="62"/>
      <c r="S408" s="62"/>
      <c r="T408" s="5"/>
    </row>
    <row r="409" spans="1:20">
      <c r="A409" s="2" t="s">
        <v>1467</v>
      </c>
      <c r="B409" s="2" t="s">
        <v>1491</v>
      </c>
      <c r="C409" s="2" t="s">
        <v>73</v>
      </c>
      <c r="D409" s="16">
        <v>30</v>
      </c>
      <c r="E409" s="2" t="s">
        <v>1492</v>
      </c>
      <c r="F409" s="2" t="s">
        <v>812</v>
      </c>
      <c r="G409" s="2" t="s">
        <v>1493</v>
      </c>
      <c r="H409" s="17">
        <v>217400</v>
      </c>
      <c r="I409" s="2"/>
      <c r="J409" s="2"/>
      <c r="K409" s="17">
        <v>217400</v>
      </c>
      <c r="L409" s="17">
        <v>23292.86</v>
      </c>
      <c r="M409" s="17">
        <v>194107.14</v>
      </c>
      <c r="N409" s="17">
        <v>217400</v>
      </c>
      <c r="O409" s="2"/>
      <c r="P409" s="2"/>
      <c r="Q409" s="31" t="s">
        <v>56</v>
      </c>
      <c r="R409" s="62"/>
      <c r="S409" s="62"/>
      <c r="T409" s="5"/>
    </row>
    <row r="410" spans="1:20">
      <c r="A410" s="2" t="s">
        <v>1553</v>
      </c>
      <c r="B410" s="2" t="s">
        <v>1577</v>
      </c>
      <c r="C410" s="2" t="s">
        <v>73</v>
      </c>
      <c r="D410" s="16">
        <v>30</v>
      </c>
      <c r="E410" s="2" t="s">
        <v>1569</v>
      </c>
      <c r="F410" s="2" t="s">
        <v>812</v>
      </c>
      <c r="G410" s="2" t="s">
        <v>1578</v>
      </c>
      <c r="H410" s="17">
        <v>33964</v>
      </c>
      <c r="I410" s="2"/>
      <c r="J410" s="2"/>
      <c r="K410" s="17">
        <v>33964</v>
      </c>
      <c r="L410" s="17">
        <v>3639</v>
      </c>
      <c r="M410" s="17">
        <v>30325</v>
      </c>
      <c r="N410" s="17">
        <v>33964</v>
      </c>
      <c r="O410" s="2"/>
      <c r="P410" s="2"/>
      <c r="Q410" s="31" t="s">
        <v>56</v>
      </c>
      <c r="R410" s="62"/>
      <c r="S410" s="62"/>
      <c r="T410" s="5"/>
    </row>
    <row r="411" spans="1:20">
      <c r="A411" s="2" t="s">
        <v>1553</v>
      </c>
      <c r="B411" s="2" t="s">
        <v>1597</v>
      </c>
      <c r="C411" s="2" t="s">
        <v>73</v>
      </c>
      <c r="D411" s="16">
        <v>30</v>
      </c>
      <c r="E411" s="2" t="s">
        <v>1569</v>
      </c>
      <c r="F411" s="2" t="s">
        <v>812</v>
      </c>
      <c r="G411" s="2" t="s">
        <v>1598</v>
      </c>
      <c r="H411" s="17">
        <v>246330</v>
      </c>
      <c r="I411" s="2"/>
      <c r="J411" s="2"/>
      <c r="K411" s="17">
        <v>246330</v>
      </c>
      <c r="L411" s="17">
        <v>26392.5</v>
      </c>
      <c r="M411" s="17">
        <v>219937.5</v>
      </c>
      <c r="N411" s="17">
        <v>246330</v>
      </c>
      <c r="O411" s="2"/>
      <c r="P411" s="2"/>
      <c r="Q411" s="31" t="s">
        <v>56</v>
      </c>
      <c r="R411" s="63"/>
      <c r="S411" s="62"/>
      <c r="T411" s="5"/>
    </row>
    <row r="412" spans="1:20">
      <c r="A412" s="2" t="s">
        <v>448</v>
      </c>
      <c r="B412" s="2" t="s">
        <v>456</v>
      </c>
      <c r="C412" s="2" t="s">
        <v>132</v>
      </c>
      <c r="D412" s="16">
        <v>0</v>
      </c>
      <c r="E412" s="2" t="s">
        <v>448</v>
      </c>
      <c r="F412" s="2" t="s">
        <v>457</v>
      </c>
      <c r="G412" s="2" t="s">
        <v>458</v>
      </c>
      <c r="H412" s="17">
        <v>7218</v>
      </c>
      <c r="I412" s="2"/>
      <c r="J412" s="2"/>
      <c r="K412" s="17">
        <v>7218</v>
      </c>
      <c r="L412" s="18">
        <v>773.36</v>
      </c>
      <c r="M412" s="17">
        <v>6444.64</v>
      </c>
      <c r="N412" s="17">
        <v>7218</v>
      </c>
      <c r="O412" s="2"/>
      <c r="P412" s="2"/>
      <c r="Q412" s="31" t="s">
        <v>56</v>
      </c>
      <c r="R412" s="61">
        <f>+K412+K413+K414+K415</f>
        <v>1902453</v>
      </c>
      <c r="S412" s="62"/>
      <c r="T412" s="5"/>
    </row>
    <row r="413" spans="1:20">
      <c r="A413" s="2" t="s">
        <v>448</v>
      </c>
      <c r="B413" s="2" t="s">
        <v>459</v>
      </c>
      <c r="C413" s="2" t="s">
        <v>18</v>
      </c>
      <c r="D413" s="16">
        <v>0</v>
      </c>
      <c r="E413" s="2" t="s">
        <v>448</v>
      </c>
      <c r="F413" s="2" t="s">
        <v>457</v>
      </c>
      <c r="G413" s="2" t="s">
        <v>460</v>
      </c>
      <c r="H413" s="17">
        <v>1897500</v>
      </c>
      <c r="I413" s="2"/>
      <c r="J413" s="20">
        <v>60000</v>
      </c>
      <c r="K413" s="17">
        <f>1897500-J413</f>
        <v>1837500</v>
      </c>
      <c r="L413" s="17">
        <v>203303.57</v>
      </c>
      <c r="M413" s="17">
        <v>1694196.43</v>
      </c>
      <c r="N413" s="17">
        <v>1897500</v>
      </c>
      <c r="O413" s="17">
        <v>60000</v>
      </c>
      <c r="P413" s="2" t="s">
        <v>1768</v>
      </c>
      <c r="Q413" s="31" t="s">
        <v>56</v>
      </c>
      <c r="R413" s="62"/>
      <c r="S413" s="62"/>
      <c r="T413" s="5"/>
    </row>
    <row r="414" spans="1:20">
      <c r="A414" s="2" t="s">
        <v>1217</v>
      </c>
      <c r="B414" s="2" t="s">
        <v>1252</v>
      </c>
      <c r="C414" s="2" t="s">
        <v>23</v>
      </c>
      <c r="D414" s="16">
        <v>30</v>
      </c>
      <c r="E414" s="2" t="s">
        <v>1231</v>
      </c>
      <c r="F414" s="2" t="s">
        <v>457</v>
      </c>
      <c r="G414" s="2" t="s">
        <v>1253</v>
      </c>
      <c r="H414" s="17">
        <v>9800</v>
      </c>
      <c r="I414" s="2"/>
      <c r="J414" s="2"/>
      <c r="K414" s="17">
        <v>9800</v>
      </c>
      <c r="L414" s="17">
        <v>1050</v>
      </c>
      <c r="M414" s="17">
        <v>8750</v>
      </c>
      <c r="N414" s="17">
        <v>9800</v>
      </c>
      <c r="O414" s="2"/>
      <c r="P414" s="2"/>
      <c r="Q414" s="31" t="s">
        <v>56</v>
      </c>
      <c r="R414" s="62"/>
      <c r="S414" s="62"/>
      <c r="T414" s="5"/>
    </row>
    <row r="415" spans="1:20">
      <c r="A415" s="2" t="s">
        <v>1287</v>
      </c>
      <c r="B415" s="2" t="s">
        <v>1328</v>
      </c>
      <c r="C415" s="2" t="s">
        <v>60</v>
      </c>
      <c r="D415" s="16">
        <v>0</v>
      </c>
      <c r="E415" s="2" t="s">
        <v>1287</v>
      </c>
      <c r="F415" s="2" t="s">
        <v>457</v>
      </c>
      <c r="G415" s="2" t="s">
        <v>1329</v>
      </c>
      <c r="H415" s="17">
        <v>47935</v>
      </c>
      <c r="I415" s="2"/>
      <c r="J415" s="2"/>
      <c r="K415" s="17">
        <v>47935</v>
      </c>
      <c r="L415" s="17">
        <v>5135.8900000000003</v>
      </c>
      <c r="M415" s="17">
        <v>42799.11</v>
      </c>
      <c r="N415" s="17">
        <v>47935</v>
      </c>
      <c r="O415" s="2"/>
      <c r="P415" s="2"/>
      <c r="Q415" s="31" t="s">
        <v>56</v>
      </c>
      <c r="R415" s="63"/>
      <c r="S415" s="62"/>
      <c r="T415" s="5"/>
    </row>
    <row r="416" spans="1:20">
      <c r="A416" s="2" t="s">
        <v>282</v>
      </c>
      <c r="B416" s="2" t="s">
        <v>344</v>
      </c>
      <c r="C416" s="2" t="s">
        <v>18</v>
      </c>
      <c r="D416" s="16">
        <v>0</v>
      </c>
      <c r="E416" s="2" t="s">
        <v>282</v>
      </c>
      <c r="F416" s="2" t="s">
        <v>345</v>
      </c>
      <c r="G416" s="2" t="s">
        <v>346</v>
      </c>
      <c r="H416" s="17">
        <v>116996</v>
      </c>
      <c r="I416" s="2"/>
      <c r="J416" s="2"/>
      <c r="K416" s="17">
        <v>116996</v>
      </c>
      <c r="L416" s="17">
        <v>12535.29</v>
      </c>
      <c r="M416" s="17">
        <v>104460.71</v>
      </c>
      <c r="N416" s="17">
        <v>116996</v>
      </c>
      <c r="O416" s="2"/>
      <c r="P416" s="2"/>
      <c r="Q416" s="31" t="s">
        <v>56</v>
      </c>
      <c r="R416" s="61">
        <f>+K416+K417</f>
        <v>158103</v>
      </c>
      <c r="S416" s="62"/>
      <c r="T416" s="5"/>
    </row>
    <row r="417" spans="1:20">
      <c r="A417" s="2" t="s">
        <v>368</v>
      </c>
      <c r="B417" s="2" t="s">
        <v>426</v>
      </c>
      <c r="C417" s="2" t="s">
        <v>18</v>
      </c>
      <c r="D417" s="16">
        <v>0</v>
      </c>
      <c r="E417" s="2" t="s">
        <v>368</v>
      </c>
      <c r="F417" s="2" t="s">
        <v>345</v>
      </c>
      <c r="G417" s="2" t="s">
        <v>427</v>
      </c>
      <c r="H417" s="17">
        <v>41107</v>
      </c>
      <c r="I417" s="2"/>
      <c r="J417" s="2"/>
      <c r="K417" s="17">
        <v>41107</v>
      </c>
      <c r="L417" s="17">
        <v>4404.32</v>
      </c>
      <c r="M417" s="17">
        <v>36702.68</v>
      </c>
      <c r="N417" s="17">
        <v>41107</v>
      </c>
      <c r="O417" s="2"/>
      <c r="P417" s="2"/>
      <c r="Q417" s="31" t="s">
        <v>56</v>
      </c>
      <c r="R417" s="63"/>
      <c r="S417" s="62"/>
      <c r="T417" s="5"/>
    </row>
    <row r="418" spans="1:20">
      <c r="A418" s="2" t="s">
        <v>17</v>
      </c>
      <c r="B418" s="2" t="s">
        <v>53</v>
      </c>
      <c r="C418" s="2" t="s">
        <v>54</v>
      </c>
      <c r="D418" s="16">
        <v>90</v>
      </c>
      <c r="E418" s="2" t="s">
        <v>55</v>
      </c>
      <c r="F418" s="2" t="s">
        <v>57</v>
      </c>
      <c r="G418" s="2" t="s">
        <v>58</v>
      </c>
      <c r="H418" s="17">
        <v>1176000</v>
      </c>
      <c r="I418" s="2"/>
      <c r="J418" s="2"/>
      <c r="K418" s="17">
        <v>1176000</v>
      </c>
      <c r="L418" s="17">
        <v>126000</v>
      </c>
      <c r="M418" s="17">
        <v>1050000</v>
      </c>
      <c r="N418" s="17">
        <v>1176000</v>
      </c>
      <c r="O418" s="2"/>
      <c r="P418" s="2"/>
      <c r="Q418" s="31" t="s">
        <v>56</v>
      </c>
      <c r="R418" s="32">
        <f>+K418</f>
        <v>1176000</v>
      </c>
      <c r="S418" s="62"/>
      <c r="T418" s="5"/>
    </row>
    <row r="419" spans="1:20">
      <c r="A419" s="2" t="s">
        <v>17</v>
      </c>
      <c r="B419" s="2" t="s">
        <v>59</v>
      </c>
      <c r="C419" s="2" t="s">
        <v>60</v>
      </c>
      <c r="D419" s="16">
        <v>0</v>
      </c>
      <c r="E419" s="2" t="s">
        <v>17</v>
      </c>
      <c r="F419" s="2" t="s">
        <v>61</v>
      </c>
      <c r="G419" s="2" t="s">
        <v>62</v>
      </c>
      <c r="H419" s="17">
        <v>26000</v>
      </c>
      <c r="I419" s="19">
        <v>-520</v>
      </c>
      <c r="J419" s="2"/>
      <c r="K419" s="17">
        <v>25480</v>
      </c>
      <c r="L419" s="17">
        <v>2730</v>
      </c>
      <c r="M419" s="17">
        <v>22750</v>
      </c>
      <c r="N419" s="17">
        <v>25480</v>
      </c>
      <c r="O419" s="2"/>
      <c r="P419" s="2"/>
      <c r="Q419" s="31" t="s">
        <v>56</v>
      </c>
      <c r="R419" s="61">
        <f>+K419+K420+K421+K422+K423</f>
        <v>353814.29999999993</v>
      </c>
      <c r="S419" s="62"/>
      <c r="T419" s="5"/>
    </row>
    <row r="420" spans="1:20">
      <c r="A420" s="2" t="s">
        <v>1372</v>
      </c>
      <c r="B420" s="2" t="s">
        <v>1391</v>
      </c>
      <c r="C420" s="2" t="s">
        <v>18</v>
      </c>
      <c r="D420" s="16">
        <v>0</v>
      </c>
      <c r="E420" s="2" t="s">
        <v>1372</v>
      </c>
      <c r="F420" s="2" t="s">
        <v>61</v>
      </c>
      <c r="G420" s="2" t="s">
        <v>1392</v>
      </c>
      <c r="H420" s="17">
        <v>256495</v>
      </c>
      <c r="I420" s="19">
        <v>-5129.8999999999996</v>
      </c>
      <c r="J420" s="2"/>
      <c r="K420" s="17">
        <v>251365.1</v>
      </c>
      <c r="L420" s="17">
        <v>26931.98</v>
      </c>
      <c r="M420" s="17">
        <v>224433.12</v>
      </c>
      <c r="N420" s="17">
        <v>251365.1</v>
      </c>
      <c r="O420" s="2"/>
      <c r="P420" s="2"/>
      <c r="Q420" s="31" t="s">
        <v>56</v>
      </c>
      <c r="R420" s="62"/>
      <c r="S420" s="62"/>
      <c r="T420" s="5"/>
    </row>
    <row r="421" spans="1:20">
      <c r="A421" s="2" t="s">
        <v>1372</v>
      </c>
      <c r="B421" s="2" t="s">
        <v>1430</v>
      </c>
      <c r="C421" s="2" t="s">
        <v>60</v>
      </c>
      <c r="D421" s="16">
        <v>0</v>
      </c>
      <c r="E421" s="2" t="s">
        <v>1372</v>
      </c>
      <c r="F421" s="2" t="s">
        <v>61</v>
      </c>
      <c r="G421" s="2" t="s">
        <v>1431</v>
      </c>
      <c r="H421" s="17">
        <v>27000</v>
      </c>
      <c r="I421" s="19">
        <v>-540</v>
      </c>
      <c r="J421" s="2"/>
      <c r="K421" s="17">
        <v>26460</v>
      </c>
      <c r="L421" s="17">
        <v>2835</v>
      </c>
      <c r="M421" s="17">
        <v>23625</v>
      </c>
      <c r="N421" s="17">
        <v>26460</v>
      </c>
      <c r="O421" s="2"/>
      <c r="P421" s="2"/>
      <c r="Q421" s="31" t="s">
        <v>56</v>
      </c>
      <c r="R421" s="62"/>
      <c r="S421" s="62"/>
      <c r="T421" s="5"/>
    </row>
    <row r="422" spans="1:20">
      <c r="A422" s="2" t="s">
        <v>1467</v>
      </c>
      <c r="B422" s="2" t="s">
        <v>1515</v>
      </c>
      <c r="C422" s="2" t="s">
        <v>60</v>
      </c>
      <c r="D422" s="16">
        <v>0</v>
      </c>
      <c r="E422" s="2" t="s">
        <v>1467</v>
      </c>
      <c r="F422" s="2" t="s">
        <v>61</v>
      </c>
      <c r="G422" s="2" t="s">
        <v>1516</v>
      </c>
      <c r="H422" s="17">
        <v>25770</v>
      </c>
      <c r="I422" s="19">
        <v>-515.4</v>
      </c>
      <c r="J422" s="2"/>
      <c r="K422" s="17">
        <v>25254.6</v>
      </c>
      <c r="L422" s="17">
        <v>2705.85</v>
      </c>
      <c r="M422" s="17">
        <v>22548.75</v>
      </c>
      <c r="N422" s="17">
        <v>25254.6</v>
      </c>
      <c r="O422" s="2"/>
      <c r="P422" s="2"/>
      <c r="Q422" s="31" t="s">
        <v>56</v>
      </c>
      <c r="R422" s="62"/>
      <c r="S422" s="62"/>
      <c r="T422" s="5"/>
    </row>
    <row r="423" spans="1:20">
      <c r="A423" s="2" t="s">
        <v>1467</v>
      </c>
      <c r="B423" s="2" t="s">
        <v>1530</v>
      </c>
      <c r="C423" s="2" t="s">
        <v>60</v>
      </c>
      <c r="D423" s="16">
        <v>0</v>
      </c>
      <c r="E423" s="2" t="s">
        <v>1467</v>
      </c>
      <c r="F423" s="2" t="s">
        <v>61</v>
      </c>
      <c r="G423" s="2" t="s">
        <v>1531</v>
      </c>
      <c r="H423" s="17">
        <v>25770</v>
      </c>
      <c r="I423" s="19">
        <v>-515.4</v>
      </c>
      <c r="J423" s="2"/>
      <c r="K423" s="17">
        <v>25254.6</v>
      </c>
      <c r="L423" s="17">
        <v>2705.85</v>
      </c>
      <c r="M423" s="17">
        <v>22548.75</v>
      </c>
      <c r="N423" s="17">
        <v>25254.6</v>
      </c>
      <c r="O423" s="2"/>
      <c r="P423" s="2"/>
      <c r="Q423" s="31" t="s">
        <v>56</v>
      </c>
      <c r="R423" s="63"/>
      <c r="S423" s="62"/>
      <c r="T423" s="5"/>
    </row>
    <row r="424" spans="1:20">
      <c r="A424" s="2" t="s">
        <v>971</v>
      </c>
      <c r="B424" s="2" t="s">
        <v>995</v>
      </c>
      <c r="C424" s="2" t="s">
        <v>60</v>
      </c>
      <c r="D424" s="16">
        <v>0</v>
      </c>
      <c r="E424" s="2" t="s">
        <v>971</v>
      </c>
      <c r="F424" s="2" t="s">
        <v>996</v>
      </c>
      <c r="G424" s="2" t="s">
        <v>997</v>
      </c>
      <c r="H424" s="17">
        <v>233990</v>
      </c>
      <c r="I424" s="2"/>
      <c r="J424" s="2"/>
      <c r="K424" s="17">
        <v>233990</v>
      </c>
      <c r="L424" s="17">
        <v>25070.36</v>
      </c>
      <c r="M424" s="17">
        <v>208919.64</v>
      </c>
      <c r="N424" s="17">
        <v>233990</v>
      </c>
      <c r="O424" s="2"/>
      <c r="P424" s="2"/>
      <c r="Q424" s="31" t="s">
        <v>56</v>
      </c>
      <c r="R424" s="61">
        <f>+K424+K425</f>
        <v>409270</v>
      </c>
      <c r="S424" s="62"/>
      <c r="T424" s="5"/>
    </row>
    <row r="425" spans="1:20">
      <c r="A425" s="2" t="s">
        <v>1467</v>
      </c>
      <c r="B425" s="2" t="s">
        <v>1481</v>
      </c>
      <c r="C425" s="2" t="s">
        <v>60</v>
      </c>
      <c r="D425" s="16">
        <v>0</v>
      </c>
      <c r="E425" s="2" t="s">
        <v>1467</v>
      </c>
      <c r="F425" s="2" t="s">
        <v>996</v>
      </c>
      <c r="G425" s="2" t="s">
        <v>1482</v>
      </c>
      <c r="H425" s="17">
        <v>175280</v>
      </c>
      <c r="I425" s="2"/>
      <c r="J425" s="2"/>
      <c r="K425" s="17">
        <v>175280</v>
      </c>
      <c r="L425" s="17">
        <v>18780</v>
      </c>
      <c r="M425" s="17">
        <v>156500</v>
      </c>
      <c r="N425" s="17">
        <v>175280</v>
      </c>
      <c r="O425" s="2"/>
      <c r="P425" s="2"/>
      <c r="Q425" s="31" t="s">
        <v>56</v>
      </c>
      <c r="R425" s="63"/>
      <c r="S425" s="62"/>
      <c r="T425" s="5"/>
    </row>
    <row r="426" spans="1:20">
      <c r="A426" s="2" t="s">
        <v>1287</v>
      </c>
      <c r="B426" s="2" t="s">
        <v>1299</v>
      </c>
      <c r="C426" s="2" t="s">
        <v>60</v>
      </c>
      <c r="D426" s="16">
        <v>0</v>
      </c>
      <c r="E426" s="2" t="s">
        <v>1287</v>
      </c>
      <c r="F426" s="2" t="s">
        <v>1300</v>
      </c>
      <c r="G426" s="2" t="s">
        <v>1301</v>
      </c>
      <c r="H426" s="17">
        <v>50875</v>
      </c>
      <c r="I426" s="2"/>
      <c r="J426" s="2"/>
      <c r="K426" s="17">
        <v>50875</v>
      </c>
      <c r="L426" s="17">
        <v>5450.89</v>
      </c>
      <c r="M426" s="17">
        <v>45424.11</v>
      </c>
      <c r="N426" s="17">
        <v>50875</v>
      </c>
      <c r="O426" s="2"/>
      <c r="P426" s="2"/>
      <c r="Q426" s="31" t="s">
        <v>56</v>
      </c>
      <c r="R426" s="61">
        <f>+K426+K427</f>
        <v>54415</v>
      </c>
      <c r="S426" s="62"/>
      <c r="T426" s="5"/>
    </row>
    <row r="427" spans="1:20">
      <c r="A427" s="2" t="s">
        <v>1287</v>
      </c>
      <c r="B427" s="2" t="s">
        <v>1302</v>
      </c>
      <c r="C427" s="2" t="s">
        <v>60</v>
      </c>
      <c r="D427" s="16">
        <v>0</v>
      </c>
      <c r="E427" s="2" t="s">
        <v>1287</v>
      </c>
      <c r="F427" s="2" t="s">
        <v>1300</v>
      </c>
      <c r="G427" s="2" t="s">
        <v>1303</v>
      </c>
      <c r="H427" s="17">
        <v>3540</v>
      </c>
      <c r="I427" s="2"/>
      <c r="J427" s="2"/>
      <c r="K427" s="17">
        <v>3540</v>
      </c>
      <c r="L427" s="18">
        <v>379.29</v>
      </c>
      <c r="M427" s="17">
        <v>3160.71</v>
      </c>
      <c r="N427" s="17">
        <v>3540</v>
      </c>
      <c r="O427" s="2"/>
      <c r="P427" s="2"/>
      <c r="Q427" s="31" t="s">
        <v>56</v>
      </c>
      <c r="R427" s="63"/>
      <c r="S427" s="62"/>
      <c r="T427" s="5"/>
    </row>
    <row r="428" spans="1:20">
      <c r="A428" s="2" t="s">
        <v>596</v>
      </c>
      <c r="B428" s="2" t="s">
        <v>604</v>
      </c>
      <c r="C428" s="2" t="s">
        <v>60</v>
      </c>
      <c r="D428" s="16">
        <v>0</v>
      </c>
      <c r="E428" s="2" t="s">
        <v>596</v>
      </c>
      <c r="F428" s="2" t="s">
        <v>605</v>
      </c>
      <c r="G428" s="2" t="s">
        <v>606</v>
      </c>
      <c r="H428" s="17">
        <v>117620</v>
      </c>
      <c r="I428" s="2"/>
      <c r="J428" s="2"/>
      <c r="K428" s="17">
        <v>117620</v>
      </c>
      <c r="L428" s="17">
        <v>12602.14</v>
      </c>
      <c r="M428" s="17">
        <v>105017.86</v>
      </c>
      <c r="N428" s="17">
        <v>117620</v>
      </c>
      <c r="O428" s="2"/>
      <c r="P428" s="2"/>
      <c r="Q428" s="31" t="s">
        <v>56</v>
      </c>
      <c r="R428" s="61">
        <f>+K428+K429+K430+K431+K432+K433+K434+K435</f>
        <v>3637774.09</v>
      </c>
      <c r="S428" s="62"/>
      <c r="T428" s="5"/>
    </row>
    <row r="429" spans="1:20">
      <c r="A429" s="2" t="s">
        <v>1217</v>
      </c>
      <c r="B429" s="2" t="s">
        <v>1266</v>
      </c>
      <c r="C429" s="2" t="s">
        <v>60</v>
      </c>
      <c r="D429" s="16">
        <v>0</v>
      </c>
      <c r="E429" s="2" t="s">
        <v>1217</v>
      </c>
      <c r="F429" s="2" t="s">
        <v>605</v>
      </c>
      <c r="G429" s="2" t="s">
        <v>1267</v>
      </c>
      <c r="H429" s="17">
        <v>1154454.3999999999</v>
      </c>
      <c r="I429" s="2"/>
      <c r="J429" s="2"/>
      <c r="K429" s="17">
        <v>1154454.3999999999</v>
      </c>
      <c r="L429" s="17">
        <v>123691.54</v>
      </c>
      <c r="M429" s="17">
        <v>1030762.86</v>
      </c>
      <c r="N429" s="17">
        <v>1154454.3999999999</v>
      </c>
      <c r="O429" s="2"/>
      <c r="P429" s="2"/>
      <c r="Q429" s="31" t="s">
        <v>56</v>
      </c>
      <c r="R429" s="62"/>
      <c r="S429" s="62"/>
      <c r="T429" s="5"/>
    </row>
    <row r="430" spans="1:20">
      <c r="A430" s="2" t="s">
        <v>1217</v>
      </c>
      <c r="B430" s="2" t="s">
        <v>1280</v>
      </c>
      <c r="C430" s="2" t="s">
        <v>60</v>
      </c>
      <c r="D430" s="16">
        <v>0</v>
      </c>
      <c r="E430" s="2" t="s">
        <v>1217</v>
      </c>
      <c r="F430" s="2" t="s">
        <v>605</v>
      </c>
      <c r="G430" s="2" t="s">
        <v>1281</v>
      </c>
      <c r="H430" s="17">
        <v>255000</v>
      </c>
      <c r="I430" s="2"/>
      <c r="J430" s="2"/>
      <c r="K430" s="17">
        <v>255000</v>
      </c>
      <c r="L430" s="17">
        <v>27321.43</v>
      </c>
      <c r="M430" s="17">
        <v>227678.57</v>
      </c>
      <c r="N430" s="17">
        <v>255000</v>
      </c>
      <c r="O430" s="2"/>
      <c r="P430" s="2"/>
      <c r="Q430" s="31" t="s">
        <v>56</v>
      </c>
      <c r="R430" s="62"/>
      <c r="S430" s="62"/>
      <c r="T430" s="5"/>
    </row>
    <row r="431" spans="1:20">
      <c r="A431" s="2" t="s">
        <v>1287</v>
      </c>
      <c r="B431" s="2" t="s">
        <v>1336</v>
      </c>
      <c r="C431" s="2" t="s">
        <v>60</v>
      </c>
      <c r="D431" s="16">
        <v>0</v>
      </c>
      <c r="E431" s="2" t="s">
        <v>1287</v>
      </c>
      <c r="F431" s="2" t="s">
        <v>605</v>
      </c>
      <c r="G431" s="2" t="s">
        <v>1337</v>
      </c>
      <c r="H431" s="17">
        <v>1126635.48</v>
      </c>
      <c r="I431" s="2"/>
      <c r="J431" s="2"/>
      <c r="K431" s="17">
        <v>1126635.48</v>
      </c>
      <c r="L431" s="17">
        <v>120710.94</v>
      </c>
      <c r="M431" s="17">
        <v>1005924.54</v>
      </c>
      <c r="N431" s="17">
        <v>1126635.48</v>
      </c>
      <c r="O431" s="2"/>
      <c r="P431" s="2"/>
      <c r="Q431" s="31" t="s">
        <v>56</v>
      </c>
      <c r="R431" s="62"/>
      <c r="S431" s="62"/>
      <c r="T431" s="5"/>
    </row>
    <row r="432" spans="1:20">
      <c r="A432" s="2" t="s">
        <v>1287</v>
      </c>
      <c r="B432" s="2" t="s">
        <v>1338</v>
      </c>
      <c r="C432" s="2" t="s">
        <v>60</v>
      </c>
      <c r="D432" s="16">
        <v>0</v>
      </c>
      <c r="E432" s="2" t="s">
        <v>1287</v>
      </c>
      <c r="F432" s="2" t="s">
        <v>605</v>
      </c>
      <c r="G432" s="2" t="s">
        <v>1339</v>
      </c>
      <c r="H432" s="17">
        <v>280110</v>
      </c>
      <c r="I432" s="2"/>
      <c r="J432" s="2"/>
      <c r="K432" s="17">
        <v>280110</v>
      </c>
      <c r="L432" s="17">
        <v>30011.79</v>
      </c>
      <c r="M432" s="17">
        <v>250098.21</v>
      </c>
      <c r="N432" s="17">
        <v>280110</v>
      </c>
      <c r="O432" s="2"/>
      <c r="P432" s="2"/>
      <c r="Q432" s="31" t="s">
        <v>56</v>
      </c>
      <c r="R432" s="62"/>
      <c r="S432" s="62"/>
      <c r="T432" s="5"/>
    </row>
    <row r="433" spans="1:20">
      <c r="A433" s="2" t="s">
        <v>1372</v>
      </c>
      <c r="B433" s="2" t="s">
        <v>1452</v>
      </c>
      <c r="C433" s="2" t="s">
        <v>60</v>
      </c>
      <c r="D433" s="16">
        <v>0</v>
      </c>
      <c r="E433" s="2" t="s">
        <v>1372</v>
      </c>
      <c r="F433" s="2" t="s">
        <v>605</v>
      </c>
      <c r="G433" s="2" t="s">
        <v>1453</v>
      </c>
      <c r="H433" s="17">
        <v>90409.05</v>
      </c>
      <c r="I433" s="2"/>
      <c r="J433" s="2"/>
      <c r="K433" s="17">
        <v>90409.05</v>
      </c>
      <c r="L433" s="17">
        <v>9686.68</v>
      </c>
      <c r="M433" s="17">
        <v>80722.37</v>
      </c>
      <c r="N433" s="17">
        <v>90409.05</v>
      </c>
      <c r="O433" s="2"/>
      <c r="P433" s="2"/>
      <c r="Q433" s="31" t="s">
        <v>56</v>
      </c>
      <c r="R433" s="62"/>
      <c r="S433" s="62"/>
      <c r="T433" s="5"/>
    </row>
    <row r="434" spans="1:20">
      <c r="A434" s="2" t="s">
        <v>1372</v>
      </c>
      <c r="B434" s="2" t="s">
        <v>1454</v>
      </c>
      <c r="C434" s="2" t="s">
        <v>60</v>
      </c>
      <c r="D434" s="16">
        <v>0</v>
      </c>
      <c r="E434" s="2" t="s">
        <v>1372</v>
      </c>
      <c r="F434" s="2" t="s">
        <v>605</v>
      </c>
      <c r="G434" s="2" t="s">
        <v>1455</v>
      </c>
      <c r="H434" s="17">
        <v>307545.40000000002</v>
      </c>
      <c r="I434" s="2"/>
      <c r="J434" s="2"/>
      <c r="K434" s="17">
        <v>307545.40000000002</v>
      </c>
      <c r="L434" s="17">
        <v>32951.29</v>
      </c>
      <c r="M434" s="17">
        <v>274594.11</v>
      </c>
      <c r="N434" s="17">
        <v>307545.40000000002</v>
      </c>
      <c r="O434" s="2"/>
      <c r="P434" s="2"/>
      <c r="Q434" s="31" t="s">
        <v>56</v>
      </c>
      <c r="R434" s="62"/>
      <c r="S434" s="62"/>
      <c r="T434" s="5"/>
    </row>
    <row r="435" spans="1:20">
      <c r="A435" s="2" t="s">
        <v>1467</v>
      </c>
      <c r="B435" s="2" t="s">
        <v>1520</v>
      </c>
      <c r="C435" s="2" t="s">
        <v>60</v>
      </c>
      <c r="D435" s="16">
        <v>0</v>
      </c>
      <c r="E435" s="2" t="s">
        <v>1467</v>
      </c>
      <c r="F435" s="2" t="s">
        <v>605</v>
      </c>
      <c r="G435" s="2" t="s">
        <v>1521</v>
      </c>
      <c r="H435" s="17">
        <v>305999.76</v>
      </c>
      <c r="I435" s="2"/>
      <c r="J435" s="2"/>
      <c r="K435" s="17">
        <v>305999.76</v>
      </c>
      <c r="L435" s="17">
        <v>32785.69</v>
      </c>
      <c r="M435" s="17">
        <v>273214.07</v>
      </c>
      <c r="N435" s="17">
        <v>305999.76</v>
      </c>
      <c r="O435" s="2"/>
      <c r="P435" s="2"/>
      <c r="Q435" s="31" t="s">
        <v>56</v>
      </c>
      <c r="R435" s="63"/>
      <c r="S435" s="62"/>
      <c r="T435" s="5"/>
    </row>
    <row r="436" spans="1:20">
      <c r="A436" s="2" t="s">
        <v>1217</v>
      </c>
      <c r="B436" s="2" t="s">
        <v>1244</v>
      </c>
      <c r="C436" s="2" t="s">
        <v>64</v>
      </c>
      <c r="D436" s="16">
        <v>30</v>
      </c>
      <c r="E436" s="2" t="s">
        <v>1231</v>
      </c>
      <c r="F436" s="2" t="s">
        <v>1245</v>
      </c>
      <c r="G436" s="2" t="s">
        <v>1246</v>
      </c>
      <c r="H436" s="17">
        <v>1442300</v>
      </c>
      <c r="I436" s="2"/>
      <c r="J436" s="2"/>
      <c r="K436" s="17">
        <v>1442300</v>
      </c>
      <c r="L436" s="17">
        <v>154532.14000000001</v>
      </c>
      <c r="M436" s="17">
        <v>1287767.8600000001</v>
      </c>
      <c r="N436" s="17">
        <v>1442300</v>
      </c>
      <c r="O436" s="2"/>
      <c r="P436" s="2"/>
      <c r="Q436" s="31" t="s">
        <v>56</v>
      </c>
      <c r="R436" s="32">
        <f>+K436</f>
        <v>1442300</v>
      </c>
      <c r="S436" s="62"/>
      <c r="T436" s="5"/>
    </row>
    <row r="437" spans="1:20">
      <c r="A437" s="2" t="s">
        <v>93</v>
      </c>
      <c r="B437" s="2" t="s">
        <v>145</v>
      </c>
      <c r="C437" s="2" t="s">
        <v>146</v>
      </c>
      <c r="D437" s="16">
        <v>90</v>
      </c>
      <c r="E437" s="2" t="s">
        <v>147</v>
      </c>
      <c r="F437" s="2" t="s">
        <v>148</v>
      </c>
      <c r="G437" s="2" t="s">
        <v>149</v>
      </c>
      <c r="H437" s="17">
        <v>91954.87</v>
      </c>
      <c r="I437" s="2"/>
      <c r="J437" s="2"/>
      <c r="K437" s="17">
        <v>91954.87</v>
      </c>
      <c r="L437" s="17">
        <v>9852.31</v>
      </c>
      <c r="M437" s="17">
        <v>82102.559999999998</v>
      </c>
      <c r="N437" s="17">
        <v>91954.87</v>
      </c>
      <c r="O437" s="2"/>
      <c r="P437" s="2"/>
      <c r="Q437" s="31" t="s">
        <v>69</v>
      </c>
      <c r="R437" s="41">
        <f>+K437</f>
        <v>91954.87</v>
      </c>
      <c r="S437" s="61">
        <f>+R437+R438+R445+R450+R456+R457+R459+R463+R468+R475+R476+R478+R479+R481+R482+R487+R489+R500</f>
        <v>43871956.170000002</v>
      </c>
      <c r="T437" s="5"/>
    </row>
    <row r="438" spans="1:20">
      <c r="A438" s="2" t="s">
        <v>93</v>
      </c>
      <c r="B438" s="2" t="s">
        <v>97</v>
      </c>
      <c r="C438" s="2" t="s">
        <v>98</v>
      </c>
      <c r="D438" s="16">
        <v>0</v>
      </c>
      <c r="E438" s="2" t="s">
        <v>93</v>
      </c>
      <c r="F438" s="2" t="s">
        <v>99</v>
      </c>
      <c r="G438" s="2" t="s">
        <v>100</v>
      </c>
      <c r="H438" s="17">
        <v>96500</v>
      </c>
      <c r="I438" s="19">
        <v>-2895</v>
      </c>
      <c r="J438" s="2"/>
      <c r="K438" s="17">
        <v>93605</v>
      </c>
      <c r="L438" s="17">
        <v>10029.11</v>
      </c>
      <c r="M438" s="17">
        <v>83575.89</v>
      </c>
      <c r="N438" s="17">
        <v>93605</v>
      </c>
      <c r="O438" s="2"/>
      <c r="P438" s="2"/>
      <c r="Q438" s="31" t="s">
        <v>69</v>
      </c>
      <c r="R438" s="64">
        <f>+K438+K439+K440+K441+K442+K443+K444</f>
        <v>1144163.5</v>
      </c>
      <c r="S438" s="62"/>
      <c r="T438" s="5"/>
    </row>
    <row r="439" spans="1:20">
      <c r="A439" s="2" t="s">
        <v>93</v>
      </c>
      <c r="B439" s="2" t="s">
        <v>101</v>
      </c>
      <c r="C439" s="2" t="s">
        <v>98</v>
      </c>
      <c r="D439" s="16">
        <v>0</v>
      </c>
      <c r="E439" s="2" t="s">
        <v>93</v>
      </c>
      <c r="F439" s="2" t="s">
        <v>99</v>
      </c>
      <c r="G439" s="2" t="s">
        <v>102</v>
      </c>
      <c r="H439" s="17">
        <v>205360</v>
      </c>
      <c r="I439" s="19">
        <v>-6160.8</v>
      </c>
      <c r="J439" s="2"/>
      <c r="K439" s="17">
        <v>199199.2</v>
      </c>
      <c r="L439" s="17">
        <v>21342.77</v>
      </c>
      <c r="M439" s="17">
        <v>177856.43</v>
      </c>
      <c r="N439" s="17">
        <v>199199.2</v>
      </c>
      <c r="O439" s="2"/>
      <c r="P439" s="2"/>
      <c r="Q439" s="31" t="s">
        <v>69</v>
      </c>
      <c r="R439" s="66"/>
      <c r="S439" s="62"/>
      <c r="T439" s="5"/>
    </row>
    <row r="440" spans="1:20">
      <c r="A440" s="2" t="s">
        <v>505</v>
      </c>
      <c r="B440" s="2" t="s">
        <v>511</v>
      </c>
      <c r="C440" s="2" t="s">
        <v>98</v>
      </c>
      <c r="D440" s="16">
        <v>0</v>
      </c>
      <c r="E440" s="2" t="s">
        <v>505</v>
      </c>
      <c r="F440" s="2" t="s">
        <v>99</v>
      </c>
      <c r="G440" s="2" t="s">
        <v>512</v>
      </c>
      <c r="H440" s="17">
        <v>47500</v>
      </c>
      <c r="I440" s="19">
        <v>-1425</v>
      </c>
      <c r="J440" s="2"/>
      <c r="K440" s="17">
        <v>46075</v>
      </c>
      <c r="L440" s="17">
        <v>4936.6099999999997</v>
      </c>
      <c r="M440" s="17">
        <v>41138.39</v>
      </c>
      <c r="N440" s="17">
        <v>46075</v>
      </c>
      <c r="O440" s="2"/>
      <c r="P440" s="2"/>
      <c r="Q440" s="31" t="s">
        <v>69</v>
      </c>
      <c r="R440" s="66"/>
      <c r="S440" s="62"/>
      <c r="T440" s="5"/>
    </row>
    <row r="441" spans="1:20">
      <c r="A441" s="2" t="s">
        <v>505</v>
      </c>
      <c r="B441" s="2" t="s">
        <v>513</v>
      </c>
      <c r="C441" s="2" t="s">
        <v>98</v>
      </c>
      <c r="D441" s="16">
        <v>0</v>
      </c>
      <c r="E441" s="2" t="s">
        <v>505</v>
      </c>
      <c r="F441" s="2" t="s">
        <v>99</v>
      </c>
      <c r="G441" s="2" t="s">
        <v>514</v>
      </c>
      <c r="H441" s="17">
        <v>348100</v>
      </c>
      <c r="I441" s="19">
        <v>-10443</v>
      </c>
      <c r="J441" s="2"/>
      <c r="K441" s="17">
        <v>337657</v>
      </c>
      <c r="L441" s="17">
        <v>36177.54</v>
      </c>
      <c r="M441" s="17">
        <v>301479.46000000002</v>
      </c>
      <c r="N441" s="17">
        <v>337657</v>
      </c>
      <c r="O441" s="2"/>
      <c r="P441" s="2"/>
      <c r="Q441" s="31" t="s">
        <v>69</v>
      </c>
      <c r="R441" s="66"/>
      <c r="S441" s="62"/>
      <c r="T441" s="5"/>
    </row>
    <row r="442" spans="1:20">
      <c r="A442" s="2" t="s">
        <v>505</v>
      </c>
      <c r="B442" s="2" t="s">
        <v>515</v>
      </c>
      <c r="C442" s="2" t="s">
        <v>98</v>
      </c>
      <c r="D442" s="16">
        <v>0</v>
      </c>
      <c r="E442" s="2" t="s">
        <v>505</v>
      </c>
      <c r="F442" s="2" t="s">
        <v>99</v>
      </c>
      <c r="G442" s="2" t="s">
        <v>516</v>
      </c>
      <c r="H442" s="17">
        <v>51340</v>
      </c>
      <c r="I442" s="19">
        <v>-1540.2</v>
      </c>
      <c r="J442" s="2"/>
      <c r="K442" s="17">
        <v>49799.8</v>
      </c>
      <c r="L442" s="17">
        <v>5335.69</v>
      </c>
      <c r="M442" s="17">
        <v>44464.11</v>
      </c>
      <c r="N442" s="17">
        <v>49799.8</v>
      </c>
      <c r="O442" s="2"/>
      <c r="P442" s="2"/>
      <c r="Q442" s="31" t="s">
        <v>69</v>
      </c>
      <c r="R442" s="66"/>
      <c r="S442" s="62"/>
      <c r="T442" s="5"/>
    </row>
    <row r="443" spans="1:20">
      <c r="A443" s="2" t="s">
        <v>866</v>
      </c>
      <c r="B443" s="2" t="s">
        <v>868</v>
      </c>
      <c r="C443" s="2" t="s">
        <v>98</v>
      </c>
      <c r="D443" s="16">
        <v>0</v>
      </c>
      <c r="E443" s="2" t="s">
        <v>866</v>
      </c>
      <c r="F443" s="2" t="s">
        <v>99</v>
      </c>
      <c r="G443" s="2" t="s">
        <v>869</v>
      </c>
      <c r="H443" s="17">
        <v>256700</v>
      </c>
      <c r="I443" s="19">
        <v>-7701</v>
      </c>
      <c r="J443" s="2"/>
      <c r="K443" s="17">
        <v>248999</v>
      </c>
      <c r="L443" s="17">
        <v>26678.46</v>
      </c>
      <c r="M443" s="17">
        <v>222320.54</v>
      </c>
      <c r="N443" s="17">
        <v>248999</v>
      </c>
      <c r="O443" s="2"/>
      <c r="P443" s="2"/>
      <c r="Q443" s="31" t="s">
        <v>69</v>
      </c>
      <c r="R443" s="66"/>
      <c r="S443" s="62"/>
      <c r="T443" s="5"/>
    </row>
    <row r="444" spans="1:20">
      <c r="A444" s="2" t="s">
        <v>1467</v>
      </c>
      <c r="B444" s="2" t="s">
        <v>1466</v>
      </c>
      <c r="C444" s="2" t="s">
        <v>98</v>
      </c>
      <c r="D444" s="16">
        <v>0</v>
      </c>
      <c r="E444" s="2" t="s">
        <v>1467</v>
      </c>
      <c r="F444" s="2" t="s">
        <v>99</v>
      </c>
      <c r="G444" s="2" t="s">
        <v>1468</v>
      </c>
      <c r="H444" s="17">
        <v>174050</v>
      </c>
      <c r="I444" s="19">
        <v>-5221.5</v>
      </c>
      <c r="J444" s="2"/>
      <c r="K444" s="17">
        <v>168828.5</v>
      </c>
      <c r="L444" s="17">
        <v>18088.77</v>
      </c>
      <c r="M444" s="17">
        <v>150739.73000000001</v>
      </c>
      <c r="N444" s="17">
        <v>168828.5</v>
      </c>
      <c r="O444" s="2"/>
      <c r="P444" s="2"/>
      <c r="Q444" s="31" t="s">
        <v>69</v>
      </c>
      <c r="R444" s="65"/>
      <c r="S444" s="62"/>
      <c r="T444" s="5"/>
    </row>
    <row r="445" spans="1:20">
      <c r="A445" s="2" t="s">
        <v>199</v>
      </c>
      <c r="B445" s="2" t="s">
        <v>276</v>
      </c>
      <c r="C445" s="2" t="s">
        <v>104</v>
      </c>
      <c r="D445" s="16">
        <v>0</v>
      </c>
      <c r="E445" s="2" t="s">
        <v>199</v>
      </c>
      <c r="F445" s="2" t="s">
        <v>277</v>
      </c>
      <c r="G445" s="2" t="s">
        <v>278</v>
      </c>
      <c r="H445" s="17">
        <v>39907</v>
      </c>
      <c r="I445" s="2"/>
      <c r="J445" s="2"/>
      <c r="K445" s="17">
        <v>39907</v>
      </c>
      <c r="L445" s="17">
        <v>4275.75</v>
      </c>
      <c r="M445" s="17">
        <v>35631.25</v>
      </c>
      <c r="N445" s="17">
        <v>39907</v>
      </c>
      <c r="O445" s="2"/>
      <c r="P445" s="2"/>
      <c r="Q445" s="31" t="s">
        <v>69</v>
      </c>
      <c r="R445" s="64">
        <f>+K445+K446+K447+K448+K449</f>
        <v>6405817</v>
      </c>
      <c r="S445" s="62"/>
      <c r="T445" s="5"/>
    </row>
    <row r="446" spans="1:20">
      <c r="A446" s="2" t="s">
        <v>689</v>
      </c>
      <c r="B446" s="2" t="s">
        <v>707</v>
      </c>
      <c r="C446" s="2" t="s">
        <v>104</v>
      </c>
      <c r="D446" s="16">
        <v>0</v>
      </c>
      <c r="E446" s="2" t="s">
        <v>689</v>
      </c>
      <c r="F446" s="2" t="s">
        <v>277</v>
      </c>
      <c r="G446" s="2" t="s">
        <v>708</v>
      </c>
      <c r="H446" s="17">
        <v>191660</v>
      </c>
      <c r="I446" s="2"/>
      <c r="J446" s="2"/>
      <c r="K446" s="17">
        <v>191660</v>
      </c>
      <c r="L446" s="17">
        <v>20535</v>
      </c>
      <c r="M446" s="17">
        <v>171125</v>
      </c>
      <c r="N446" s="17">
        <v>191660</v>
      </c>
      <c r="O446" s="2"/>
      <c r="P446" s="2"/>
      <c r="Q446" s="31" t="s">
        <v>69</v>
      </c>
      <c r="R446" s="66"/>
      <c r="S446" s="62"/>
      <c r="T446" s="5"/>
    </row>
    <row r="447" spans="1:20">
      <c r="A447" s="2" t="s">
        <v>769</v>
      </c>
      <c r="B447" s="2" t="s">
        <v>818</v>
      </c>
      <c r="C447" s="2" t="s">
        <v>104</v>
      </c>
      <c r="D447" s="16">
        <v>0</v>
      </c>
      <c r="E447" s="2" t="s">
        <v>769</v>
      </c>
      <c r="F447" s="2" t="s">
        <v>277</v>
      </c>
      <c r="G447" s="2" t="s">
        <v>819</v>
      </c>
      <c r="H447" s="17">
        <v>2179150</v>
      </c>
      <c r="I447" s="2"/>
      <c r="J447" s="2"/>
      <c r="K447" s="17">
        <v>2179150</v>
      </c>
      <c r="L447" s="17">
        <v>233480.36</v>
      </c>
      <c r="M447" s="17">
        <v>1945669.64</v>
      </c>
      <c r="N447" s="17">
        <v>2179150</v>
      </c>
      <c r="O447" s="2"/>
      <c r="P447" s="2"/>
      <c r="Q447" s="31" t="s">
        <v>69</v>
      </c>
      <c r="R447" s="66"/>
      <c r="S447" s="62"/>
      <c r="T447" s="5"/>
    </row>
    <row r="448" spans="1:20">
      <c r="A448" s="2" t="s">
        <v>1372</v>
      </c>
      <c r="B448" s="2" t="s">
        <v>1393</v>
      </c>
      <c r="C448" s="2" t="s">
        <v>104</v>
      </c>
      <c r="D448" s="16">
        <v>0</v>
      </c>
      <c r="E448" s="2" t="s">
        <v>1372</v>
      </c>
      <c r="F448" s="2" t="s">
        <v>277</v>
      </c>
      <c r="G448" s="2" t="s">
        <v>1394</v>
      </c>
      <c r="H448" s="17">
        <v>2179150</v>
      </c>
      <c r="I448" s="2"/>
      <c r="J448" s="2"/>
      <c r="K448" s="17">
        <v>2179150</v>
      </c>
      <c r="L448" s="17">
        <v>233480.36</v>
      </c>
      <c r="M448" s="17">
        <v>1945669.64</v>
      </c>
      <c r="N448" s="17">
        <v>2179150</v>
      </c>
      <c r="O448" s="2"/>
      <c r="P448" s="2"/>
      <c r="Q448" s="31" t="s">
        <v>69</v>
      </c>
      <c r="R448" s="66"/>
      <c r="S448" s="62"/>
      <c r="T448" s="5"/>
    </row>
    <row r="449" spans="1:20">
      <c r="A449" s="2" t="s">
        <v>1372</v>
      </c>
      <c r="B449" s="2" t="s">
        <v>1411</v>
      </c>
      <c r="C449" s="2" t="s">
        <v>104</v>
      </c>
      <c r="D449" s="16">
        <v>0</v>
      </c>
      <c r="E449" s="2" t="s">
        <v>1372</v>
      </c>
      <c r="F449" s="2" t="s">
        <v>277</v>
      </c>
      <c r="G449" s="2" t="s">
        <v>1412</v>
      </c>
      <c r="H449" s="17">
        <v>1815950</v>
      </c>
      <c r="I449" s="2"/>
      <c r="J449" s="2"/>
      <c r="K449" s="17">
        <v>1815950</v>
      </c>
      <c r="L449" s="17">
        <v>194566.07</v>
      </c>
      <c r="M449" s="17">
        <v>1621383.93</v>
      </c>
      <c r="N449" s="17">
        <v>1815950</v>
      </c>
      <c r="O449" s="2"/>
      <c r="P449" s="2"/>
      <c r="Q449" s="31" t="s">
        <v>69</v>
      </c>
      <c r="R449" s="65"/>
      <c r="S449" s="62"/>
      <c r="T449" s="5"/>
    </row>
    <row r="450" spans="1:20">
      <c r="A450" s="2" t="s">
        <v>199</v>
      </c>
      <c r="B450" s="2" t="s">
        <v>252</v>
      </c>
      <c r="C450" s="2" t="s">
        <v>68</v>
      </c>
      <c r="D450" s="16">
        <v>60</v>
      </c>
      <c r="E450" s="2" t="s">
        <v>200</v>
      </c>
      <c r="F450" s="2" t="s">
        <v>253</v>
      </c>
      <c r="G450" s="2" t="s">
        <v>254</v>
      </c>
      <c r="H450" s="17">
        <v>219190</v>
      </c>
      <c r="I450" s="2"/>
      <c r="J450" s="2"/>
      <c r="K450" s="17">
        <v>219190</v>
      </c>
      <c r="L450" s="17">
        <v>23484.639999999999</v>
      </c>
      <c r="M450" s="17">
        <v>195705.36</v>
      </c>
      <c r="N450" s="17">
        <v>219190</v>
      </c>
      <c r="O450" s="2"/>
      <c r="P450" s="2"/>
      <c r="Q450" s="31" t="s">
        <v>69</v>
      </c>
      <c r="R450" s="64">
        <f>+K450+K451+K452+K453+K454+K455</f>
        <v>2176670</v>
      </c>
      <c r="S450" s="62"/>
      <c r="T450" s="5"/>
    </row>
    <row r="451" spans="1:20">
      <c r="A451" s="2" t="s">
        <v>199</v>
      </c>
      <c r="B451" s="2" t="s">
        <v>255</v>
      </c>
      <c r="C451" s="2" t="s">
        <v>68</v>
      </c>
      <c r="D451" s="16">
        <v>60</v>
      </c>
      <c r="E451" s="2" t="s">
        <v>200</v>
      </c>
      <c r="F451" s="2" t="s">
        <v>253</v>
      </c>
      <c r="G451" s="2" t="s">
        <v>256</v>
      </c>
      <c r="H451" s="17">
        <v>255015</v>
      </c>
      <c r="I451" s="2"/>
      <c r="J451" s="2"/>
      <c r="K451" s="17">
        <v>255015</v>
      </c>
      <c r="L451" s="17">
        <v>27323.040000000001</v>
      </c>
      <c r="M451" s="17">
        <v>227691.96</v>
      </c>
      <c r="N451" s="17">
        <v>255015</v>
      </c>
      <c r="O451" s="2"/>
      <c r="P451" s="2"/>
      <c r="Q451" s="31" t="s">
        <v>69</v>
      </c>
      <c r="R451" s="66"/>
      <c r="S451" s="62"/>
      <c r="T451" s="5"/>
    </row>
    <row r="452" spans="1:20">
      <c r="A452" s="2" t="s">
        <v>199</v>
      </c>
      <c r="B452" s="2" t="s">
        <v>257</v>
      </c>
      <c r="C452" s="2" t="s">
        <v>68</v>
      </c>
      <c r="D452" s="16">
        <v>60</v>
      </c>
      <c r="E452" s="2" t="s">
        <v>200</v>
      </c>
      <c r="F452" s="2" t="s">
        <v>253</v>
      </c>
      <c r="G452" s="2" t="s">
        <v>258</v>
      </c>
      <c r="H452" s="17">
        <v>264015</v>
      </c>
      <c r="I452" s="2"/>
      <c r="J452" s="2"/>
      <c r="K452" s="17">
        <v>264015</v>
      </c>
      <c r="L452" s="17">
        <v>28287.32</v>
      </c>
      <c r="M452" s="17">
        <v>235727.68</v>
      </c>
      <c r="N452" s="17">
        <v>264015</v>
      </c>
      <c r="O452" s="2"/>
      <c r="P452" s="2"/>
      <c r="Q452" s="31" t="s">
        <v>69</v>
      </c>
      <c r="R452" s="66"/>
      <c r="S452" s="62"/>
      <c r="T452" s="5"/>
    </row>
    <row r="453" spans="1:20">
      <c r="A453" s="2" t="s">
        <v>199</v>
      </c>
      <c r="B453" s="2" t="s">
        <v>259</v>
      </c>
      <c r="C453" s="2" t="s">
        <v>68</v>
      </c>
      <c r="D453" s="16">
        <v>60</v>
      </c>
      <c r="E453" s="2" t="s">
        <v>200</v>
      </c>
      <c r="F453" s="2" t="s">
        <v>253</v>
      </c>
      <c r="G453" s="2" t="s">
        <v>260</v>
      </c>
      <c r="H453" s="17">
        <v>168550</v>
      </c>
      <c r="I453" s="2"/>
      <c r="J453" s="2"/>
      <c r="K453" s="17">
        <v>168550</v>
      </c>
      <c r="L453" s="17">
        <v>18058.93</v>
      </c>
      <c r="M453" s="17">
        <v>150491.07</v>
      </c>
      <c r="N453" s="17">
        <v>168550</v>
      </c>
      <c r="O453" s="2"/>
      <c r="P453" s="2"/>
      <c r="Q453" s="31" t="s">
        <v>69</v>
      </c>
      <c r="R453" s="66"/>
      <c r="S453" s="62"/>
      <c r="T453" s="5"/>
    </row>
    <row r="454" spans="1:20">
      <c r="A454" s="2" t="s">
        <v>199</v>
      </c>
      <c r="B454" s="2" t="s">
        <v>261</v>
      </c>
      <c r="C454" s="2" t="s">
        <v>68</v>
      </c>
      <c r="D454" s="16">
        <v>60</v>
      </c>
      <c r="E454" s="2" t="s">
        <v>200</v>
      </c>
      <c r="F454" s="2" t="s">
        <v>253</v>
      </c>
      <c r="G454" s="2" t="s">
        <v>262</v>
      </c>
      <c r="H454" s="17">
        <v>228290</v>
      </c>
      <c r="I454" s="2"/>
      <c r="J454" s="2"/>
      <c r="K454" s="17">
        <v>228290</v>
      </c>
      <c r="L454" s="17">
        <v>24459.64</v>
      </c>
      <c r="M454" s="17">
        <v>203830.36</v>
      </c>
      <c r="N454" s="17">
        <v>228290</v>
      </c>
      <c r="O454" s="2"/>
      <c r="P454" s="2"/>
      <c r="Q454" s="31" t="s">
        <v>69</v>
      </c>
      <c r="R454" s="66"/>
      <c r="S454" s="62"/>
      <c r="T454" s="5"/>
    </row>
    <row r="455" spans="1:20">
      <c r="A455" s="2" t="s">
        <v>1287</v>
      </c>
      <c r="B455" s="2" t="s">
        <v>1351</v>
      </c>
      <c r="C455" s="2" t="s">
        <v>151</v>
      </c>
      <c r="D455" s="16">
        <v>60</v>
      </c>
      <c r="E455" s="2" t="s">
        <v>1331</v>
      </c>
      <c r="F455" s="2" t="s">
        <v>253</v>
      </c>
      <c r="G455" s="2" t="s">
        <v>1352</v>
      </c>
      <c r="H455" s="17">
        <v>1041610</v>
      </c>
      <c r="I455" s="2"/>
      <c r="J455" s="2"/>
      <c r="K455" s="17">
        <v>1041610</v>
      </c>
      <c r="L455" s="17">
        <v>111601.07</v>
      </c>
      <c r="M455" s="17">
        <v>930008.93</v>
      </c>
      <c r="N455" s="17">
        <v>1041610</v>
      </c>
      <c r="O455" s="2"/>
      <c r="P455" s="2"/>
      <c r="Q455" s="31" t="s">
        <v>69</v>
      </c>
      <c r="R455" s="65"/>
      <c r="S455" s="62"/>
      <c r="T455" s="5"/>
    </row>
    <row r="456" spans="1:20">
      <c r="A456" s="2" t="s">
        <v>368</v>
      </c>
      <c r="B456" s="2" t="s">
        <v>419</v>
      </c>
      <c r="C456" s="2" t="s">
        <v>73</v>
      </c>
      <c r="D456" s="16">
        <v>30</v>
      </c>
      <c r="E456" s="2" t="s">
        <v>370</v>
      </c>
      <c r="F456" s="2" t="s">
        <v>420</v>
      </c>
      <c r="G456" s="2" t="s">
        <v>421</v>
      </c>
      <c r="H456" s="17">
        <v>140025</v>
      </c>
      <c r="I456" s="2"/>
      <c r="J456" s="17">
        <v>25000</v>
      </c>
      <c r="K456" s="17">
        <f>165025-J456</f>
        <v>140025</v>
      </c>
      <c r="L456" s="17">
        <v>17681.25</v>
      </c>
      <c r="M456" s="17">
        <v>147343.75</v>
      </c>
      <c r="N456" s="17">
        <v>165025</v>
      </c>
      <c r="O456" s="2"/>
      <c r="P456" s="2" t="s">
        <v>1771</v>
      </c>
      <c r="Q456" s="31" t="s">
        <v>69</v>
      </c>
      <c r="R456" s="41">
        <f>+K456</f>
        <v>140025</v>
      </c>
      <c r="S456" s="62"/>
      <c r="T456" s="5"/>
    </row>
    <row r="457" spans="1:20">
      <c r="A457" s="2" t="s">
        <v>1467</v>
      </c>
      <c r="B457" s="2" t="s">
        <v>1517</v>
      </c>
      <c r="C457" s="2" t="s">
        <v>151</v>
      </c>
      <c r="D457" s="16">
        <v>60</v>
      </c>
      <c r="E457" s="2" t="s">
        <v>1495</v>
      </c>
      <c r="F457" s="2" t="s">
        <v>1518</v>
      </c>
      <c r="G457" s="2" t="s">
        <v>1519</v>
      </c>
      <c r="H457" s="17">
        <v>159600</v>
      </c>
      <c r="I457" s="2"/>
      <c r="J457" s="2"/>
      <c r="K457" s="17">
        <v>159600</v>
      </c>
      <c r="L457" s="17">
        <v>17100</v>
      </c>
      <c r="M457" s="17">
        <v>142500</v>
      </c>
      <c r="N457" s="17">
        <v>159600</v>
      </c>
      <c r="O457" s="2"/>
      <c r="P457" s="2"/>
      <c r="Q457" s="31" t="s">
        <v>69</v>
      </c>
      <c r="R457" s="64">
        <f>+K457+K458</f>
        <v>390600</v>
      </c>
      <c r="S457" s="62"/>
      <c r="T457" s="5"/>
    </row>
    <row r="458" spans="1:20">
      <c r="A458" s="2" t="s">
        <v>1553</v>
      </c>
      <c r="B458" s="2" t="s">
        <v>1556</v>
      </c>
      <c r="C458" s="2" t="s">
        <v>151</v>
      </c>
      <c r="D458" s="16">
        <v>60</v>
      </c>
      <c r="E458" s="2" t="s">
        <v>1557</v>
      </c>
      <c r="F458" s="2" t="s">
        <v>1518</v>
      </c>
      <c r="G458" s="2" t="s">
        <v>1558</v>
      </c>
      <c r="H458" s="17">
        <v>231000</v>
      </c>
      <c r="I458" s="2"/>
      <c r="J458" s="2"/>
      <c r="K458" s="17">
        <v>231000</v>
      </c>
      <c r="L458" s="17">
        <v>24750</v>
      </c>
      <c r="M458" s="17">
        <v>206250</v>
      </c>
      <c r="N458" s="17">
        <v>231000</v>
      </c>
      <c r="O458" s="2"/>
      <c r="P458" s="2"/>
      <c r="Q458" s="31" t="s">
        <v>69</v>
      </c>
      <c r="R458" s="65"/>
      <c r="S458" s="62"/>
      <c r="T458" s="5"/>
    </row>
    <row r="459" spans="1:20">
      <c r="A459" s="2" t="s">
        <v>769</v>
      </c>
      <c r="B459" s="2" t="s">
        <v>778</v>
      </c>
      <c r="C459" s="2" t="s">
        <v>779</v>
      </c>
      <c r="D459" s="16">
        <v>0</v>
      </c>
      <c r="E459" s="2" t="s">
        <v>769</v>
      </c>
      <c r="F459" s="2" t="s">
        <v>780</v>
      </c>
      <c r="G459" s="2" t="s">
        <v>781</v>
      </c>
      <c r="H459" s="17">
        <v>443290</v>
      </c>
      <c r="I459" s="2"/>
      <c r="J459" s="2"/>
      <c r="K459" s="17">
        <v>443290</v>
      </c>
      <c r="L459" s="17">
        <v>47495.360000000001</v>
      </c>
      <c r="M459" s="17">
        <v>395794.64</v>
      </c>
      <c r="N459" s="17">
        <v>443290</v>
      </c>
      <c r="O459" s="2"/>
      <c r="P459" s="2"/>
      <c r="Q459" s="31" t="s">
        <v>69</v>
      </c>
      <c r="R459" s="64">
        <f>+K459+K460+K461+K462</f>
        <v>1492153</v>
      </c>
      <c r="S459" s="62"/>
      <c r="T459" s="5"/>
    </row>
    <row r="460" spans="1:20">
      <c r="A460" s="2" t="s">
        <v>769</v>
      </c>
      <c r="B460" s="2" t="s">
        <v>782</v>
      </c>
      <c r="C460" s="2" t="s">
        <v>779</v>
      </c>
      <c r="D460" s="16">
        <v>0</v>
      </c>
      <c r="E460" s="2" t="s">
        <v>769</v>
      </c>
      <c r="F460" s="2" t="s">
        <v>780</v>
      </c>
      <c r="G460" s="2" t="s">
        <v>783</v>
      </c>
      <c r="H460" s="17">
        <v>353465</v>
      </c>
      <c r="I460" s="2"/>
      <c r="J460" s="2"/>
      <c r="K460" s="17">
        <v>353465</v>
      </c>
      <c r="L460" s="17">
        <v>37871.25</v>
      </c>
      <c r="M460" s="17">
        <v>315593.75</v>
      </c>
      <c r="N460" s="17">
        <v>353465</v>
      </c>
      <c r="O460" s="2"/>
      <c r="P460" s="2"/>
      <c r="Q460" s="31" t="s">
        <v>69</v>
      </c>
      <c r="R460" s="66"/>
      <c r="S460" s="62"/>
      <c r="T460" s="5"/>
    </row>
    <row r="461" spans="1:20">
      <c r="A461" s="2" t="s">
        <v>769</v>
      </c>
      <c r="B461" s="2" t="s">
        <v>784</v>
      </c>
      <c r="C461" s="2" t="s">
        <v>779</v>
      </c>
      <c r="D461" s="16">
        <v>0</v>
      </c>
      <c r="E461" s="2" t="s">
        <v>769</v>
      </c>
      <c r="F461" s="2" t="s">
        <v>780</v>
      </c>
      <c r="G461" s="2" t="s">
        <v>785</v>
      </c>
      <c r="H461" s="17">
        <v>94498</v>
      </c>
      <c r="I461" s="2"/>
      <c r="J461" s="2"/>
      <c r="K461" s="17">
        <v>94498</v>
      </c>
      <c r="L461" s="17">
        <v>10124.790000000001</v>
      </c>
      <c r="M461" s="17">
        <v>84373.21</v>
      </c>
      <c r="N461" s="17">
        <v>94498</v>
      </c>
      <c r="O461" s="2"/>
      <c r="P461" s="2"/>
      <c r="Q461" s="31" t="s">
        <v>69</v>
      </c>
      <c r="R461" s="66"/>
      <c r="S461" s="62"/>
      <c r="T461" s="5"/>
    </row>
    <row r="462" spans="1:20">
      <c r="A462" s="2" t="s">
        <v>915</v>
      </c>
      <c r="B462" s="2" t="s">
        <v>968</v>
      </c>
      <c r="C462" s="2" t="s">
        <v>779</v>
      </c>
      <c r="D462" s="16">
        <v>0</v>
      </c>
      <c r="E462" s="2" t="s">
        <v>915</v>
      </c>
      <c r="F462" s="2" t="s">
        <v>780</v>
      </c>
      <c r="G462" s="2" t="s">
        <v>969</v>
      </c>
      <c r="H462" s="17">
        <v>600900</v>
      </c>
      <c r="I462" s="2"/>
      <c r="J462" s="2"/>
      <c r="K462" s="17">
        <v>600900</v>
      </c>
      <c r="L462" s="17">
        <v>64382.14</v>
      </c>
      <c r="M462" s="17">
        <v>536517.86</v>
      </c>
      <c r="N462" s="17">
        <v>600900</v>
      </c>
      <c r="O462" s="2"/>
      <c r="P462" s="2"/>
      <c r="Q462" s="31" t="s">
        <v>69</v>
      </c>
      <c r="R462" s="65"/>
      <c r="S462" s="62"/>
      <c r="T462" s="5"/>
    </row>
    <row r="463" spans="1:20">
      <c r="A463" s="2" t="s">
        <v>971</v>
      </c>
      <c r="B463" s="2" t="s">
        <v>1024</v>
      </c>
      <c r="C463" s="2" t="s">
        <v>151</v>
      </c>
      <c r="D463" s="16">
        <v>60</v>
      </c>
      <c r="E463" s="2" t="s">
        <v>991</v>
      </c>
      <c r="F463" s="2" t="s">
        <v>1025</v>
      </c>
      <c r="G463" s="2" t="s">
        <v>1026</v>
      </c>
      <c r="H463" s="17">
        <v>28145</v>
      </c>
      <c r="I463" s="2"/>
      <c r="J463" s="2"/>
      <c r="K463" s="17">
        <v>28145</v>
      </c>
      <c r="L463" s="17">
        <v>3015.54</v>
      </c>
      <c r="M463" s="17">
        <v>25129.46</v>
      </c>
      <c r="N463" s="17">
        <v>28145</v>
      </c>
      <c r="O463" s="2"/>
      <c r="P463" s="2"/>
      <c r="Q463" s="31" t="s">
        <v>69</v>
      </c>
      <c r="R463" s="64">
        <f>+K463+K464+K465+K466+K467</f>
        <v>323130</v>
      </c>
      <c r="S463" s="62"/>
      <c r="T463" s="5"/>
    </row>
    <row r="464" spans="1:20">
      <c r="A464" s="2" t="s">
        <v>971</v>
      </c>
      <c r="B464" s="2" t="s">
        <v>1027</v>
      </c>
      <c r="C464" s="2" t="s">
        <v>151</v>
      </c>
      <c r="D464" s="16">
        <v>60</v>
      </c>
      <c r="E464" s="2" t="s">
        <v>991</v>
      </c>
      <c r="F464" s="2" t="s">
        <v>1025</v>
      </c>
      <c r="G464" s="2" t="s">
        <v>1028</v>
      </c>
      <c r="H464" s="17">
        <v>54780</v>
      </c>
      <c r="I464" s="2"/>
      <c r="J464" s="2"/>
      <c r="K464" s="17">
        <v>54780</v>
      </c>
      <c r="L464" s="17">
        <v>5869.29</v>
      </c>
      <c r="M464" s="17">
        <v>48910.71</v>
      </c>
      <c r="N464" s="17">
        <v>54780</v>
      </c>
      <c r="O464" s="2"/>
      <c r="P464" s="2"/>
      <c r="Q464" s="31" t="s">
        <v>69</v>
      </c>
      <c r="R464" s="66"/>
      <c r="S464" s="62"/>
      <c r="T464" s="5"/>
    </row>
    <row r="465" spans="1:20">
      <c r="A465" s="2" t="s">
        <v>971</v>
      </c>
      <c r="B465" s="2" t="s">
        <v>1029</v>
      </c>
      <c r="C465" s="2" t="s">
        <v>151</v>
      </c>
      <c r="D465" s="16">
        <v>60</v>
      </c>
      <c r="E465" s="2" t="s">
        <v>991</v>
      </c>
      <c r="F465" s="2" t="s">
        <v>1025</v>
      </c>
      <c r="G465" s="2" t="s">
        <v>1030</v>
      </c>
      <c r="H465" s="17">
        <v>21925</v>
      </c>
      <c r="I465" s="2"/>
      <c r="J465" s="2"/>
      <c r="K465" s="17">
        <v>21925</v>
      </c>
      <c r="L465" s="17">
        <v>2349.11</v>
      </c>
      <c r="M465" s="17">
        <v>19575.89</v>
      </c>
      <c r="N465" s="17">
        <v>21925</v>
      </c>
      <c r="O465" s="2"/>
      <c r="P465" s="2"/>
      <c r="Q465" s="31" t="s">
        <v>69</v>
      </c>
      <c r="R465" s="66"/>
      <c r="S465" s="62"/>
      <c r="T465" s="5"/>
    </row>
    <row r="466" spans="1:20">
      <c r="A466" s="2" t="s">
        <v>971</v>
      </c>
      <c r="B466" s="2" t="s">
        <v>1031</v>
      </c>
      <c r="C466" s="2" t="s">
        <v>237</v>
      </c>
      <c r="D466" s="16">
        <v>60</v>
      </c>
      <c r="E466" s="2" t="s">
        <v>991</v>
      </c>
      <c r="F466" s="2" t="s">
        <v>1025</v>
      </c>
      <c r="G466" s="2" t="s">
        <v>1032</v>
      </c>
      <c r="H466" s="17">
        <v>98130</v>
      </c>
      <c r="I466" s="2"/>
      <c r="J466" s="2"/>
      <c r="K466" s="17">
        <v>98130</v>
      </c>
      <c r="L466" s="17">
        <v>10513.93</v>
      </c>
      <c r="M466" s="17">
        <v>87616.07</v>
      </c>
      <c r="N466" s="17">
        <v>98130</v>
      </c>
      <c r="O466" s="2"/>
      <c r="P466" s="2"/>
      <c r="Q466" s="31" t="s">
        <v>69</v>
      </c>
      <c r="R466" s="66"/>
      <c r="S466" s="62"/>
      <c r="T466" s="5"/>
    </row>
    <row r="467" spans="1:20">
      <c r="A467" s="2" t="s">
        <v>1372</v>
      </c>
      <c r="B467" s="2" t="s">
        <v>1450</v>
      </c>
      <c r="C467" s="2" t="s">
        <v>68</v>
      </c>
      <c r="D467" s="16">
        <v>60</v>
      </c>
      <c r="E467" s="2" t="s">
        <v>1373</v>
      </c>
      <c r="F467" s="2" t="s">
        <v>1025</v>
      </c>
      <c r="G467" s="2" t="s">
        <v>1451</v>
      </c>
      <c r="H467" s="17">
        <v>120150</v>
      </c>
      <c r="I467" s="2"/>
      <c r="J467" s="2"/>
      <c r="K467" s="17">
        <v>120150</v>
      </c>
      <c r="L467" s="17">
        <v>12873.21</v>
      </c>
      <c r="M467" s="17">
        <v>107276.79</v>
      </c>
      <c r="N467" s="17">
        <v>120150</v>
      </c>
      <c r="O467" s="2"/>
      <c r="P467" s="2"/>
      <c r="Q467" s="31" t="s">
        <v>69</v>
      </c>
      <c r="R467" s="65"/>
      <c r="S467" s="62"/>
      <c r="T467" s="5"/>
    </row>
    <row r="468" spans="1:20">
      <c r="A468" s="2" t="s">
        <v>282</v>
      </c>
      <c r="B468" s="2" t="s">
        <v>302</v>
      </c>
      <c r="C468" s="2" t="s">
        <v>237</v>
      </c>
      <c r="D468" s="16">
        <v>60</v>
      </c>
      <c r="E468" s="2" t="s">
        <v>286</v>
      </c>
      <c r="F468" s="2" t="s">
        <v>303</v>
      </c>
      <c r="G468" s="2" t="s">
        <v>304</v>
      </c>
      <c r="H468" s="17">
        <v>112895</v>
      </c>
      <c r="I468" s="2"/>
      <c r="J468" s="2"/>
      <c r="K468" s="17">
        <v>112895</v>
      </c>
      <c r="L468" s="17">
        <v>12095.89</v>
      </c>
      <c r="M468" s="17">
        <v>100799.11</v>
      </c>
      <c r="N468" s="17">
        <v>112895</v>
      </c>
      <c r="O468" s="2"/>
      <c r="P468" s="2"/>
      <c r="Q468" s="31" t="s">
        <v>69</v>
      </c>
      <c r="R468" s="64">
        <f>+K468+K469+K470+K471+K472+K473+K474</f>
        <v>938248</v>
      </c>
      <c r="S468" s="62"/>
      <c r="T468" s="5"/>
    </row>
    <row r="469" spans="1:20">
      <c r="A469" s="2" t="s">
        <v>282</v>
      </c>
      <c r="B469" s="2" t="s">
        <v>305</v>
      </c>
      <c r="C469" s="2" t="s">
        <v>237</v>
      </c>
      <c r="D469" s="16">
        <v>60</v>
      </c>
      <c r="E469" s="2" t="s">
        <v>286</v>
      </c>
      <c r="F469" s="2" t="s">
        <v>303</v>
      </c>
      <c r="G469" s="2" t="s">
        <v>306</v>
      </c>
      <c r="H469" s="17">
        <v>300000</v>
      </c>
      <c r="I469" s="2"/>
      <c r="J469" s="2"/>
      <c r="K469" s="17">
        <v>300000</v>
      </c>
      <c r="L469" s="17">
        <v>32142.86</v>
      </c>
      <c r="M469" s="17">
        <v>267857.14</v>
      </c>
      <c r="N469" s="17">
        <v>300000</v>
      </c>
      <c r="O469" s="2"/>
      <c r="P469" s="2"/>
      <c r="Q469" s="31" t="s">
        <v>69</v>
      </c>
      <c r="R469" s="66"/>
      <c r="S469" s="62"/>
      <c r="T469" s="5"/>
    </row>
    <row r="470" spans="1:20">
      <c r="A470" s="2" t="s">
        <v>282</v>
      </c>
      <c r="B470" s="2" t="s">
        <v>307</v>
      </c>
      <c r="C470" s="2" t="s">
        <v>237</v>
      </c>
      <c r="D470" s="16">
        <v>60</v>
      </c>
      <c r="E470" s="2" t="s">
        <v>286</v>
      </c>
      <c r="F470" s="2" t="s">
        <v>303</v>
      </c>
      <c r="G470" s="2" t="s">
        <v>308</v>
      </c>
      <c r="H470" s="17">
        <v>120000</v>
      </c>
      <c r="I470" s="2"/>
      <c r="J470" s="2"/>
      <c r="K470" s="17">
        <v>120000</v>
      </c>
      <c r="L470" s="17">
        <v>12857.14</v>
      </c>
      <c r="M470" s="17">
        <v>107142.86</v>
      </c>
      <c r="N470" s="17">
        <v>120000</v>
      </c>
      <c r="O470" s="2"/>
      <c r="P470" s="2"/>
      <c r="Q470" s="31" t="s">
        <v>69</v>
      </c>
      <c r="R470" s="66"/>
      <c r="S470" s="62"/>
      <c r="T470" s="5"/>
    </row>
    <row r="471" spans="1:20">
      <c r="A471" s="2" t="s">
        <v>282</v>
      </c>
      <c r="B471" s="2" t="s">
        <v>309</v>
      </c>
      <c r="C471" s="2" t="s">
        <v>237</v>
      </c>
      <c r="D471" s="16">
        <v>60</v>
      </c>
      <c r="E471" s="2" t="s">
        <v>286</v>
      </c>
      <c r="F471" s="2" t="s">
        <v>303</v>
      </c>
      <c r="G471" s="2" t="s">
        <v>310</v>
      </c>
      <c r="H471" s="17">
        <v>24000</v>
      </c>
      <c r="I471" s="2"/>
      <c r="J471" s="2"/>
      <c r="K471" s="17">
        <v>24000</v>
      </c>
      <c r="L471" s="17">
        <v>2571.4299999999998</v>
      </c>
      <c r="M471" s="17">
        <v>21428.57</v>
      </c>
      <c r="N471" s="17">
        <v>24000</v>
      </c>
      <c r="O471" s="2"/>
      <c r="P471" s="2"/>
      <c r="Q471" s="31" t="s">
        <v>69</v>
      </c>
      <c r="R471" s="66"/>
      <c r="S471" s="62"/>
      <c r="T471" s="5"/>
    </row>
    <row r="472" spans="1:20">
      <c r="A472" s="2" t="s">
        <v>769</v>
      </c>
      <c r="B472" s="2" t="s">
        <v>768</v>
      </c>
      <c r="C472" s="2" t="s">
        <v>237</v>
      </c>
      <c r="D472" s="16">
        <v>60</v>
      </c>
      <c r="E472" s="2" t="s">
        <v>770</v>
      </c>
      <c r="F472" s="2" t="s">
        <v>303</v>
      </c>
      <c r="G472" s="2" t="s">
        <v>771</v>
      </c>
      <c r="H472" s="17">
        <v>113650</v>
      </c>
      <c r="I472" s="2"/>
      <c r="J472" s="2"/>
      <c r="K472" s="17">
        <v>113650</v>
      </c>
      <c r="L472" s="17">
        <v>12176.79</v>
      </c>
      <c r="M472" s="17">
        <v>101473.21</v>
      </c>
      <c r="N472" s="17">
        <v>113650</v>
      </c>
      <c r="O472" s="2"/>
      <c r="P472" s="2"/>
      <c r="Q472" s="31" t="s">
        <v>69</v>
      </c>
      <c r="R472" s="66"/>
      <c r="S472" s="62"/>
      <c r="T472" s="5"/>
    </row>
    <row r="473" spans="1:20">
      <c r="A473" s="2" t="s">
        <v>769</v>
      </c>
      <c r="B473" s="2" t="s">
        <v>772</v>
      </c>
      <c r="C473" s="2" t="s">
        <v>237</v>
      </c>
      <c r="D473" s="16">
        <v>60</v>
      </c>
      <c r="E473" s="2" t="s">
        <v>770</v>
      </c>
      <c r="F473" s="2" t="s">
        <v>303</v>
      </c>
      <c r="G473" s="2" t="s">
        <v>773</v>
      </c>
      <c r="H473" s="17">
        <v>113650</v>
      </c>
      <c r="I473" s="2"/>
      <c r="J473" s="2"/>
      <c r="K473" s="17">
        <v>113650</v>
      </c>
      <c r="L473" s="17">
        <v>12176.79</v>
      </c>
      <c r="M473" s="17">
        <v>101473.21</v>
      </c>
      <c r="N473" s="17">
        <v>113650</v>
      </c>
      <c r="O473" s="2"/>
      <c r="P473" s="2"/>
      <c r="Q473" s="31" t="s">
        <v>69</v>
      </c>
      <c r="R473" s="66"/>
      <c r="S473" s="62"/>
      <c r="T473" s="5"/>
    </row>
    <row r="474" spans="1:20">
      <c r="A474" s="2" t="s">
        <v>769</v>
      </c>
      <c r="B474" s="2" t="s">
        <v>774</v>
      </c>
      <c r="C474" s="2" t="s">
        <v>237</v>
      </c>
      <c r="D474" s="16">
        <v>60</v>
      </c>
      <c r="E474" s="2" t="s">
        <v>770</v>
      </c>
      <c r="F474" s="2" t="s">
        <v>303</v>
      </c>
      <c r="G474" s="2" t="s">
        <v>775</v>
      </c>
      <c r="H474" s="17">
        <v>154053</v>
      </c>
      <c r="I474" s="2"/>
      <c r="J474" s="2"/>
      <c r="K474" s="17">
        <v>154053</v>
      </c>
      <c r="L474" s="17">
        <v>16505.68</v>
      </c>
      <c r="M474" s="17">
        <v>137547.32</v>
      </c>
      <c r="N474" s="17">
        <v>154053</v>
      </c>
      <c r="O474" s="2"/>
      <c r="P474" s="2"/>
      <c r="Q474" s="31" t="s">
        <v>69</v>
      </c>
      <c r="R474" s="65"/>
      <c r="S474" s="62"/>
      <c r="T474" s="5"/>
    </row>
    <row r="475" spans="1:20">
      <c r="A475" s="2" t="s">
        <v>866</v>
      </c>
      <c r="B475" s="2" t="s">
        <v>884</v>
      </c>
      <c r="C475" s="2" t="s">
        <v>146</v>
      </c>
      <c r="D475" s="16">
        <v>90</v>
      </c>
      <c r="E475" s="2" t="s">
        <v>885</v>
      </c>
      <c r="F475" s="2" t="s">
        <v>886</v>
      </c>
      <c r="G475" s="2" t="s">
        <v>887</v>
      </c>
      <c r="H475" s="17">
        <v>169280</v>
      </c>
      <c r="I475" s="2"/>
      <c r="J475" s="2"/>
      <c r="K475" s="17">
        <v>169280</v>
      </c>
      <c r="L475" s="17">
        <v>18137.14</v>
      </c>
      <c r="M475" s="17">
        <v>151142.85999999999</v>
      </c>
      <c r="N475" s="17">
        <v>169280</v>
      </c>
      <c r="O475" s="2"/>
      <c r="P475" s="2"/>
      <c r="Q475" s="31" t="s">
        <v>69</v>
      </c>
      <c r="R475" s="41">
        <f>+K475</f>
        <v>169280</v>
      </c>
      <c r="S475" s="62"/>
      <c r="T475" s="5"/>
    </row>
    <row r="476" spans="1:20">
      <c r="A476" s="2" t="s">
        <v>689</v>
      </c>
      <c r="B476" s="2" t="s">
        <v>696</v>
      </c>
      <c r="C476" s="2" t="s">
        <v>34</v>
      </c>
      <c r="D476" s="16">
        <v>60</v>
      </c>
      <c r="E476" s="2" t="s">
        <v>692</v>
      </c>
      <c r="F476" s="2" t="s">
        <v>697</v>
      </c>
      <c r="G476" s="2" t="s">
        <v>698</v>
      </c>
      <c r="H476" s="17">
        <v>167725</v>
      </c>
      <c r="I476" s="2"/>
      <c r="J476" s="2"/>
      <c r="K476" s="17">
        <v>167725</v>
      </c>
      <c r="L476" s="17">
        <v>17970.54</v>
      </c>
      <c r="M476" s="17">
        <v>149754.46</v>
      </c>
      <c r="N476" s="17">
        <v>167725</v>
      </c>
      <c r="O476" s="2"/>
      <c r="P476" s="2"/>
      <c r="Q476" s="31" t="s">
        <v>69</v>
      </c>
      <c r="R476" s="64">
        <f>+K476+K477</f>
        <v>216905</v>
      </c>
      <c r="S476" s="62"/>
      <c r="T476" s="5"/>
    </row>
    <row r="477" spans="1:20">
      <c r="A477" s="2" t="s">
        <v>1117</v>
      </c>
      <c r="B477" s="2" t="s">
        <v>1202</v>
      </c>
      <c r="C477" s="2" t="s">
        <v>34</v>
      </c>
      <c r="D477" s="16">
        <v>60</v>
      </c>
      <c r="E477" s="2" t="s">
        <v>1139</v>
      </c>
      <c r="F477" s="2" t="s">
        <v>697</v>
      </c>
      <c r="G477" s="2" t="s">
        <v>1203</v>
      </c>
      <c r="H477" s="17">
        <v>49180</v>
      </c>
      <c r="I477" s="2"/>
      <c r="J477" s="2"/>
      <c r="K477" s="17">
        <v>49180</v>
      </c>
      <c r="L477" s="17">
        <v>5269.29</v>
      </c>
      <c r="M477" s="17">
        <v>43910.71</v>
      </c>
      <c r="N477" s="17">
        <v>49180</v>
      </c>
      <c r="O477" s="2"/>
      <c r="P477" s="2"/>
      <c r="Q477" s="31" t="s">
        <v>69</v>
      </c>
      <c r="R477" s="65"/>
      <c r="S477" s="62"/>
      <c r="T477" s="5"/>
    </row>
    <row r="478" spans="1:20">
      <c r="A478" s="2" t="s">
        <v>1372</v>
      </c>
      <c r="B478" s="2" t="s">
        <v>1395</v>
      </c>
      <c r="C478" s="2" t="s">
        <v>54</v>
      </c>
      <c r="D478" s="16">
        <v>90</v>
      </c>
      <c r="E478" s="2" t="s">
        <v>1376</v>
      </c>
      <c r="F478" s="2" t="s">
        <v>1396</v>
      </c>
      <c r="G478" s="2" t="s">
        <v>1397</v>
      </c>
      <c r="H478" s="17">
        <v>412500</v>
      </c>
      <c r="I478" s="2"/>
      <c r="J478" s="2"/>
      <c r="K478" s="17">
        <v>412500</v>
      </c>
      <c r="L478" s="17">
        <v>44196.43</v>
      </c>
      <c r="M478" s="17">
        <v>368303.57</v>
      </c>
      <c r="N478" s="17">
        <v>412500</v>
      </c>
      <c r="O478" s="2"/>
      <c r="P478" s="2"/>
      <c r="Q478" s="31" t="s">
        <v>69</v>
      </c>
      <c r="R478" s="41">
        <f>+K478</f>
        <v>412500</v>
      </c>
      <c r="S478" s="62"/>
      <c r="T478" s="5"/>
    </row>
    <row r="479" spans="1:20">
      <c r="A479" s="2" t="s">
        <v>637</v>
      </c>
      <c r="B479" s="2" t="s">
        <v>662</v>
      </c>
      <c r="C479" s="2" t="s">
        <v>146</v>
      </c>
      <c r="D479" s="16">
        <v>90</v>
      </c>
      <c r="E479" s="2" t="s">
        <v>655</v>
      </c>
      <c r="F479" s="2" t="s">
        <v>663</v>
      </c>
      <c r="G479" s="2" t="s">
        <v>664</v>
      </c>
      <c r="H479" s="17">
        <v>643242.6</v>
      </c>
      <c r="I479" s="2"/>
      <c r="J479" s="2"/>
      <c r="K479" s="17">
        <v>643242.6</v>
      </c>
      <c r="L479" s="17">
        <v>68918.850000000006</v>
      </c>
      <c r="M479" s="17">
        <v>574323.75</v>
      </c>
      <c r="N479" s="17">
        <v>643242.6</v>
      </c>
      <c r="O479" s="2"/>
      <c r="P479" s="2"/>
      <c r="Q479" s="31" t="s">
        <v>69</v>
      </c>
      <c r="R479" s="64">
        <f>+K479+K480</f>
        <v>1010809.8</v>
      </c>
      <c r="S479" s="62"/>
      <c r="T479" s="5"/>
    </row>
    <row r="480" spans="1:20">
      <c r="A480" s="2" t="s">
        <v>971</v>
      </c>
      <c r="B480" s="2" t="s">
        <v>1014</v>
      </c>
      <c r="C480" s="2" t="s">
        <v>146</v>
      </c>
      <c r="D480" s="16">
        <v>90</v>
      </c>
      <c r="E480" s="2" t="s">
        <v>986</v>
      </c>
      <c r="F480" s="2" t="s">
        <v>663</v>
      </c>
      <c r="G480" s="2" t="s">
        <v>1015</v>
      </c>
      <c r="H480" s="17">
        <v>367567.2</v>
      </c>
      <c r="I480" s="2"/>
      <c r="J480" s="2"/>
      <c r="K480" s="17">
        <v>367567.2</v>
      </c>
      <c r="L480" s="17">
        <v>39382.199999999997</v>
      </c>
      <c r="M480" s="17">
        <v>328185</v>
      </c>
      <c r="N480" s="17">
        <v>367567.2</v>
      </c>
      <c r="O480" s="2"/>
      <c r="P480" s="2"/>
      <c r="Q480" s="31" t="s">
        <v>69</v>
      </c>
      <c r="R480" s="65"/>
      <c r="S480" s="62"/>
      <c r="T480" s="5"/>
    </row>
    <row r="481" spans="1:20">
      <c r="A481" s="2" t="s">
        <v>769</v>
      </c>
      <c r="B481" s="2" t="s">
        <v>852</v>
      </c>
      <c r="C481" s="2" t="s">
        <v>162</v>
      </c>
      <c r="D481" s="16">
        <v>90</v>
      </c>
      <c r="E481" s="2" t="s">
        <v>815</v>
      </c>
      <c r="F481" s="2" t="s">
        <v>853</v>
      </c>
      <c r="G481" s="2" t="s">
        <v>854</v>
      </c>
      <c r="H481" s="17">
        <v>586795</v>
      </c>
      <c r="I481" s="2"/>
      <c r="J481" s="2"/>
      <c r="K481" s="17">
        <v>586795</v>
      </c>
      <c r="L481" s="17">
        <v>62870.89</v>
      </c>
      <c r="M481" s="17">
        <v>523924.11</v>
      </c>
      <c r="N481" s="17">
        <v>586795</v>
      </c>
      <c r="O481" s="2"/>
      <c r="P481" s="2"/>
      <c r="Q481" s="31" t="s">
        <v>69</v>
      </c>
      <c r="R481" s="41">
        <f>+K481</f>
        <v>586795</v>
      </c>
      <c r="S481" s="62"/>
      <c r="T481" s="5"/>
    </row>
    <row r="482" spans="1:20">
      <c r="A482" s="2" t="s">
        <v>505</v>
      </c>
      <c r="B482" s="2" t="s">
        <v>573</v>
      </c>
      <c r="C482" s="2" t="s">
        <v>68</v>
      </c>
      <c r="D482" s="16">
        <v>60</v>
      </c>
      <c r="E482" s="2" t="s">
        <v>509</v>
      </c>
      <c r="F482" s="2" t="s">
        <v>574</v>
      </c>
      <c r="G482" s="2" t="s">
        <v>575</v>
      </c>
      <c r="H482" s="17">
        <v>988600</v>
      </c>
      <c r="I482" s="2"/>
      <c r="J482" s="2"/>
      <c r="K482" s="17">
        <v>988600</v>
      </c>
      <c r="L482" s="17">
        <v>105921.43</v>
      </c>
      <c r="M482" s="17">
        <v>882678.57</v>
      </c>
      <c r="N482" s="17">
        <v>988600</v>
      </c>
      <c r="O482" s="2"/>
      <c r="P482" s="2"/>
      <c r="Q482" s="31" t="s">
        <v>69</v>
      </c>
      <c r="R482" s="64">
        <f>+K482+K483+K484+K485+K486</f>
        <v>6348560</v>
      </c>
      <c r="S482" s="62"/>
      <c r="T482" s="5"/>
    </row>
    <row r="483" spans="1:20">
      <c r="A483" s="2" t="s">
        <v>505</v>
      </c>
      <c r="B483" s="2" t="s">
        <v>591</v>
      </c>
      <c r="C483" s="2" t="s">
        <v>68</v>
      </c>
      <c r="D483" s="16">
        <v>60</v>
      </c>
      <c r="E483" s="2" t="s">
        <v>509</v>
      </c>
      <c r="F483" s="2" t="s">
        <v>574</v>
      </c>
      <c r="G483" s="2" t="s">
        <v>592</v>
      </c>
      <c r="H483" s="17">
        <v>70510</v>
      </c>
      <c r="I483" s="2"/>
      <c r="J483" s="2"/>
      <c r="K483" s="17">
        <v>70510</v>
      </c>
      <c r="L483" s="17">
        <v>7554.64</v>
      </c>
      <c r="M483" s="17">
        <v>62955.360000000001</v>
      </c>
      <c r="N483" s="17">
        <v>70510</v>
      </c>
      <c r="O483" s="2"/>
      <c r="P483" s="2"/>
      <c r="Q483" s="31" t="s">
        <v>69</v>
      </c>
      <c r="R483" s="66"/>
      <c r="S483" s="62"/>
      <c r="T483" s="5"/>
    </row>
    <row r="484" spans="1:20">
      <c r="A484" s="2" t="s">
        <v>505</v>
      </c>
      <c r="B484" s="2" t="s">
        <v>593</v>
      </c>
      <c r="C484" s="2" t="s">
        <v>68</v>
      </c>
      <c r="D484" s="16">
        <v>60</v>
      </c>
      <c r="E484" s="2" t="s">
        <v>509</v>
      </c>
      <c r="F484" s="2" t="s">
        <v>574</v>
      </c>
      <c r="G484" s="2" t="s">
        <v>594</v>
      </c>
      <c r="H484" s="17">
        <v>2221065</v>
      </c>
      <c r="I484" s="2"/>
      <c r="J484" s="2"/>
      <c r="K484" s="17">
        <v>2221065</v>
      </c>
      <c r="L484" s="17">
        <v>237971.25</v>
      </c>
      <c r="M484" s="17">
        <v>1983093.75</v>
      </c>
      <c r="N484" s="17">
        <v>2221065</v>
      </c>
      <c r="O484" s="2"/>
      <c r="P484" s="2"/>
      <c r="Q484" s="31" t="s">
        <v>69</v>
      </c>
      <c r="R484" s="66"/>
      <c r="S484" s="62"/>
      <c r="T484" s="5"/>
    </row>
    <row r="485" spans="1:20">
      <c r="A485" s="2" t="s">
        <v>866</v>
      </c>
      <c r="B485" s="2" t="s">
        <v>888</v>
      </c>
      <c r="C485" s="2" t="s">
        <v>68</v>
      </c>
      <c r="D485" s="16">
        <v>60</v>
      </c>
      <c r="E485" s="2" t="s">
        <v>873</v>
      </c>
      <c r="F485" s="2" t="s">
        <v>574</v>
      </c>
      <c r="G485" s="2" t="s">
        <v>889</v>
      </c>
      <c r="H485" s="17">
        <v>2539560</v>
      </c>
      <c r="I485" s="2"/>
      <c r="J485" s="2"/>
      <c r="K485" s="17">
        <v>2539560</v>
      </c>
      <c r="L485" s="17">
        <v>272095.71000000002</v>
      </c>
      <c r="M485" s="17">
        <v>2267464.29</v>
      </c>
      <c r="N485" s="17">
        <v>2539560</v>
      </c>
      <c r="O485" s="2"/>
      <c r="P485" s="2"/>
      <c r="Q485" s="31" t="s">
        <v>69</v>
      </c>
      <c r="R485" s="66"/>
      <c r="S485" s="62"/>
      <c r="T485" s="5"/>
    </row>
    <row r="486" spans="1:20">
      <c r="A486" s="2" t="s">
        <v>1117</v>
      </c>
      <c r="B486" s="2" t="s">
        <v>1146</v>
      </c>
      <c r="C486" s="2" t="s">
        <v>151</v>
      </c>
      <c r="D486" s="16">
        <v>60</v>
      </c>
      <c r="E486" s="2" t="s">
        <v>1139</v>
      </c>
      <c r="F486" s="2" t="s">
        <v>574</v>
      </c>
      <c r="G486" s="2" t="s">
        <v>1147</v>
      </c>
      <c r="H486" s="17">
        <v>528825</v>
      </c>
      <c r="I486" s="2"/>
      <c r="J486" s="2"/>
      <c r="K486" s="17">
        <v>528825</v>
      </c>
      <c r="L486" s="17">
        <v>56659.82</v>
      </c>
      <c r="M486" s="17">
        <v>472165.18</v>
      </c>
      <c r="N486" s="17">
        <v>528825</v>
      </c>
      <c r="O486" s="2"/>
      <c r="P486" s="2"/>
      <c r="Q486" s="31" t="s">
        <v>69</v>
      </c>
      <c r="R486" s="65"/>
      <c r="S486" s="62"/>
      <c r="T486" s="5"/>
    </row>
    <row r="487" spans="1:20">
      <c r="A487" s="2" t="s">
        <v>17</v>
      </c>
      <c r="B487" s="2" t="s">
        <v>78</v>
      </c>
      <c r="C487" s="2" t="s">
        <v>79</v>
      </c>
      <c r="D487" s="16">
        <v>30</v>
      </c>
      <c r="E487" s="2" t="s">
        <v>24</v>
      </c>
      <c r="F487" s="2" t="s">
        <v>80</v>
      </c>
      <c r="G487" s="2" t="s">
        <v>81</v>
      </c>
      <c r="H487" s="17">
        <v>23350</v>
      </c>
      <c r="I487" s="2"/>
      <c r="J487" s="2"/>
      <c r="K487" s="17">
        <v>23350</v>
      </c>
      <c r="L487" s="17">
        <v>2501.79</v>
      </c>
      <c r="M487" s="17">
        <v>20848.21</v>
      </c>
      <c r="N487" s="17">
        <v>23350</v>
      </c>
      <c r="O487" s="2"/>
      <c r="P487" s="2"/>
      <c r="Q487" s="31" t="s">
        <v>69</v>
      </c>
      <c r="R487" s="64">
        <f>+K487+K488</f>
        <v>30025</v>
      </c>
      <c r="S487" s="62"/>
      <c r="T487" s="5"/>
    </row>
    <row r="488" spans="1:20">
      <c r="A488" s="2" t="s">
        <v>17</v>
      </c>
      <c r="B488" s="2" t="s">
        <v>82</v>
      </c>
      <c r="C488" s="2" t="s">
        <v>79</v>
      </c>
      <c r="D488" s="16">
        <v>30</v>
      </c>
      <c r="E488" s="2" t="s">
        <v>24</v>
      </c>
      <c r="F488" s="2" t="s">
        <v>80</v>
      </c>
      <c r="G488" s="2" t="s">
        <v>83</v>
      </c>
      <c r="H488" s="17">
        <v>6675</v>
      </c>
      <c r="I488" s="2"/>
      <c r="J488" s="2"/>
      <c r="K488" s="17">
        <v>6675</v>
      </c>
      <c r="L488" s="18">
        <v>715.18</v>
      </c>
      <c r="M488" s="17">
        <v>5959.82</v>
      </c>
      <c r="N488" s="17">
        <v>6675</v>
      </c>
      <c r="O488" s="2"/>
      <c r="P488" s="2"/>
      <c r="Q488" s="31" t="s">
        <v>69</v>
      </c>
      <c r="R488" s="65"/>
      <c r="S488" s="62"/>
      <c r="T488" s="5"/>
    </row>
    <row r="489" spans="1:20">
      <c r="A489" s="2" t="s">
        <v>17</v>
      </c>
      <c r="B489" s="2" t="s">
        <v>67</v>
      </c>
      <c r="C489" s="2" t="s">
        <v>68</v>
      </c>
      <c r="D489" s="16">
        <v>60</v>
      </c>
      <c r="E489" s="2" t="s">
        <v>35</v>
      </c>
      <c r="F489" s="2" t="s">
        <v>70</v>
      </c>
      <c r="G489" s="2" t="s">
        <v>71</v>
      </c>
      <c r="H489" s="17">
        <v>2419200</v>
      </c>
      <c r="I489" s="2"/>
      <c r="J489" s="2"/>
      <c r="K489" s="17">
        <v>2419200</v>
      </c>
      <c r="L489" s="17">
        <v>259200</v>
      </c>
      <c r="M489" s="17">
        <v>2160000</v>
      </c>
      <c r="N489" s="17">
        <v>2419200</v>
      </c>
      <c r="O489" s="2"/>
      <c r="P489" s="2"/>
      <c r="Q489" s="31" t="s">
        <v>69</v>
      </c>
      <c r="R489" s="64">
        <f>+K489+K490+K491+K492+K493+K494+K495+K496+K497+K498+K499</f>
        <v>20938320</v>
      </c>
      <c r="S489" s="62"/>
      <c r="T489" s="5"/>
    </row>
    <row r="490" spans="1:20">
      <c r="A490" s="2" t="s">
        <v>17</v>
      </c>
      <c r="B490" s="2" t="s">
        <v>76</v>
      </c>
      <c r="C490" s="2" t="s">
        <v>68</v>
      </c>
      <c r="D490" s="16">
        <v>60</v>
      </c>
      <c r="E490" s="2" t="s">
        <v>35</v>
      </c>
      <c r="F490" s="2" t="s">
        <v>70</v>
      </c>
      <c r="G490" s="2" t="s">
        <v>77</v>
      </c>
      <c r="H490" s="17">
        <v>316320</v>
      </c>
      <c r="I490" s="2"/>
      <c r="J490" s="2"/>
      <c r="K490" s="17">
        <v>316320</v>
      </c>
      <c r="L490" s="17">
        <v>33891.43</v>
      </c>
      <c r="M490" s="17">
        <v>282428.57</v>
      </c>
      <c r="N490" s="17">
        <v>316320</v>
      </c>
      <c r="O490" s="2"/>
      <c r="P490" s="2"/>
      <c r="Q490" s="31" t="s">
        <v>69</v>
      </c>
      <c r="R490" s="66"/>
      <c r="S490" s="62"/>
      <c r="T490" s="5"/>
    </row>
    <row r="491" spans="1:20">
      <c r="A491" s="2" t="s">
        <v>199</v>
      </c>
      <c r="B491" s="2" t="s">
        <v>230</v>
      </c>
      <c r="C491" s="2" t="s">
        <v>68</v>
      </c>
      <c r="D491" s="16">
        <v>60</v>
      </c>
      <c r="E491" s="2" t="s">
        <v>200</v>
      </c>
      <c r="F491" s="2" t="s">
        <v>70</v>
      </c>
      <c r="G491" s="2" t="s">
        <v>231</v>
      </c>
      <c r="H491" s="17">
        <v>2419200</v>
      </c>
      <c r="I491" s="2"/>
      <c r="J491" s="2"/>
      <c r="K491" s="17">
        <v>2419200</v>
      </c>
      <c r="L491" s="17">
        <v>259200</v>
      </c>
      <c r="M491" s="17">
        <v>2160000</v>
      </c>
      <c r="N491" s="17">
        <v>2419200</v>
      </c>
      <c r="O491" s="2"/>
      <c r="P491" s="2"/>
      <c r="Q491" s="31" t="s">
        <v>69</v>
      </c>
      <c r="R491" s="66"/>
      <c r="S491" s="62"/>
      <c r="T491" s="5"/>
    </row>
    <row r="492" spans="1:20">
      <c r="A492" s="2" t="s">
        <v>505</v>
      </c>
      <c r="B492" s="2" t="s">
        <v>550</v>
      </c>
      <c r="C492" s="2" t="s">
        <v>68</v>
      </c>
      <c r="D492" s="16">
        <v>60</v>
      </c>
      <c r="E492" s="2" t="s">
        <v>509</v>
      </c>
      <c r="F492" s="2" t="s">
        <v>70</v>
      </c>
      <c r="G492" s="2" t="s">
        <v>551</v>
      </c>
      <c r="H492" s="17">
        <v>2419200</v>
      </c>
      <c r="I492" s="2"/>
      <c r="J492" s="2"/>
      <c r="K492" s="17">
        <v>2419200</v>
      </c>
      <c r="L492" s="17">
        <v>259200</v>
      </c>
      <c r="M492" s="17">
        <v>2160000</v>
      </c>
      <c r="N492" s="17">
        <v>2419200</v>
      </c>
      <c r="O492" s="2"/>
      <c r="P492" s="2"/>
      <c r="Q492" s="31" t="s">
        <v>69</v>
      </c>
      <c r="R492" s="66"/>
      <c r="S492" s="62"/>
      <c r="T492" s="5"/>
    </row>
    <row r="493" spans="1:20">
      <c r="A493" s="2" t="s">
        <v>596</v>
      </c>
      <c r="B493" s="2" t="s">
        <v>630</v>
      </c>
      <c r="C493" s="2" t="s">
        <v>68</v>
      </c>
      <c r="D493" s="16">
        <v>60</v>
      </c>
      <c r="E493" s="2" t="s">
        <v>613</v>
      </c>
      <c r="F493" s="2" t="s">
        <v>70</v>
      </c>
      <c r="G493" s="2" t="s">
        <v>631</v>
      </c>
      <c r="H493" s="17">
        <v>2419200</v>
      </c>
      <c r="I493" s="2"/>
      <c r="J493" s="2"/>
      <c r="K493" s="17">
        <v>2419200</v>
      </c>
      <c r="L493" s="17">
        <v>259200</v>
      </c>
      <c r="M493" s="17">
        <v>2160000</v>
      </c>
      <c r="N493" s="17">
        <v>2419200</v>
      </c>
      <c r="O493" s="2"/>
      <c r="P493" s="2"/>
      <c r="Q493" s="31" t="s">
        <v>69</v>
      </c>
      <c r="R493" s="66"/>
      <c r="S493" s="62"/>
      <c r="T493" s="5"/>
    </row>
    <row r="494" spans="1:20">
      <c r="A494" s="2" t="s">
        <v>689</v>
      </c>
      <c r="B494" s="2" t="s">
        <v>756</v>
      </c>
      <c r="C494" s="2" t="s">
        <v>68</v>
      </c>
      <c r="D494" s="16">
        <v>60</v>
      </c>
      <c r="E494" s="2" t="s">
        <v>692</v>
      </c>
      <c r="F494" s="2" t="s">
        <v>70</v>
      </c>
      <c r="G494" s="2" t="s">
        <v>757</v>
      </c>
      <c r="H494" s="17">
        <v>2419200</v>
      </c>
      <c r="I494" s="2"/>
      <c r="J494" s="2"/>
      <c r="K494" s="17">
        <v>2419200</v>
      </c>
      <c r="L494" s="17">
        <v>259200</v>
      </c>
      <c r="M494" s="17">
        <v>2160000</v>
      </c>
      <c r="N494" s="17">
        <v>2419200</v>
      </c>
      <c r="O494" s="2"/>
      <c r="P494" s="2"/>
      <c r="Q494" s="31" t="s">
        <v>69</v>
      </c>
      <c r="R494" s="66"/>
      <c r="S494" s="62"/>
      <c r="T494" s="5"/>
    </row>
    <row r="495" spans="1:20">
      <c r="A495" s="2" t="s">
        <v>769</v>
      </c>
      <c r="B495" s="2" t="s">
        <v>850</v>
      </c>
      <c r="C495" s="2" t="s">
        <v>68</v>
      </c>
      <c r="D495" s="16">
        <v>60</v>
      </c>
      <c r="E495" s="2" t="s">
        <v>770</v>
      </c>
      <c r="F495" s="2" t="s">
        <v>70</v>
      </c>
      <c r="G495" s="2" t="s">
        <v>851</v>
      </c>
      <c r="H495" s="17">
        <v>1209600</v>
      </c>
      <c r="I495" s="2"/>
      <c r="J495" s="2"/>
      <c r="K495" s="17">
        <v>1209600</v>
      </c>
      <c r="L495" s="17">
        <v>129600</v>
      </c>
      <c r="M495" s="17">
        <v>1080000</v>
      </c>
      <c r="N495" s="17">
        <v>1209600</v>
      </c>
      <c r="O495" s="2"/>
      <c r="P495" s="2"/>
      <c r="Q495" s="31" t="s">
        <v>69</v>
      </c>
      <c r="R495" s="66"/>
      <c r="S495" s="62"/>
      <c r="T495" s="5"/>
    </row>
    <row r="496" spans="1:20">
      <c r="A496" s="2" t="s">
        <v>971</v>
      </c>
      <c r="B496" s="2" t="s">
        <v>990</v>
      </c>
      <c r="C496" s="2" t="s">
        <v>151</v>
      </c>
      <c r="D496" s="16">
        <v>60</v>
      </c>
      <c r="E496" s="2" t="s">
        <v>991</v>
      </c>
      <c r="F496" s="2" t="s">
        <v>70</v>
      </c>
      <c r="G496" s="2" t="s">
        <v>992</v>
      </c>
      <c r="H496" s="17">
        <v>58800</v>
      </c>
      <c r="I496" s="2"/>
      <c r="J496" s="2"/>
      <c r="K496" s="17">
        <v>58800</v>
      </c>
      <c r="L496" s="17">
        <v>6300</v>
      </c>
      <c r="M496" s="17">
        <v>52500</v>
      </c>
      <c r="N496" s="17">
        <v>58800</v>
      </c>
      <c r="O496" s="2"/>
      <c r="P496" s="2"/>
      <c r="Q496" s="31" t="s">
        <v>69</v>
      </c>
      <c r="R496" s="66"/>
      <c r="S496" s="62"/>
      <c r="T496" s="5"/>
    </row>
    <row r="497" spans="1:20">
      <c r="A497" s="2" t="s">
        <v>1217</v>
      </c>
      <c r="B497" s="2" t="s">
        <v>1282</v>
      </c>
      <c r="C497" s="2" t="s">
        <v>68</v>
      </c>
      <c r="D497" s="16">
        <v>60</v>
      </c>
      <c r="E497" s="2" t="s">
        <v>1223</v>
      </c>
      <c r="F497" s="2" t="s">
        <v>70</v>
      </c>
      <c r="G497" s="2" t="s">
        <v>1283</v>
      </c>
      <c r="H497" s="17">
        <v>2419200</v>
      </c>
      <c r="I497" s="2"/>
      <c r="J497" s="2"/>
      <c r="K497" s="17">
        <v>2419200</v>
      </c>
      <c r="L497" s="17">
        <v>259200</v>
      </c>
      <c r="M497" s="17">
        <v>2160000</v>
      </c>
      <c r="N497" s="17">
        <v>2419200</v>
      </c>
      <c r="O497" s="2"/>
      <c r="P497" s="2"/>
      <c r="Q497" s="31" t="s">
        <v>69</v>
      </c>
      <c r="R497" s="66"/>
      <c r="S497" s="62"/>
      <c r="T497" s="5"/>
    </row>
    <row r="498" spans="1:20">
      <c r="A498" s="2" t="s">
        <v>1467</v>
      </c>
      <c r="B498" s="2" t="s">
        <v>1550</v>
      </c>
      <c r="C498" s="2" t="s">
        <v>68</v>
      </c>
      <c r="D498" s="16">
        <v>60</v>
      </c>
      <c r="E498" s="2" t="s">
        <v>1495</v>
      </c>
      <c r="F498" s="2" t="s">
        <v>70</v>
      </c>
      <c r="G498" s="2" t="s">
        <v>1551</v>
      </c>
      <c r="H498" s="17">
        <v>2419200</v>
      </c>
      <c r="I498" s="2"/>
      <c r="J498" s="2"/>
      <c r="K498" s="17">
        <v>2419200</v>
      </c>
      <c r="L498" s="17">
        <v>259200</v>
      </c>
      <c r="M498" s="17">
        <v>2160000</v>
      </c>
      <c r="N498" s="17">
        <v>2419200</v>
      </c>
      <c r="O498" s="2"/>
      <c r="P498" s="2"/>
      <c r="Q498" s="31" t="s">
        <v>69</v>
      </c>
      <c r="R498" s="66"/>
      <c r="S498" s="62"/>
      <c r="T498" s="5"/>
    </row>
    <row r="499" spans="1:20">
      <c r="A499" s="2" t="s">
        <v>1553</v>
      </c>
      <c r="B499" s="2" t="s">
        <v>1620</v>
      </c>
      <c r="C499" s="2" t="s">
        <v>68</v>
      </c>
      <c r="D499" s="16">
        <v>60</v>
      </c>
      <c r="E499" s="2" t="s">
        <v>1557</v>
      </c>
      <c r="F499" s="2" t="s">
        <v>70</v>
      </c>
      <c r="G499" s="2" t="s">
        <v>1621</v>
      </c>
      <c r="H499" s="17">
        <v>2419200</v>
      </c>
      <c r="I499" s="2"/>
      <c r="J499" s="2"/>
      <c r="K499" s="17">
        <v>2419200</v>
      </c>
      <c r="L499" s="17">
        <v>259200</v>
      </c>
      <c r="M499" s="17">
        <v>2160000</v>
      </c>
      <c r="N499" s="17">
        <v>2419200</v>
      </c>
      <c r="O499" s="2"/>
      <c r="P499" s="2"/>
      <c r="Q499" s="31" t="s">
        <v>69</v>
      </c>
      <c r="R499" s="65"/>
      <c r="S499" s="62"/>
      <c r="T499" s="5"/>
    </row>
    <row r="500" spans="1:20">
      <c r="A500" s="2" t="s">
        <v>93</v>
      </c>
      <c r="B500" s="2" t="s">
        <v>175</v>
      </c>
      <c r="C500" s="2" t="s">
        <v>176</v>
      </c>
      <c r="D500" s="16">
        <v>60</v>
      </c>
      <c r="E500" s="2" t="s">
        <v>136</v>
      </c>
      <c r="F500" s="2" t="s">
        <v>177</v>
      </c>
      <c r="G500" s="2" t="s">
        <v>178</v>
      </c>
      <c r="H500" s="17">
        <v>408000</v>
      </c>
      <c r="I500" s="2"/>
      <c r="J500" s="2"/>
      <c r="K500" s="17">
        <v>408000</v>
      </c>
      <c r="L500" s="17">
        <v>43714.29</v>
      </c>
      <c r="M500" s="17">
        <v>364285.71</v>
      </c>
      <c r="N500" s="17">
        <v>408000</v>
      </c>
      <c r="O500" s="2"/>
      <c r="P500" s="2"/>
      <c r="Q500" s="31" t="s">
        <v>69</v>
      </c>
      <c r="R500" s="64">
        <f>+K500+K501+K502+K503</f>
        <v>1056000</v>
      </c>
      <c r="S500" s="62"/>
      <c r="T500" s="5"/>
    </row>
    <row r="501" spans="1:20">
      <c r="A501" s="2" t="s">
        <v>866</v>
      </c>
      <c r="B501" s="2" t="s">
        <v>872</v>
      </c>
      <c r="C501" s="2" t="s">
        <v>176</v>
      </c>
      <c r="D501" s="16">
        <v>60</v>
      </c>
      <c r="E501" s="2" t="s">
        <v>873</v>
      </c>
      <c r="F501" s="2" t="s">
        <v>177</v>
      </c>
      <c r="G501" s="2" t="s">
        <v>874</v>
      </c>
      <c r="H501" s="17">
        <v>480000</v>
      </c>
      <c r="I501" s="2"/>
      <c r="J501" s="2"/>
      <c r="K501" s="17">
        <v>480000</v>
      </c>
      <c r="L501" s="17">
        <v>51428.57</v>
      </c>
      <c r="M501" s="17">
        <v>428571.43</v>
      </c>
      <c r="N501" s="17">
        <v>480000</v>
      </c>
      <c r="O501" s="2"/>
      <c r="P501" s="2"/>
      <c r="Q501" s="31" t="s">
        <v>69</v>
      </c>
      <c r="R501" s="66"/>
      <c r="S501" s="62"/>
      <c r="T501" s="5"/>
    </row>
    <row r="502" spans="1:20">
      <c r="A502" s="2" t="s">
        <v>866</v>
      </c>
      <c r="B502" s="2" t="s">
        <v>875</v>
      </c>
      <c r="C502" s="2" t="s">
        <v>176</v>
      </c>
      <c r="D502" s="16">
        <v>60</v>
      </c>
      <c r="E502" s="2" t="s">
        <v>873</v>
      </c>
      <c r="F502" s="2" t="s">
        <v>177</v>
      </c>
      <c r="G502" s="2" t="s">
        <v>876</v>
      </c>
      <c r="H502" s="17">
        <v>72000</v>
      </c>
      <c r="I502" s="2"/>
      <c r="J502" s="2"/>
      <c r="K502" s="17">
        <v>72000</v>
      </c>
      <c r="L502" s="17">
        <v>7714.29</v>
      </c>
      <c r="M502" s="17">
        <v>64285.71</v>
      </c>
      <c r="N502" s="17">
        <v>72000</v>
      </c>
      <c r="O502" s="2"/>
      <c r="P502" s="2"/>
      <c r="Q502" s="31" t="s">
        <v>69</v>
      </c>
      <c r="R502" s="66"/>
      <c r="S502" s="62"/>
      <c r="T502" s="5"/>
    </row>
    <row r="503" spans="1:20">
      <c r="A503" s="2" t="s">
        <v>866</v>
      </c>
      <c r="B503" s="2" t="s">
        <v>877</v>
      </c>
      <c r="C503" s="2" t="s">
        <v>176</v>
      </c>
      <c r="D503" s="16">
        <v>60</v>
      </c>
      <c r="E503" s="2" t="s">
        <v>873</v>
      </c>
      <c r="F503" s="2" t="s">
        <v>177</v>
      </c>
      <c r="G503" s="2" t="s">
        <v>878</v>
      </c>
      <c r="H503" s="17">
        <v>96000</v>
      </c>
      <c r="I503" s="2"/>
      <c r="J503" s="2"/>
      <c r="K503" s="17">
        <v>96000</v>
      </c>
      <c r="L503" s="17">
        <v>10285.709999999999</v>
      </c>
      <c r="M503" s="17">
        <v>85714.29</v>
      </c>
      <c r="N503" s="17">
        <v>96000</v>
      </c>
      <c r="O503" s="2"/>
      <c r="P503" s="2"/>
      <c r="Q503" s="31" t="s">
        <v>69</v>
      </c>
      <c r="R503" s="65"/>
      <c r="S503" s="63"/>
      <c r="T503" s="5"/>
    </row>
    <row r="504" spans="1:20">
      <c r="A504" s="2" t="s">
        <v>769</v>
      </c>
      <c r="B504" s="2" t="s">
        <v>855</v>
      </c>
      <c r="C504" s="2" t="s">
        <v>68</v>
      </c>
      <c r="D504" s="16">
        <v>60</v>
      </c>
      <c r="E504" s="2" t="s">
        <v>770</v>
      </c>
      <c r="F504" s="2" t="s">
        <v>857</v>
      </c>
      <c r="G504" s="2" t="s">
        <v>858</v>
      </c>
      <c r="H504" s="17">
        <v>84296</v>
      </c>
      <c r="I504" s="2"/>
      <c r="J504" s="2"/>
      <c r="K504" s="17">
        <v>84296</v>
      </c>
      <c r="L504" s="17">
        <v>9031.7099999999991</v>
      </c>
      <c r="M504" s="17">
        <v>75264.289999999994</v>
      </c>
      <c r="N504" s="17">
        <v>84296</v>
      </c>
      <c r="O504" s="2"/>
      <c r="P504" s="2"/>
      <c r="Q504" s="31" t="s">
        <v>856</v>
      </c>
      <c r="R504" s="32">
        <f>+K504</f>
        <v>84296</v>
      </c>
      <c r="S504" s="32">
        <f>+R504</f>
        <v>84296</v>
      </c>
      <c r="T504" s="5"/>
    </row>
    <row r="505" spans="1:20">
      <c r="A505" s="2" t="s">
        <v>505</v>
      </c>
      <c r="B505" s="2" t="s">
        <v>576</v>
      </c>
      <c r="C505" s="2" t="s">
        <v>68</v>
      </c>
      <c r="D505" s="16">
        <v>60</v>
      </c>
      <c r="E505" s="2" t="s">
        <v>509</v>
      </c>
      <c r="F505" s="2" t="s">
        <v>578</v>
      </c>
      <c r="G505" s="2" t="s">
        <v>579</v>
      </c>
      <c r="H505" s="17">
        <v>1978634</v>
      </c>
      <c r="I505" s="2"/>
      <c r="J505" s="2"/>
      <c r="K505" s="17">
        <v>1978634</v>
      </c>
      <c r="L505" s="17">
        <v>211996.5</v>
      </c>
      <c r="M505" s="17">
        <v>1766637.5</v>
      </c>
      <c r="N505" s="17">
        <v>1978634</v>
      </c>
      <c r="O505" s="2"/>
      <c r="P505" s="2"/>
      <c r="Q505" s="31" t="s">
        <v>577</v>
      </c>
      <c r="R505" s="32">
        <f>+K505</f>
        <v>1978634</v>
      </c>
      <c r="S505" s="61">
        <f>+R505+R506</f>
        <v>3077256</v>
      </c>
      <c r="T505" s="5"/>
    </row>
    <row r="506" spans="1:20">
      <c r="A506" s="2" t="s">
        <v>1372</v>
      </c>
      <c r="B506" s="2" t="s">
        <v>1421</v>
      </c>
      <c r="C506" s="2" t="s">
        <v>68</v>
      </c>
      <c r="D506" s="16">
        <v>60</v>
      </c>
      <c r="E506" s="2" t="s">
        <v>1373</v>
      </c>
      <c r="F506" s="2" t="s">
        <v>1422</v>
      </c>
      <c r="G506" s="2" t="s">
        <v>1423</v>
      </c>
      <c r="H506" s="17">
        <v>652054</v>
      </c>
      <c r="I506" s="2"/>
      <c r="J506" s="2"/>
      <c r="K506" s="17">
        <v>652054</v>
      </c>
      <c r="L506" s="17">
        <v>69862.929999999993</v>
      </c>
      <c r="M506" s="17">
        <v>582191.06999999995</v>
      </c>
      <c r="N506" s="17">
        <v>652054</v>
      </c>
      <c r="O506" s="2"/>
      <c r="P506" s="2"/>
      <c r="Q506" s="31" t="s">
        <v>577</v>
      </c>
      <c r="R506" s="61">
        <f>+K506+K507</f>
        <v>1098622</v>
      </c>
      <c r="S506" s="62"/>
      <c r="T506" s="5"/>
    </row>
    <row r="507" spans="1:20">
      <c r="A507" s="2" t="s">
        <v>1372</v>
      </c>
      <c r="B507" s="2" t="s">
        <v>1424</v>
      </c>
      <c r="C507" s="2" t="s">
        <v>68</v>
      </c>
      <c r="D507" s="16">
        <v>60</v>
      </c>
      <c r="E507" s="2" t="s">
        <v>1373</v>
      </c>
      <c r="F507" s="2" t="s">
        <v>1422</v>
      </c>
      <c r="G507" s="2" t="s">
        <v>1425</v>
      </c>
      <c r="H507" s="17">
        <v>446568</v>
      </c>
      <c r="I507" s="2"/>
      <c r="J507" s="2"/>
      <c r="K507" s="17">
        <v>446568</v>
      </c>
      <c r="L507" s="17">
        <v>47846.57</v>
      </c>
      <c r="M507" s="17">
        <v>398721.43</v>
      </c>
      <c r="N507" s="17">
        <v>446568</v>
      </c>
      <c r="O507" s="2"/>
      <c r="P507" s="2"/>
      <c r="Q507" s="31" t="s">
        <v>577</v>
      </c>
      <c r="R507" s="63"/>
      <c r="S507" s="63"/>
      <c r="T507" s="5"/>
    </row>
    <row r="508" spans="1:20">
      <c r="A508" s="2" t="s">
        <v>93</v>
      </c>
      <c r="B508" s="2" t="s">
        <v>186</v>
      </c>
      <c r="C508" s="2" t="s">
        <v>68</v>
      </c>
      <c r="D508" s="16">
        <v>60</v>
      </c>
      <c r="E508" s="2" t="s">
        <v>136</v>
      </c>
      <c r="F508" s="2" t="s">
        <v>187</v>
      </c>
      <c r="G508" s="2" t="s">
        <v>188</v>
      </c>
      <c r="H508" s="17">
        <v>53180</v>
      </c>
      <c r="I508" s="2"/>
      <c r="J508" s="2"/>
      <c r="K508" s="17">
        <v>53180</v>
      </c>
      <c r="L508" s="17">
        <v>5697.86</v>
      </c>
      <c r="M508" s="17">
        <v>47482.14</v>
      </c>
      <c r="N508" s="17">
        <v>53180</v>
      </c>
      <c r="O508" s="2"/>
      <c r="P508" s="2"/>
      <c r="Q508" s="31" t="s">
        <v>36</v>
      </c>
      <c r="R508" s="61">
        <f>+K508+K509</f>
        <v>77724</v>
      </c>
      <c r="S508" s="61">
        <f>+R508+R510+R514+R530</f>
        <v>3831559.66</v>
      </c>
      <c r="T508" s="5"/>
    </row>
    <row r="509" spans="1:20">
      <c r="A509" s="2" t="s">
        <v>1553</v>
      </c>
      <c r="B509" s="2" t="s">
        <v>1566</v>
      </c>
      <c r="C509" s="2" t="s">
        <v>151</v>
      </c>
      <c r="D509" s="16">
        <v>60</v>
      </c>
      <c r="E509" s="2" t="s">
        <v>1557</v>
      </c>
      <c r="F509" s="2" t="s">
        <v>187</v>
      </c>
      <c r="G509" s="2" t="s">
        <v>1567</v>
      </c>
      <c r="H509" s="17">
        <v>24544</v>
      </c>
      <c r="I509" s="2"/>
      <c r="J509" s="2"/>
      <c r="K509" s="17">
        <v>24544</v>
      </c>
      <c r="L509" s="17">
        <v>2629.71</v>
      </c>
      <c r="M509" s="17">
        <v>21914.29</v>
      </c>
      <c r="N509" s="17">
        <v>24544</v>
      </c>
      <c r="O509" s="2"/>
      <c r="P509" s="2"/>
      <c r="Q509" s="31" t="s">
        <v>36</v>
      </c>
      <c r="R509" s="63"/>
      <c r="S509" s="62"/>
      <c r="T509" s="5"/>
    </row>
    <row r="510" spans="1:20">
      <c r="A510" s="2" t="s">
        <v>689</v>
      </c>
      <c r="B510" s="2" t="s">
        <v>753</v>
      </c>
      <c r="C510" s="2" t="s">
        <v>162</v>
      </c>
      <c r="D510" s="16">
        <v>90</v>
      </c>
      <c r="E510" s="2" t="s">
        <v>751</v>
      </c>
      <c r="F510" s="2" t="s">
        <v>754</v>
      </c>
      <c r="G510" s="2" t="s">
        <v>755</v>
      </c>
      <c r="H510" s="17">
        <v>18780</v>
      </c>
      <c r="I510" s="2"/>
      <c r="J510" s="2"/>
      <c r="K510" s="17">
        <v>18780</v>
      </c>
      <c r="L510" s="17">
        <v>2012.14</v>
      </c>
      <c r="M510" s="17">
        <v>16767.86</v>
      </c>
      <c r="N510" s="17">
        <v>18780</v>
      </c>
      <c r="O510" s="2"/>
      <c r="P510" s="2"/>
      <c r="Q510" s="31" t="s">
        <v>36</v>
      </c>
      <c r="R510" s="61">
        <f>+K510+K511+K512+K513</f>
        <v>1418430</v>
      </c>
      <c r="S510" s="62"/>
      <c r="T510" s="5"/>
    </row>
    <row r="511" spans="1:20">
      <c r="A511" s="2" t="s">
        <v>915</v>
      </c>
      <c r="B511" s="2" t="s">
        <v>962</v>
      </c>
      <c r="C511" s="2" t="s">
        <v>162</v>
      </c>
      <c r="D511" s="16">
        <v>90</v>
      </c>
      <c r="E511" s="2" t="s">
        <v>924</v>
      </c>
      <c r="F511" s="2" t="s">
        <v>754</v>
      </c>
      <c r="G511" s="2" t="s">
        <v>963</v>
      </c>
      <c r="H511" s="17">
        <v>150500</v>
      </c>
      <c r="I511" s="2"/>
      <c r="J511" s="2"/>
      <c r="K511" s="17">
        <v>150500</v>
      </c>
      <c r="L511" s="17">
        <v>16125</v>
      </c>
      <c r="M511" s="17">
        <v>134375</v>
      </c>
      <c r="N511" s="17">
        <v>150500</v>
      </c>
      <c r="O511" s="2"/>
      <c r="P511" s="2"/>
      <c r="Q511" s="31" t="s">
        <v>36</v>
      </c>
      <c r="R511" s="62"/>
      <c r="S511" s="62"/>
      <c r="T511" s="5"/>
    </row>
    <row r="512" spans="1:20">
      <c r="A512" s="2" t="s">
        <v>971</v>
      </c>
      <c r="B512" s="2" t="s">
        <v>998</v>
      </c>
      <c r="C512" s="2" t="s">
        <v>146</v>
      </c>
      <c r="D512" s="16">
        <v>90</v>
      </c>
      <c r="E512" s="2" t="s">
        <v>986</v>
      </c>
      <c r="F512" s="2" t="s">
        <v>754</v>
      </c>
      <c r="G512" s="2" t="s">
        <v>999</v>
      </c>
      <c r="H512" s="17">
        <v>752500</v>
      </c>
      <c r="I512" s="2"/>
      <c r="J512" s="2"/>
      <c r="K512" s="17">
        <v>752500</v>
      </c>
      <c r="L512" s="17">
        <v>80625</v>
      </c>
      <c r="M512" s="17">
        <v>671875</v>
      </c>
      <c r="N512" s="17">
        <v>752500</v>
      </c>
      <c r="O512" s="2"/>
      <c r="P512" s="2"/>
      <c r="Q512" s="31" t="s">
        <v>36</v>
      </c>
      <c r="R512" s="62"/>
      <c r="S512" s="62"/>
      <c r="T512" s="5"/>
    </row>
    <row r="513" spans="1:20">
      <c r="A513" s="2" t="s">
        <v>1217</v>
      </c>
      <c r="B513" s="2" t="s">
        <v>1270</v>
      </c>
      <c r="C513" s="2" t="s">
        <v>146</v>
      </c>
      <c r="D513" s="16">
        <v>90</v>
      </c>
      <c r="E513" s="2" t="s">
        <v>1235</v>
      </c>
      <c r="F513" s="2" t="s">
        <v>754</v>
      </c>
      <c r="G513" s="2" t="s">
        <v>1271</v>
      </c>
      <c r="H513" s="17">
        <v>496650</v>
      </c>
      <c r="I513" s="2"/>
      <c r="J513" s="2"/>
      <c r="K513" s="17">
        <v>496650</v>
      </c>
      <c r="L513" s="17">
        <v>53212.5</v>
      </c>
      <c r="M513" s="17">
        <v>443437.5</v>
      </c>
      <c r="N513" s="17">
        <v>496650</v>
      </c>
      <c r="O513" s="2"/>
      <c r="P513" s="2"/>
      <c r="Q513" s="31" t="s">
        <v>36</v>
      </c>
      <c r="R513" s="63"/>
      <c r="S513" s="62"/>
      <c r="T513" s="5"/>
    </row>
    <row r="514" spans="1:20">
      <c r="A514" s="2" t="s">
        <v>93</v>
      </c>
      <c r="B514" s="2" t="s">
        <v>192</v>
      </c>
      <c r="C514" s="2" t="s">
        <v>162</v>
      </c>
      <c r="D514" s="16">
        <v>90</v>
      </c>
      <c r="E514" s="2" t="s">
        <v>147</v>
      </c>
      <c r="F514" s="2" t="s">
        <v>193</v>
      </c>
      <c r="G514" s="2" t="s">
        <v>194</v>
      </c>
      <c r="H514" s="17">
        <v>2053</v>
      </c>
      <c r="I514" s="2"/>
      <c r="J514" s="2"/>
      <c r="K514" s="17">
        <v>2053</v>
      </c>
      <c r="L514" s="18">
        <v>219.96</v>
      </c>
      <c r="M514" s="17">
        <v>1833.04</v>
      </c>
      <c r="N514" s="17">
        <v>2053</v>
      </c>
      <c r="O514" s="2"/>
      <c r="P514" s="2"/>
      <c r="Q514" s="31" t="s">
        <v>36</v>
      </c>
      <c r="R514" s="61">
        <f>+K514+K515+K516+K517+K518+K519+K520+K521+K522+K523+K524+K525+K526+K527+K528+K529</f>
        <v>1643665</v>
      </c>
      <c r="S514" s="62"/>
      <c r="T514" s="5"/>
    </row>
    <row r="515" spans="1:20">
      <c r="A515" s="2" t="s">
        <v>282</v>
      </c>
      <c r="B515" s="2" t="s">
        <v>363</v>
      </c>
      <c r="C515" s="2" t="s">
        <v>162</v>
      </c>
      <c r="D515" s="16">
        <v>90</v>
      </c>
      <c r="E515" s="2" t="s">
        <v>290</v>
      </c>
      <c r="F515" s="2" t="s">
        <v>193</v>
      </c>
      <c r="G515" s="2" t="s">
        <v>364</v>
      </c>
      <c r="H515" s="17">
        <v>28636</v>
      </c>
      <c r="I515" s="2"/>
      <c r="J515" s="2"/>
      <c r="K515" s="17">
        <v>28636</v>
      </c>
      <c r="L515" s="17">
        <v>3068.14</v>
      </c>
      <c r="M515" s="17">
        <v>25567.86</v>
      </c>
      <c r="N515" s="17">
        <v>28636</v>
      </c>
      <c r="O515" s="2"/>
      <c r="P515" s="2"/>
      <c r="Q515" s="31" t="s">
        <v>36</v>
      </c>
      <c r="R515" s="62"/>
      <c r="S515" s="62"/>
      <c r="T515" s="5"/>
    </row>
    <row r="516" spans="1:20">
      <c r="A516" s="2" t="s">
        <v>448</v>
      </c>
      <c r="B516" s="2" t="s">
        <v>478</v>
      </c>
      <c r="C516" s="2" t="s">
        <v>162</v>
      </c>
      <c r="D516" s="16">
        <v>90</v>
      </c>
      <c r="E516" s="2" t="s">
        <v>479</v>
      </c>
      <c r="F516" s="2" t="s">
        <v>193</v>
      </c>
      <c r="G516" s="2" t="s">
        <v>480</v>
      </c>
      <c r="H516" s="17">
        <v>66010</v>
      </c>
      <c r="I516" s="2"/>
      <c r="J516" s="2"/>
      <c r="K516" s="17">
        <v>66010</v>
      </c>
      <c r="L516" s="17">
        <v>7072.5</v>
      </c>
      <c r="M516" s="17">
        <v>58937.5</v>
      </c>
      <c r="N516" s="17">
        <v>66010</v>
      </c>
      <c r="O516" s="2"/>
      <c r="P516" s="2"/>
      <c r="Q516" s="31" t="s">
        <v>36</v>
      </c>
      <c r="R516" s="62"/>
      <c r="S516" s="62"/>
      <c r="T516" s="5"/>
    </row>
    <row r="517" spans="1:20">
      <c r="A517" s="2" t="s">
        <v>596</v>
      </c>
      <c r="B517" s="2" t="s">
        <v>632</v>
      </c>
      <c r="C517" s="2" t="s">
        <v>162</v>
      </c>
      <c r="D517" s="16">
        <v>90</v>
      </c>
      <c r="E517" s="2" t="s">
        <v>597</v>
      </c>
      <c r="F517" s="2" t="s">
        <v>193</v>
      </c>
      <c r="G517" s="2" t="s">
        <v>633</v>
      </c>
      <c r="H517" s="17">
        <v>44000</v>
      </c>
      <c r="I517" s="2"/>
      <c r="J517" s="2"/>
      <c r="K517" s="17">
        <v>44000</v>
      </c>
      <c r="L517" s="17">
        <v>4714.29</v>
      </c>
      <c r="M517" s="17">
        <v>39285.71</v>
      </c>
      <c r="N517" s="17">
        <v>44000</v>
      </c>
      <c r="O517" s="2"/>
      <c r="P517" s="2"/>
      <c r="Q517" s="31" t="s">
        <v>36</v>
      </c>
      <c r="R517" s="62"/>
      <c r="S517" s="62"/>
      <c r="T517" s="5"/>
    </row>
    <row r="518" spans="1:20">
      <c r="A518" s="2" t="s">
        <v>689</v>
      </c>
      <c r="B518" s="2" t="s">
        <v>750</v>
      </c>
      <c r="C518" s="2" t="s">
        <v>162</v>
      </c>
      <c r="D518" s="16">
        <v>90</v>
      </c>
      <c r="E518" s="2" t="s">
        <v>751</v>
      </c>
      <c r="F518" s="2" t="s">
        <v>193</v>
      </c>
      <c r="G518" s="2" t="s">
        <v>752</v>
      </c>
      <c r="H518" s="17">
        <v>8216</v>
      </c>
      <c r="I518" s="2"/>
      <c r="J518" s="2"/>
      <c r="K518" s="17">
        <v>8216</v>
      </c>
      <c r="L518" s="18">
        <v>880.29</v>
      </c>
      <c r="M518" s="17">
        <v>7335.71</v>
      </c>
      <c r="N518" s="17">
        <v>8216</v>
      </c>
      <c r="O518" s="2"/>
      <c r="P518" s="2"/>
      <c r="Q518" s="31" t="s">
        <v>36</v>
      </c>
      <c r="R518" s="62"/>
      <c r="S518" s="62"/>
      <c r="T518" s="5"/>
    </row>
    <row r="519" spans="1:20">
      <c r="A519" s="2" t="s">
        <v>866</v>
      </c>
      <c r="B519" s="2" t="s">
        <v>899</v>
      </c>
      <c r="C519" s="2" t="s">
        <v>162</v>
      </c>
      <c r="D519" s="16">
        <v>90</v>
      </c>
      <c r="E519" s="2" t="s">
        <v>885</v>
      </c>
      <c r="F519" s="2" t="s">
        <v>193</v>
      </c>
      <c r="G519" s="2" t="s">
        <v>900</v>
      </c>
      <c r="H519" s="17">
        <v>37150</v>
      </c>
      <c r="I519" s="2"/>
      <c r="J519" s="2"/>
      <c r="K519" s="17">
        <v>37150</v>
      </c>
      <c r="L519" s="17">
        <v>3980.36</v>
      </c>
      <c r="M519" s="17">
        <v>33169.64</v>
      </c>
      <c r="N519" s="17">
        <v>37150</v>
      </c>
      <c r="O519" s="2"/>
      <c r="P519" s="2"/>
      <c r="Q519" s="31" t="s">
        <v>36</v>
      </c>
      <c r="R519" s="62"/>
      <c r="S519" s="62"/>
      <c r="T519" s="5"/>
    </row>
    <row r="520" spans="1:20">
      <c r="A520" s="2" t="s">
        <v>866</v>
      </c>
      <c r="B520" s="2" t="s">
        <v>901</v>
      </c>
      <c r="C520" s="2" t="s">
        <v>162</v>
      </c>
      <c r="D520" s="16">
        <v>90</v>
      </c>
      <c r="E520" s="2" t="s">
        <v>885</v>
      </c>
      <c r="F520" s="2" t="s">
        <v>193</v>
      </c>
      <c r="G520" s="2" t="s">
        <v>902</v>
      </c>
      <c r="H520" s="17">
        <v>51430</v>
      </c>
      <c r="I520" s="2"/>
      <c r="J520" s="2"/>
      <c r="K520" s="17">
        <v>51430</v>
      </c>
      <c r="L520" s="17">
        <v>5510.36</v>
      </c>
      <c r="M520" s="17">
        <v>45919.64</v>
      </c>
      <c r="N520" s="17">
        <v>51430</v>
      </c>
      <c r="O520" s="2"/>
      <c r="P520" s="2"/>
      <c r="Q520" s="31" t="s">
        <v>36</v>
      </c>
      <c r="R520" s="62"/>
      <c r="S520" s="62"/>
      <c r="T520" s="5"/>
    </row>
    <row r="521" spans="1:20">
      <c r="A521" s="2" t="s">
        <v>971</v>
      </c>
      <c r="B521" s="2" t="s">
        <v>1035</v>
      </c>
      <c r="C521" s="2" t="s">
        <v>162</v>
      </c>
      <c r="D521" s="16">
        <v>90</v>
      </c>
      <c r="E521" s="2" t="s">
        <v>986</v>
      </c>
      <c r="F521" s="2" t="s">
        <v>193</v>
      </c>
      <c r="G521" s="2" t="s">
        <v>1036</v>
      </c>
      <c r="H521" s="17">
        <v>69000</v>
      </c>
      <c r="I521" s="2"/>
      <c r="J521" s="2"/>
      <c r="K521" s="17">
        <v>69000</v>
      </c>
      <c r="L521" s="17">
        <v>7392.86</v>
      </c>
      <c r="M521" s="17">
        <v>61607.14</v>
      </c>
      <c r="N521" s="17">
        <v>69000</v>
      </c>
      <c r="O521" s="2"/>
      <c r="P521" s="2"/>
      <c r="Q521" s="31" t="s">
        <v>36</v>
      </c>
      <c r="R521" s="62"/>
      <c r="S521" s="62"/>
      <c r="T521" s="5"/>
    </row>
    <row r="522" spans="1:20">
      <c r="A522" s="2" t="s">
        <v>1117</v>
      </c>
      <c r="B522" s="2" t="s">
        <v>1188</v>
      </c>
      <c r="C522" s="2" t="s">
        <v>162</v>
      </c>
      <c r="D522" s="16">
        <v>90</v>
      </c>
      <c r="E522" s="2" t="s">
        <v>1156</v>
      </c>
      <c r="F522" s="2" t="s">
        <v>193</v>
      </c>
      <c r="G522" s="2" t="s">
        <v>1189</v>
      </c>
      <c r="H522" s="17">
        <v>26590</v>
      </c>
      <c r="I522" s="2"/>
      <c r="J522" s="2"/>
      <c r="K522" s="17">
        <v>26590</v>
      </c>
      <c r="L522" s="17">
        <v>2848.93</v>
      </c>
      <c r="M522" s="17">
        <v>23741.07</v>
      </c>
      <c r="N522" s="17">
        <v>26590</v>
      </c>
      <c r="O522" s="2"/>
      <c r="P522" s="2"/>
      <c r="Q522" s="31" t="s">
        <v>36</v>
      </c>
      <c r="R522" s="62"/>
      <c r="S522" s="62"/>
      <c r="T522" s="5"/>
    </row>
    <row r="523" spans="1:20">
      <c r="A523" s="2" t="s">
        <v>1117</v>
      </c>
      <c r="B523" s="2" t="s">
        <v>1210</v>
      </c>
      <c r="C523" s="2" t="s">
        <v>162</v>
      </c>
      <c r="D523" s="16">
        <v>90</v>
      </c>
      <c r="E523" s="2" t="s">
        <v>1156</v>
      </c>
      <c r="F523" s="2" t="s">
        <v>193</v>
      </c>
      <c r="G523" s="2" t="s">
        <v>1211</v>
      </c>
      <c r="H523" s="17">
        <v>5680</v>
      </c>
      <c r="I523" s="2"/>
      <c r="J523" s="2"/>
      <c r="K523" s="17">
        <v>5680</v>
      </c>
      <c r="L523" s="18">
        <v>608.57000000000005</v>
      </c>
      <c r="M523" s="17">
        <v>5071.43</v>
      </c>
      <c r="N523" s="17">
        <v>5680</v>
      </c>
      <c r="O523" s="2"/>
      <c r="P523" s="2"/>
      <c r="Q523" s="31" t="s">
        <v>36</v>
      </c>
      <c r="R523" s="62"/>
      <c r="S523" s="62"/>
      <c r="T523" s="5"/>
    </row>
    <row r="524" spans="1:20">
      <c r="A524" s="2" t="s">
        <v>1117</v>
      </c>
      <c r="B524" s="2" t="s">
        <v>1212</v>
      </c>
      <c r="C524" s="2" t="s">
        <v>162</v>
      </c>
      <c r="D524" s="16">
        <v>90</v>
      </c>
      <c r="E524" s="2" t="s">
        <v>1156</v>
      </c>
      <c r="F524" s="2" t="s">
        <v>193</v>
      </c>
      <c r="G524" s="2" t="s">
        <v>1213</v>
      </c>
      <c r="H524" s="17">
        <v>224410</v>
      </c>
      <c r="I524" s="2"/>
      <c r="J524" s="2"/>
      <c r="K524" s="17">
        <v>224410</v>
      </c>
      <c r="L524" s="17">
        <v>24043.93</v>
      </c>
      <c r="M524" s="17">
        <v>200366.07</v>
      </c>
      <c r="N524" s="17">
        <v>224410</v>
      </c>
      <c r="O524" s="2"/>
      <c r="P524" s="2"/>
      <c r="Q524" s="31" t="s">
        <v>36</v>
      </c>
      <c r="R524" s="62"/>
      <c r="S524" s="62"/>
      <c r="T524" s="5"/>
    </row>
    <row r="525" spans="1:20">
      <c r="A525" s="2" t="s">
        <v>1117</v>
      </c>
      <c r="B525" s="2" t="s">
        <v>1214</v>
      </c>
      <c r="C525" s="2" t="s">
        <v>146</v>
      </c>
      <c r="D525" s="16">
        <v>90</v>
      </c>
      <c r="E525" s="2" t="s">
        <v>1156</v>
      </c>
      <c r="F525" s="2" t="s">
        <v>193</v>
      </c>
      <c r="G525" s="2" t="s">
        <v>1215</v>
      </c>
      <c r="H525" s="17">
        <v>27750</v>
      </c>
      <c r="I525" s="2"/>
      <c r="J525" s="2"/>
      <c r="K525" s="17">
        <v>27750</v>
      </c>
      <c r="L525" s="17">
        <v>2973.21</v>
      </c>
      <c r="M525" s="17">
        <v>24776.79</v>
      </c>
      <c r="N525" s="17">
        <v>27750</v>
      </c>
      <c r="O525" s="2"/>
      <c r="P525" s="2"/>
      <c r="Q525" s="31" t="s">
        <v>36</v>
      </c>
      <c r="R525" s="62"/>
      <c r="S525" s="62"/>
      <c r="T525" s="5"/>
    </row>
    <row r="526" spans="1:20">
      <c r="A526" s="2" t="s">
        <v>1217</v>
      </c>
      <c r="B526" s="2" t="s">
        <v>1268</v>
      </c>
      <c r="C526" s="2" t="s">
        <v>146</v>
      </c>
      <c r="D526" s="16">
        <v>90</v>
      </c>
      <c r="E526" s="2" t="s">
        <v>1235</v>
      </c>
      <c r="F526" s="2" t="s">
        <v>193</v>
      </c>
      <c r="G526" s="2" t="s">
        <v>1269</v>
      </c>
      <c r="H526" s="17">
        <v>436450</v>
      </c>
      <c r="I526" s="2"/>
      <c r="J526" s="2"/>
      <c r="K526" s="17">
        <v>436450</v>
      </c>
      <c r="L526" s="17">
        <v>46762.5</v>
      </c>
      <c r="M526" s="17">
        <v>389687.5</v>
      </c>
      <c r="N526" s="17">
        <v>436450</v>
      </c>
      <c r="O526" s="2"/>
      <c r="P526" s="2"/>
      <c r="Q526" s="31" t="s">
        <v>36</v>
      </c>
      <c r="R526" s="62"/>
      <c r="S526" s="62"/>
      <c r="T526" s="5"/>
    </row>
    <row r="527" spans="1:20">
      <c r="A527" s="2" t="s">
        <v>1217</v>
      </c>
      <c r="B527" s="2" t="s">
        <v>1272</v>
      </c>
      <c r="C527" s="2" t="s">
        <v>146</v>
      </c>
      <c r="D527" s="16">
        <v>90</v>
      </c>
      <c r="E527" s="2" t="s">
        <v>1235</v>
      </c>
      <c r="F527" s="2" t="s">
        <v>193</v>
      </c>
      <c r="G527" s="2" t="s">
        <v>1273</v>
      </c>
      <c r="H527" s="17">
        <v>327240</v>
      </c>
      <c r="I527" s="2"/>
      <c r="J527" s="2"/>
      <c r="K527" s="17">
        <v>327240</v>
      </c>
      <c r="L527" s="17">
        <v>35061.43</v>
      </c>
      <c r="M527" s="17">
        <v>292178.57</v>
      </c>
      <c r="N527" s="17">
        <v>327240</v>
      </c>
      <c r="O527" s="2"/>
      <c r="P527" s="2"/>
      <c r="Q527" s="31" t="s">
        <v>36</v>
      </c>
      <c r="R527" s="62"/>
      <c r="S527" s="62"/>
      <c r="T527" s="5"/>
    </row>
    <row r="528" spans="1:20">
      <c r="A528" s="2" t="s">
        <v>1217</v>
      </c>
      <c r="B528" s="2" t="s">
        <v>1276</v>
      </c>
      <c r="C528" s="2" t="s">
        <v>146</v>
      </c>
      <c r="D528" s="16">
        <v>90</v>
      </c>
      <c r="E528" s="2" t="s">
        <v>1235</v>
      </c>
      <c r="F528" s="2" t="s">
        <v>193</v>
      </c>
      <c r="G528" s="2" t="s">
        <v>1277</v>
      </c>
      <c r="H528" s="17">
        <v>90300</v>
      </c>
      <c r="I528" s="2"/>
      <c r="J528" s="2"/>
      <c r="K528" s="17">
        <v>90300</v>
      </c>
      <c r="L528" s="17">
        <v>9675</v>
      </c>
      <c r="M528" s="17">
        <v>80625</v>
      </c>
      <c r="N528" s="17">
        <v>90300</v>
      </c>
      <c r="O528" s="2"/>
      <c r="P528" s="2"/>
      <c r="Q528" s="31" t="s">
        <v>36</v>
      </c>
      <c r="R528" s="62"/>
      <c r="S528" s="62"/>
      <c r="T528" s="5"/>
    </row>
    <row r="529" spans="1:20">
      <c r="A529" s="2" t="s">
        <v>1287</v>
      </c>
      <c r="B529" s="2" t="s">
        <v>1344</v>
      </c>
      <c r="C529" s="2" t="s">
        <v>162</v>
      </c>
      <c r="D529" s="16">
        <v>90</v>
      </c>
      <c r="E529" s="2" t="s">
        <v>1315</v>
      </c>
      <c r="F529" s="2" t="s">
        <v>193</v>
      </c>
      <c r="G529" s="2" t="s">
        <v>1345</v>
      </c>
      <c r="H529" s="17">
        <v>198750</v>
      </c>
      <c r="I529" s="2"/>
      <c r="J529" s="2"/>
      <c r="K529" s="17">
        <v>198750</v>
      </c>
      <c r="L529" s="17">
        <v>21294.639999999999</v>
      </c>
      <c r="M529" s="17">
        <v>177455.35999999999</v>
      </c>
      <c r="N529" s="17">
        <v>198750</v>
      </c>
      <c r="O529" s="2"/>
      <c r="P529" s="2"/>
      <c r="Q529" s="31" t="s">
        <v>36</v>
      </c>
      <c r="R529" s="63"/>
      <c r="S529" s="62"/>
      <c r="T529" s="5"/>
    </row>
    <row r="530" spans="1:20">
      <c r="A530" s="2" t="s">
        <v>17</v>
      </c>
      <c r="B530" s="2" t="s">
        <v>33</v>
      </c>
      <c r="C530" s="2" t="s">
        <v>34</v>
      </c>
      <c r="D530" s="16">
        <v>60</v>
      </c>
      <c r="E530" s="2" t="s">
        <v>35</v>
      </c>
      <c r="F530" s="2" t="s">
        <v>37</v>
      </c>
      <c r="G530" s="2" t="s">
        <v>38</v>
      </c>
      <c r="H530" s="17">
        <v>173450.58</v>
      </c>
      <c r="I530" s="2"/>
      <c r="J530" s="2"/>
      <c r="K530" s="17">
        <v>173450.58</v>
      </c>
      <c r="L530" s="17">
        <v>18583.990000000002</v>
      </c>
      <c r="M530" s="17">
        <v>154866.59</v>
      </c>
      <c r="N530" s="17">
        <v>173450.58</v>
      </c>
      <c r="O530" s="2"/>
      <c r="P530" s="2"/>
      <c r="Q530" s="31" t="s">
        <v>36</v>
      </c>
      <c r="R530" s="61">
        <f>+K530+K531+K532+K533</f>
        <v>691740.65999999992</v>
      </c>
      <c r="S530" s="62"/>
      <c r="T530" s="5"/>
    </row>
    <row r="531" spans="1:20">
      <c r="A531" s="2" t="s">
        <v>93</v>
      </c>
      <c r="B531" s="2" t="s">
        <v>135</v>
      </c>
      <c r="C531" s="2" t="s">
        <v>34</v>
      </c>
      <c r="D531" s="16">
        <v>60</v>
      </c>
      <c r="E531" s="2" t="s">
        <v>136</v>
      </c>
      <c r="F531" s="2" t="s">
        <v>37</v>
      </c>
      <c r="G531" s="2" t="s">
        <v>137</v>
      </c>
      <c r="H531" s="17">
        <v>32101.08</v>
      </c>
      <c r="I531" s="2"/>
      <c r="J531" s="2"/>
      <c r="K531" s="17">
        <v>32101.08</v>
      </c>
      <c r="L531" s="17">
        <v>3439.4</v>
      </c>
      <c r="M531" s="17">
        <v>28661.68</v>
      </c>
      <c r="N531" s="17">
        <v>32101.08</v>
      </c>
      <c r="O531" s="2"/>
      <c r="P531" s="2"/>
      <c r="Q531" s="31" t="s">
        <v>36</v>
      </c>
      <c r="R531" s="62"/>
      <c r="S531" s="62"/>
      <c r="T531" s="5"/>
    </row>
    <row r="532" spans="1:20">
      <c r="A532" s="2" t="s">
        <v>1287</v>
      </c>
      <c r="B532" s="2" t="s">
        <v>1340</v>
      </c>
      <c r="C532" s="2" t="s">
        <v>34</v>
      </c>
      <c r="D532" s="16">
        <v>60</v>
      </c>
      <c r="E532" s="2" t="s">
        <v>1331</v>
      </c>
      <c r="F532" s="2" t="s">
        <v>37</v>
      </c>
      <c r="G532" s="2" t="s">
        <v>1341</v>
      </c>
      <c r="H532" s="17">
        <v>467200</v>
      </c>
      <c r="I532" s="2"/>
      <c r="J532" s="2"/>
      <c r="K532" s="17">
        <v>467200</v>
      </c>
      <c r="L532" s="17">
        <v>50057.14</v>
      </c>
      <c r="M532" s="17">
        <v>417142.86</v>
      </c>
      <c r="N532" s="17">
        <v>467200</v>
      </c>
      <c r="O532" s="2"/>
      <c r="P532" s="2"/>
      <c r="Q532" s="31" t="s">
        <v>36</v>
      </c>
      <c r="R532" s="62"/>
      <c r="S532" s="62"/>
      <c r="T532" s="5"/>
    </row>
    <row r="533" spans="1:20">
      <c r="A533" s="2" t="s">
        <v>1372</v>
      </c>
      <c r="B533" s="2" t="s">
        <v>1381</v>
      </c>
      <c r="C533" s="2" t="s">
        <v>34</v>
      </c>
      <c r="D533" s="16">
        <v>60</v>
      </c>
      <c r="E533" s="2" t="s">
        <v>1373</v>
      </c>
      <c r="F533" s="2" t="s">
        <v>37</v>
      </c>
      <c r="G533" s="2" t="s">
        <v>1382</v>
      </c>
      <c r="H533" s="17">
        <v>18989</v>
      </c>
      <c r="I533" s="2"/>
      <c r="J533" s="2"/>
      <c r="K533" s="17">
        <v>18989</v>
      </c>
      <c r="L533" s="17">
        <v>2034.54</v>
      </c>
      <c r="M533" s="17">
        <v>16954.46</v>
      </c>
      <c r="N533" s="17">
        <v>18989</v>
      </c>
      <c r="O533" s="2"/>
      <c r="P533" s="2"/>
      <c r="Q533" s="31" t="s">
        <v>36</v>
      </c>
      <c r="R533" s="63"/>
      <c r="S533" s="63"/>
      <c r="T533" s="5"/>
    </row>
    <row r="534" spans="1:20">
      <c r="A534" s="2" t="s">
        <v>1117</v>
      </c>
      <c r="B534" s="2" t="s">
        <v>1140</v>
      </c>
      <c r="C534" s="2" t="s">
        <v>60</v>
      </c>
      <c r="D534" s="16">
        <v>0</v>
      </c>
      <c r="E534" s="2" t="s">
        <v>1117</v>
      </c>
      <c r="F534" s="2" t="s">
        <v>1142</v>
      </c>
      <c r="G534" s="2" t="s">
        <v>1143</v>
      </c>
      <c r="H534" s="17">
        <v>403050.68</v>
      </c>
      <c r="I534" s="2"/>
      <c r="J534" s="2"/>
      <c r="K534" s="17">
        <v>403050.68</v>
      </c>
      <c r="L534" s="17">
        <v>43184</v>
      </c>
      <c r="M534" s="17">
        <v>359866.68</v>
      </c>
      <c r="N534" s="17">
        <v>403050.68</v>
      </c>
      <c r="O534" s="2"/>
      <c r="P534" s="2"/>
      <c r="Q534" s="31" t="s">
        <v>1141</v>
      </c>
      <c r="R534" s="61">
        <f>+K534+K535</f>
        <v>510650.68</v>
      </c>
      <c r="S534" s="61">
        <f>+R534</f>
        <v>510650.68</v>
      </c>
      <c r="T534" s="5"/>
    </row>
    <row r="535" spans="1:20">
      <c r="A535" s="2" t="s">
        <v>1117</v>
      </c>
      <c r="B535" s="2" t="s">
        <v>1144</v>
      </c>
      <c r="C535" s="2" t="s">
        <v>60</v>
      </c>
      <c r="D535" s="16">
        <v>0</v>
      </c>
      <c r="E535" s="2" t="s">
        <v>1117</v>
      </c>
      <c r="F535" s="2" t="s">
        <v>1142</v>
      </c>
      <c r="G535" s="2" t="s">
        <v>1145</v>
      </c>
      <c r="H535" s="17">
        <v>107600</v>
      </c>
      <c r="I535" s="2"/>
      <c r="J535" s="2"/>
      <c r="K535" s="17">
        <v>107600</v>
      </c>
      <c r="L535" s="17">
        <v>11528.57</v>
      </c>
      <c r="M535" s="17">
        <v>96071.43</v>
      </c>
      <c r="N535" s="17">
        <v>107600</v>
      </c>
      <c r="O535" s="2"/>
      <c r="P535" s="2"/>
      <c r="Q535" s="31" t="s">
        <v>1141</v>
      </c>
      <c r="R535" s="63"/>
      <c r="S535" s="63"/>
      <c r="T535" s="5"/>
    </row>
    <row r="536" spans="1:20">
      <c r="A536" s="2" t="s">
        <v>1117</v>
      </c>
      <c r="B536" s="2" t="s">
        <v>1175</v>
      </c>
      <c r="C536" s="2" t="s">
        <v>23</v>
      </c>
      <c r="D536" s="16">
        <v>30</v>
      </c>
      <c r="E536" s="2" t="s">
        <v>1118</v>
      </c>
      <c r="F536" s="2" t="s">
        <v>1176</v>
      </c>
      <c r="G536" s="2" t="s">
        <v>1177</v>
      </c>
      <c r="H536" s="17">
        <v>63822</v>
      </c>
      <c r="I536" s="2"/>
      <c r="J536" s="2"/>
      <c r="K536" s="17">
        <v>63822</v>
      </c>
      <c r="L536" s="17">
        <v>6838.07</v>
      </c>
      <c r="M536" s="17">
        <v>56983.93</v>
      </c>
      <c r="N536" s="17">
        <v>63822</v>
      </c>
      <c r="O536" s="2"/>
      <c r="P536" s="2"/>
      <c r="Q536" s="31" t="s">
        <v>50</v>
      </c>
      <c r="R536" s="64">
        <f>+K536+K537</f>
        <v>250572</v>
      </c>
      <c r="S536" s="61">
        <f>+R536+R538+R544+R545+R546+R548+R549+R552+R554+R569+R570+R571+R574+R576+R580+R581+R583+R585+R586+R587+R589</f>
        <v>8297696.3799999999</v>
      </c>
      <c r="T536" s="5"/>
    </row>
    <row r="537" spans="1:20">
      <c r="A537" s="2" t="s">
        <v>1117</v>
      </c>
      <c r="B537" s="2" t="s">
        <v>1206</v>
      </c>
      <c r="C537" s="2" t="s">
        <v>23</v>
      </c>
      <c r="D537" s="16">
        <v>30</v>
      </c>
      <c r="E537" s="2" t="s">
        <v>1118</v>
      </c>
      <c r="F537" s="2" t="s">
        <v>1176</v>
      </c>
      <c r="G537" s="2" t="s">
        <v>1207</v>
      </c>
      <c r="H537" s="17">
        <v>186750</v>
      </c>
      <c r="I537" s="2"/>
      <c r="J537" s="2"/>
      <c r="K537" s="17">
        <v>186750</v>
      </c>
      <c r="L537" s="17">
        <v>20008.93</v>
      </c>
      <c r="M537" s="17">
        <v>166741.07</v>
      </c>
      <c r="N537" s="17">
        <v>186750</v>
      </c>
      <c r="O537" s="2"/>
      <c r="P537" s="2"/>
      <c r="Q537" s="31" t="s">
        <v>50</v>
      </c>
      <c r="R537" s="65"/>
      <c r="S537" s="62"/>
      <c r="T537" s="5"/>
    </row>
    <row r="538" spans="1:20">
      <c r="A538" s="2" t="s">
        <v>769</v>
      </c>
      <c r="B538" s="2" t="s">
        <v>823</v>
      </c>
      <c r="C538" s="2" t="s">
        <v>60</v>
      </c>
      <c r="D538" s="16">
        <v>0</v>
      </c>
      <c r="E538" s="2" t="s">
        <v>769</v>
      </c>
      <c r="F538" s="2" t="s">
        <v>824</v>
      </c>
      <c r="G538" s="2" t="s">
        <v>825</v>
      </c>
      <c r="H538" s="17">
        <v>300075</v>
      </c>
      <c r="I538" s="2"/>
      <c r="J538" s="2"/>
      <c r="K538" s="17">
        <v>300075</v>
      </c>
      <c r="L538" s="17">
        <v>32150.89</v>
      </c>
      <c r="M538" s="17">
        <v>267924.11</v>
      </c>
      <c r="N538" s="17">
        <v>300075</v>
      </c>
      <c r="O538" s="2"/>
      <c r="P538" s="2"/>
      <c r="Q538" s="31" t="s">
        <v>50</v>
      </c>
      <c r="R538" s="64">
        <f>+K538+K539</f>
        <v>356824</v>
      </c>
      <c r="S538" s="62"/>
      <c r="T538" s="5"/>
    </row>
    <row r="539" spans="1:20">
      <c r="A539" s="2" t="s">
        <v>769</v>
      </c>
      <c r="B539" s="2" t="s">
        <v>828</v>
      </c>
      <c r="C539" s="2" t="s">
        <v>60</v>
      </c>
      <c r="D539" s="16">
        <v>0</v>
      </c>
      <c r="E539" s="2" t="s">
        <v>769</v>
      </c>
      <c r="F539" s="2" t="s">
        <v>824</v>
      </c>
      <c r="G539" s="2" t="s">
        <v>829</v>
      </c>
      <c r="H539" s="17">
        <v>56749</v>
      </c>
      <c r="I539" s="2"/>
      <c r="J539" s="2"/>
      <c r="K539" s="17">
        <v>56749</v>
      </c>
      <c r="L539" s="17">
        <v>6080.25</v>
      </c>
      <c r="M539" s="17">
        <v>50668.75</v>
      </c>
      <c r="N539" s="17">
        <v>56749</v>
      </c>
      <c r="O539" s="2"/>
      <c r="P539" s="2"/>
      <c r="Q539" s="31" t="s">
        <v>50</v>
      </c>
      <c r="R539" s="65"/>
      <c r="S539" s="62"/>
      <c r="T539" s="5"/>
    </row>
    <row r="540" spans="1:20" ht="14.45" hidden="1" customHeight="1">
      <c r="A540" s="2" t="s">
        <v>17</v>
      </c>
      <c r="B540" s="2" t="s">
        <v>49</v>
      </c>
      <c r="C540" s="2" t="s">
        <v>29</v>
      </c>
      <c r="D540" s="16">
        <v>0</v>
      </c>
      <c r="E540" s="2" t="s">
        <v>17</v>
      </c>
      <c r="F540" s="2" t="s">
        <v>51</v>
      </c>
      <c r="G540" s="2" t="s">
        <v>52</v>
      </c>
      <c r="H540" s="17">
        <v>11602.84</v>
      </c>
      <c r="I540" s="2"/>
      <c r="J540" s="17">
        <v>11602.84</v>
      </c>
      <c r="K540" s="2">
        <v>0</v>
      </c>
      <c r="L540" s="17">
        <v>1243.1600000000001</v>
      </c>
      <c r="M540" s="17">
        <v>10359.68</v>
      </c>
      <c r="N540" s="17">
        <v>11602.84</v>
      </c>
      <c r="O540" s="2" t="s">
        <v>1767</v>
      </c>
      <c r="P540" s="2"/>
      <c r="Q540" s="31" t="s">
        <v>50</v>
      </c>
      <c r="R540" s="5"/>
      <c r="S540" s="62"/>
      <c r="T540" s="5"/>
    </row>
    <row r="541" spans="1:20" ht="14.45" hidden="1" customHeight="1">
      <c r="A541" s="2" t="s">
        <v>448</v>
      </c>
      <c r="B541" s="2" t="s">
        <v>476</v>
      </c>
      <c r="C541" s="2" t="s">
        <v>29</v>
      </c>
      <c r="D541" s="16">
        <v>0</v>
      </c>
      <c r="E541" s="2" t="s">
        <v>448</v>
      </c>
      <c r="F541" s="2" t="s">
        <v>51</v>
      </c>
      <c r="G541" s="2" t="s">
        <v>477</v>
      </c>
      <c r="H541" s="17">
        <v>11687.4</v>
      </c>
      <c r="I541" s="2"/>
      <c r="J541" s="17">
        <v>11687.4</v>
      </c>
      <c r="K541" s="2">
        <v>0</v>
      </c>
      <c r="L541" s="17">
        <v>1252.22</v>
      </c>
      <c r="M541" s="17">
        <v>10435.18</v>
      </c>
      <c r="N541" s="17">
        <v>11687.4</v>
      </c>
      <c r="O541" s="2" t="s">
        <v>1767</v>
      </c>
      <c r="P541" s="2"/>
      <c r="Q541" s="31" t="s">
        <v>50</v>
      </c>
      <c r="R541" s="5"/>
      <c r="S541" s="62"/>
      <c r="T541" s="5"/>
    </row>
    <row r="542" spans="1:20" ht="14.45" hidden="1" customHeight="1">
      <c r="A542" s="2" t="s">
        <v>596</v>
      </c>
      <c r="B542" s="2" t="s">
        <v>622</v>
      </c>
      <c r="C542" s="2" t="s">
        <v>29</v>
      </c>
      <c r="D542" s="16">
        <v>0</v>
      </c>
      <c r="E542" s="2" t="s">
        <v>596</v>
      </c>
      <c r="F542" s="2" t="s">
        <v>51</v>
      </c>
      <c r="G542" s="2" t="s">
        <v>623</v>
      </c>
      <c r="H542" s="17">
        <v>11657.2</v>
      </c>
      <c r="I542" s="2"/>
      <c r="J542" s="17">
        <v>11657.2</v>
      </c>
      <c r="K542" s="2">
        <v>0</v>
      </c>
      <c r="L542" s="17">
        <v>1248.99</v>
      </c>
      <c r="M542" s="17">
        <v>10408.209999999999</v>
      </c>
      <c r="N542" s="17">
        <v>11657.2</v>
      </c>
      <c r="O542" s="2"/>
      <c r="P542" s="2" t="s">
        <v>1767</v>
      </c>
      <c r="Q542" s="31" t="s">
        <v>50</v>
      </c>
      <c r="R542" s="5"/>
      <c r="S542" s="62"/>
      <c r="T542" s="5"/>
    </row>
    <row r="543" spans="1:20" ht="14.45" hidden="1" customHeight="1">
      <c r="A543" s="2" t="s">
        <v>1467</v>
      </c>
      <c r="B543" s="2" t="s">
        <v>1472</v>
      </c>
      <c r="C543" s="2" t="s">
        <v>29</v>
      </c>
      <c r="D543" s="16">
        <v>0</v>
      </c>
      <c r="E543" s="2" t="s">
        <v>1467</v>
      </c>
      <c r="F543" s="2" t="s">
        <v>51</v>
      </c>
      <c r="G543" s="2" t="s">
        <v>1473</v>
      </c>
      <c r="H543" s="17">
        <v>30168.18</v>
      </c>
      <c r="I543" s="2"/>
      <c r="J543" s="17">
        <v>30168.18</v>
      </c>
      <c r="K543" s="2">
        <v>0</v>
      </c>
      <c r="L543" s="17">
        <v>3232.31</v>
      </c>
      <c r="M543" s="17">
        <v>26935.87</v>
      </c>
      <c r="N543" s="17">
        <v>30168.18</v>
      </c>
      <c r="O543" s="2" t="s">
        <v>1767</v>
      </c>
      <c r="P543" s="2"/>
      <c r="Q543" s="31" t="s">
        <v>50</v>
      </c>
      <c r="R543" s="5"/>
      <c r="S543" s="62"/>
      <c r="T543" s="5"/>
    </row>
    <row r="544" spans="1:20">
      <c r="A544" s="2" t="s">
        <v>596</v>
      </c>
      <c r="B544" s="2" t="s">
        <v>624</v>
      </c>
      <c r="C544" s="2" t="s">
        <v>243</v>
      </c>
      <c r="D544" s="16">
        <v>30</v>
      </c>
      <c r="E544" s="2" t="s">
        <v>619</v>
      </c>
      <c r="F544" s="2" t="s">
        <v>626</v>
      </c>
      <c r="G544" s="2" t="s">
        <v>627</v>
      </c>
      <c r="H544" s="17">
        <v>4900</v>
      </c>
      <c r="I544" s="2"/>
      <c r="J544" s="2"/>
      <c r="K544" s="17">
        <v>4900</v>
      </c>
      <c r="L544" s="18">
        <v>525</v>
      </c>
      <c r="M544" s="17">
        <v>4375</v>
      </c>
      <c r="N544" s="17">
        <v>4900</v>
      </c>
      <c r="O544" s="2"/>
      <c r="P544" s="2"/>
      <c r="Q544" s="31" t="s">
        <v>625</v>
      </c>
      <c r="R544" s="41">
        <f>+K544</f>
        <v>4900</v>
      </c>
      <c r="S544" s="62"/>
      <c r="T544" s="5"/>
    </row>
    <row r="545" spans="1:20">
      <c r="A545" s="2" t="s">
        <v>1048</v>
      </c>
      <c r="B545" s="2" t="s">
        <v>1082</v>
      </c>
      <c r="C545" s="2" t="s">
        <v>60</v>
      </c>
      <c r="D545" s="16">
        <v>0</v>
      </c>
      <c r="E545" s="2" t="s">
        <v>1048</v>
      </c>
      <c r="F545" s="2" t="s">
        <v>1083</v>
      </c>
      <c r="G545" s="2" t="s">
        <v>1084</v>
      </c>
      <c r="H545" s="17">
        <v>94908</v>
      </c>
      <c r="I545" s="19">
        <v>-1898.16</v>
      </c>
      <c r="J545" s="2"/>
      <c r="K545" s="17">
        <v>93009.84</v>
      </c>
      <c r="L545" s="17">
        <v>9965.34</v>
      </c>
      <c r="M545" s="17">
        <v>83044.5</v>
      </c>
      <c r="N545" s="17">
        <v>93009.84</v>
      </c>
      <c r="O545" s="2"/>
      <c r="P545" s="2"/>
      <c r="Q545" s="31" t="s">
        <v>625</v>
      </c>
      <c r="R545" s="41">
        <f>+K545</f>
        <v>93009.84</v>
      </c>
      <c r="S545" s="62"/>
      <c r="T545" s="5"/>
    </row>
    <row r="546" spans="1:20">
      <c r="A546" s="2" t="s">
        <v>769</v>
      </c>
      <c r="B546" s="2" t="s">
        <v>792</v>
      </c>
      <c r="C546" s="2" t="s">
        <v>34</v>
      </c>
      <c r="D546" s="16">
        <v>60</v>
      </c>
      <c r="E546" s="2" t="s">
        <v>770</v>
      </c>
      <c r="F546" s="2" t="s">
        <v>793</v>
      </c>
      <c r="G546" s="2" t="s">
        <v>794</v>
      </c>
      <c r="H546" s="17">
        <v>48003</v>
      </c>
      <c r="I546" s="2"/>
      <c r="J546" s="2"/>
      <c r="K546" s="17">
        <v>48003</v>
      </c>
      <c r="L546" s="17">
        <v>5143.18</v>
      </c>
      <c r="M546" s="17">
        <v>42859.82</v>
      </c>
      <c r="N546" s="17">
        <v>48003</v>
      </c>
      <c r="O546" s="2"/>
      <c r="P546" s="2"/>
      <c r="Q546" s="31" t="s">
        <v>625</v>
      </c>
      <c r="R546" s="64">
        <f>+K546+K547</f>
        <v>49431</v>
      </c>
      <c r="S546" s="62"/>
      <c r="T546" s="5"/>
    </row>
    <row r="547" spans="1:20">
      <c r="A547" s="2" t="s">
        <v>1372</v>
      </c>
      <c r="B547" s="2" t="s">
        <v>1379</v>
      </c>
      <c r="C547" s="2" t="s">
        <v>681</v>
      </c>
      <c r="D547" s="16">
        <v>0</v>
      </c>
      <c r="E547" s="2" t="s">
        <v>1372</v>
      </c>
      <c r="F547" s="2" t="s">
        <v>793</v>
      </c>
      <c r="G547" s="2" t="s">
        <v>1380</v>
      </c>
      <c r="H547" s="17">
        <v>1428</v>
      </c>
      <c r="I547" s="2"/>
      <c r="J547" s="2"/>
      <c r="K547" s="17">
        <v>1428</v>
      </c>
      <c r="L547" s="18">
        <v>153</v>
      </c>
      <c r="M547" s="17">
        <v>1275</v>
      </c>
      <c r="N547" s="17">
        <v>1428</v>
      </c>
      <c r="O547" s="2"/>
      <c r="P547" s="2"/>
      <c r="Q547" s="31" t="s">
        <v>625</v>
      </c>
      <c r="R547" s="65"/>
      <c r="S547" s="62"/>
      <c r="T547" s="5"/>
    </row>
    <row r="548" spans="1:20">
      <c r="A548" s="2" t="s">
        <v>17</v>
      </c>
      <c r="B548" s="2" t="s">
        <v>16</v>
      </c>
      <c r="C548" s="2" t="s">
        <v>18</v>
      </c>
      <c r="D548" s="16">
        <v>0</v>
      </c>
      <c r="E548" s="2" t="s">
        <v>17</v>
      </c>
      <c r="F548" s="2" t="s">
        <v>20</v>
      </c>
      <c r="G548" s="2" t="s">
        <v>21</v>
      </c>
      <c r="H548" s="17">
        <v>105000</v>
      </c>
      <c r="I548" s="2"/>
      <c r="J548" s="2"/>
      <c r="K548" s="17">
        <v>105000</v>
      </c>
      <c r="L548" s="17">
        <v>11250</v>
      </c>
      <c r="M548" s="17">
        <v>93750</v>
      </c>
      <c r="N548" s="17">
        <v>105000</v>
      </c>
      <c r="O548" s="2"/>
      <c r="P548" s="2"/>
      <c r="Q548" s="31" t="s">
        <v>19</v>
      </c>
      <c r="R548" s="41">
        <f>+K548</f>
        <v>105000</v>
      </c>
      <c r="S548" s="62"/>
      <c r="T548" s="5"/>
    </row>
    <row r="549" spans="1:20">
      <c r="A549" s="2" t="s">
        <v>368</v>
      </c>
      <c r="B549" s="2" t="s">
        <v>388</v>
      </c>
      <c r="C549" s="2" t="s">
        <v>237</v>
      </c>
      <c r="D549" s="16">
        <v>60</v>
      </c>
      <c r="E549" s="2" t="s">
        <v>376</v>
      </c>
      <c r="F549" s="2" t="s">
        <v>389</v>
      </c>
      <c r="G549" s="2" t="s">
        <v>390</v>
      </c>
      <c r="H549" s="17">
        <v>63000</v>
      </c>
      <c r="I549" s="2"/>
      <c r="J549" s="2"/>
      <c r="K549" s="17">
        <v>63000</v>
      </c>
      <c r="L549" s="17">
        <v>6750</v>
      </c>
      <c r="M549" s="17">
        <v>56250</v>
      </c>
      <c r="N549" s="17">
        <v>63000</v>
      </c>
      <c r="O549" s="2"/>
      <c r="P549" s="2"/>
      <c r="Q549" s="31" t="s">
        <v>19</v>
      </c>
      <c r="R549" s="64">
        <f>+K549+K550+K551</f>
        <v>260400</v>
      </c>
      <c r="S549" s="62"/>
      <c r="T549" s="5"/>
    </row>
    <row r="550" spans="1:20">
      <c r="A550" s="2" t="s">
        <v>368</v>
      </c>
      <c r="B550" s="2" t="s">
        <v>428</v>
      </c>
      <c r="C550" s="2" t="s">
        <v>237</v>
      </c>
      <c r="D550" s="16">
        <v>60</v>
      </c>
      <c r="E550" s="2" t="s">
        <v>376</v>
      </c>
      <c r="F550" s="2" t="s">
        <v>389</v>
      </c>
      <c r="G550" s="2" t="s">
        <v>429</v>
      </c>
      <c r="H550" s="17">
        <v>97496</v>
      </c>
      <c r="I550" s="2"/>
      <c r="J550" s="2"/>
      <c r="K550" s="17">
        <v>97496</v>
      </c>
      <c r="L550" s="17">
        <v>10446</v>
      </c>
      <c r="M550" s="17">
        <v>87050</v>
      </c>
      <c r="N550" s="17">
        <v>97496</v>
      </c>
      <c r="O550" s="2"/>
      <c r="P550" s="2"/>
      <c r="Q550" s="31" t="s">
        <v>19</v>
      </c>
      <c r="R550" s="66"/>
      <c r="S550" s="62"/>
      <c r="T550" s="5"/>
    </row>
    <row r="551" spans="1:20">
      <c r="A551" s="2" t="s">
        <v>368</v>
      </c>
      <c r="B551" s="2" t="s">
        <v>430</v>
      </c>
      <c r="C551" s="2" t="s">
        <v>237</v>
      </c>
      <c r="D551" s="16">
        <v>60</v>
      </c>
      <c r="E551" s="2" t="s">
        <v>376</v>
      </c>
      <c r="F551" s="2" t="s">
        <v>389</v>
      </c>
      <c r="G551" s="2" t="s">
        <v>431</v>
      </c>
      <c r="H551" s="17">
        <v>99904</v>
      </c>
      <c r="I551" s="2"/>
      <c r="J551" s="2"/>
      <c r="K551" s="17">
        <v>99904</v>
      </c>
      <c r="L551" s="17">
        <v>10704</v>
      </c>
      <c r="M551" s="17">
        <v>89200</v>
      </c>
      <c r="N551" s="17">
        <v>99904</v>
      </c>
      <c r="O551" s="2"/>
      <c r="P551" s="2"/>
      <c r="Q551" s="31" t="s">
        <v>19</v>
      </c>
      <c r="R551" s="65"/>
      <c r="S551" s="62"/>
      <c r="T551" s="5"/>
    </row>
    <row r="552" spans="1:20">
      <c r="A552" s="2" t="s">
        <v>368</v>
      </c>
      <c r="B552" s="2" t="s">
        <v>414</v>
      </c>
      <c r="C552" s="2" t="s">
        <v>146</v>
      </c>
      <c r="D552" s="16">
        <v>90</v>
      </c>
      <c r="E552" s="2" t="s">
        <v>383</v>
      </c>
      <c r="F552" s="2" t="s">
        <v>415</v>
      </c>
      <c r="G552" s="2" t="s">
        <v>416</v>
      </c>
      <c r="H552" s="17">
        <v>161080</v>
      </c>
      <c r="I552" s="2"/>
      <c r="J552" s="2"/>
      <c r="K552" s="17">
        <v>161080</v>
      </c>
      <c r="L552" s="17">
        <v>17258.57</v>
      </c>
      <c r="M552" s="17">
        <v>143821.43</v>
      </c>
      <c r="N552" s="17">
        <v>161080</v>
      </c>
      <c r="O552" s="2"/>
      <c r="P552" s="2"/>
      <c r="Q552" s="31" t="s">
        <v>19</v>
      </c>
      <c r="R552" s="64">
        <f>+K552+K553</f>
        <v>1073992</v>
      </c>
      <c r="S552" s="62"/>
      <c r="T552" s="5"/>
    </row>
    <row r="553" spans="1:20">
      <c r="A553" s="2" t="s">
        <v>368</v>
      </c>
      <c r="B553" s="2" t="s">
        <v>417</v>
      </c>
      <c r="C553" s="2" t="s">
        <v>146</v>
      </c>
      <c r="D553" s="16">
        <v>90</v>
      </c>
      <c r="E553" s="2" t="s">
        <v>383</v>
      </c>
      <c r="F553" s="2" t="s">
        <v>415</v>
      </c>
      <c r="G553" s="2" t="s">
        <v>418</v>
      </c>
      <c r="H553" s="17">
        <v>912912</v>
      </c>
      <c r="I553" s="2"/>
      <c r="J553" s="2"/>
      <c r="K553" s="17">
        <v>912912</v>
      </c>
      <c r="L553" s="17">
        <v>97812</v>
      </c>
      <c r="M553" s="17">
        <v>815100</v>
      </c>
      <c r="N553" s="17">
        <v>912912</v>
      </c>
      <c r="O553" s="2"/>
      <c r="P553" s="2"/>
      <c r="Q553" s="31" t="s">
        <v>19</v>
      </c>
      <c r="R553" s="65"/>
      <c r="S553" s="62"/>
      <c r="T553" s="5"/>
    </row>
    <row r="554" spans="1:20">
      <c r="A554" s="2" t="s">
        <v>199</v>
      </c>
      <c r="B554" s="2" t="s">
        <v>266</v>
      </c>
      <c r="C554" s="2" t="s">
        <v>73</v>
      </c>
      <c r="D554" s="16">
        <v>30</v>
      </c>
      <c r="E554" s="2" t="s">
        <v>223</v>
      </c>
      <c r="F554" s="2" t="s">
        <v>267</v>
      </c>
      <c r="G554" s="2" t="s">
        <v>268</v>
      </c>
      <c r="H554" s="17">
        <v>219100</v>
      </c>
      <c r="I554" s="2"/>
      <c r="J554" s="17">
        <v>7500</v>
      </c>
      <c r="K554" s="17">
        <f>226600-J554</f>
        <v>219100</v>
      </c>
      <c r="L554" s="17">
        <v>24278.57</v>
      </c>
      <c r="M554" s="17">
        <v>202321.43</v>
      </c>
      <c r="N554" s="17">
        <v>226600</v>
      </c>
      <c r="O554" s="2"/>
      <c r="P554" s="2" t="s">
        <v>1771</v>
      </c>
      <c r="Q554" s="31" t="s">
        <v>19</v>
      </c>
      <c r="R554" s="64">
        <f>+K554+K555+K556+K557+K558+K559+K560+K561+K562+K563+K564+K565+K566+K567+K568</f>
        <v>1555156</v>
      </c>
      <c r="S554" s="62"/>
      <c r="T554" s="5"/>
    </row>
    <row r="555" spans="1:20">
      <c r="A555" s="2" t="s">
        <v>282</v>
      </c>
      <c r="B555" s="2" t="s">
        <v>347</v>
      </c>
      <c r="C555" s="2" t="s">
        <v>73</v>
      </c>
      <c r="D555" s="16">
        <v>30</v>
      </c>
      <c r="E555" s="2" t="s">
        <v>296</v>
      </c>
      <c r="F555" s="2" t="s">
        <v>267</v>
      </c>
      <c r="G555" s="2" t="s">
        <v>348</v>
      </c>
      <c r="H555" s="17">
        <v>23800</v>
      </c>
      <c r="I555" s="2"/>
      <c r="J555" s="17">
        <v>8200</v>
      </c>
      <c r="K555" s="17">
        <f>32000-J555</f>
        <v>23800</v>
      </c>
      <c r="L555" s="17">
        <v>3428.57</v>
      </c>
      <c r="M555" s="17">
        <v>28571.43</v>
      </c>
      <c r="N555" s="17">
        <v>32000</v>
      </c>
      <c r="O555" s="2"/>
      <c r="P555" s="2" t="s">
        <v>1771</v>
      </c>
      <c r="Q555" s="31" t="s">
        <v>19</v>
      </c>
      <c r="R555" s="66"/>
      <c r="S555" s="62"/>
      <c r="T555" s="5"/>
    </row>
    <row r="556" spans="1:20">
      <c r="A556" s="2" t="s">
        <v>282</v>
      </c>
      <c r="B556" s="2" t="s">
        <v>349</v>
      </c>
      <c r="C556" s="2" t="s">
        <v>73</v>
      </c>
      <c r="D556" s="16">
        <v>30</v>
      </c>
      <c r="E556" s="2" t="s">
        <v>296</v>
      </c>
      <c r="F556" s="2" t="s">
        <v>267</v>
      </c>
      <c r="G556" s="2" t="s">
        <v>350</v>
      </c>
      <c r="H556" s="17">
        <v>104000</v>
      </c>
      <c r="I556" s="2"/>
      <c r="J556" s="2"/>
      <c r="K556" s="17">
        <v>104000</v>
      </c>
      <c r="L556" s="17">
        <v>11142.86</v>
      </c>
      <c r="M556" s="17">
        <v>92857.14</v>
      </c>
      <c r="N556" s="17">
        <v>104000</v>
      </c>
      <c r="O556" s="2"/>
      <c r="P556" s="2"/>
      <c r="Q556" s="31" t="s">
        <v>19</v>
      </c>
      <c r="R556" s="66"/>
      <c r="S556" s="62"/>
      <c r="T556" s="5"/>
    </row>
    <row r="557" spans="1:20">
      <c r="A557" s="2" t="s">
        <v>448</v>
      </c>
      <c r="B557" s="2" t="s">
        <v>481</v>
      </c>
      <c r="C557" s="2" t="s">
        <v>73</v>
      </c>
      <c r="D557" s="16">
        <v>30</v>
      </c>
      <c r="E557" s="2" t="s">
        <v>482</v>
      </c>
      <c r="F557" s="2" t="s">
        <v>267</v>
      </c>
      <c r="G557" s="2" t="s">
        <v>483</v>
      </c>
      <c r="H557" s="17">
        <v>41200</v>
      </c>
      <c r="I557" s="2"/>
      <c r="J557" s="17">
        <v>10200</v>
      </c>
      <c r="K557" s="17">
        <f>51400-J557</f>
        <v>41200</v>
      </c>
      <c r="L557" s="17">
        <v>5507.14</v>
      </c>
      <c r="M557" s="17">
        <v>45892.86</v>
      </c>
      <c r="N557" s="17">
        <v>51400</v>
      </c>
      <c r="O557" s="2"/>
      <c r="P557" s="2"/>
      <c r="Q557" s="31" t="s">
        <v>19</v>
      </c>
      <c r="R557" s="66"/>
      <c r="S557" s="62"/>
      <c r="T557" s="5"/>
    </row>
    <row r="558" spans="1:20">
      <c r="A558" s="2" t="s">
        <v>448</v>
      </c>
      <c r="B558" s="2" t="s">
        <v>484</v>
      </c>
      <c r="C558" s="2" t="s">
        <v>73</v>
      </c>
      <c r="D558" s="16">
        <v>30</v>
      </c>
      <c r="E558" s="2" t="s">
        <v>482</v>
      </c>
      <c r="F558" s="2" t="s">
        <v>267</v>
      </c>
      <c r="G558" s="2" t="s">
        <v>485</v>
      </c>
      <c r="H558" s="17">
        <v>120600</v>
      </c>
      <c r="I558" s="2"/>
      <c r="J558" s="17">
        <v>13600</v>
      </c>
      <c r="K558" s="17">
        <f>134200-J558</f>
        <v>120600</v>
      </c>
      <c r="L558" s="17">
        <v>14378.57</v>
      </c>
      <c r="M558" s="17">
        <v>119821.43</v>
      </c>
      <c r="N558" s="17">
        <v>134200</v>
      </c>
      <c r="O558" s="2"/>
      <c r="P558" s="2"/>
      <c r="Q558" s="31" t="s">
        <v>19</v>
      </c>
      <c r="R558" s="66"/>
      <c r="S558" s="62"/>
      <c r="T558" s="5"/>
    </row>
    <row r="559" spans="1:20">
      <c r="A559" s="2" t="s">
        <v>448</v>
      </c>
      <c r="B559" s="2" t="s">
        <v>502</v>
      </c>
      <c r="C559" s="2" t="s">
        <v>73</v>
      </c>
      <c r="D559" s="16">
        <v>30</v>
      </c>
      <c r="E559" s="2" t="s">
        <v>482</v>
      </c>
      <c r="F559" s="2" t="s">
        <v>267</v>
      </c>
      <c r="G559" s="2" t="s">
        <v>503</v>
      </c>
      <c r="H559" s="17">
        <v>231400</v>
      </c>
      <c r="I559" s="2"/>
      <c r="J559" s="17">
        <v>13950</v>
      </c>
      <c r="K559" s="17">
        <f>245350-J559</f>
        <v>231400</v>
      </c>
      <c r="L559" s="17">
        <v>26287.5</v>
      </c>
      <c r="M559" s="17">
        <v>219062.5</v>
      </c>
      <c r="N559" s="17">
        <v>245350</v>
      </c>
      <c r="O559" s="2"/>
      <c r="P559" s="2"/>
      <c r="Q559" s="31" t="s">
        <v>19</v>
      </c>
      <c r="R559" s="66"/>
      <c r="S559" s="62"/>
      <c r="T559" s="5"/>
    </row>
    <row r="560" spans="1:20">
      <c r="A560" s="2" t="s">
        <v>505</v>
      </c>
      <c r="B560" s="2" t="s">
        <v>564</v>
      </c>
      <c r="C560" s="2" t="s">
        <v>73</v>
      </c>
      <c r="D560" s="16">
        <v>30</v>
      </c>
      <c r="E560" s="2" t="s">
        <v>518</v>
      </c>
      <c r="F560" s="2" t="s">
        <v>267</v>
      </c>
      <c r="G560" s="2" t="s">
        <v>485</v>
      </c>
      <c r="H560" s="17">
        <v>120600</v>
      </c>
      <c r="I560" s="2"/>
      <c r="J560" s="2"/>
      <c r="K560" s="17">
        <v>120600</v>
      </c>
      <c r="L560" s="17">
        <v>12921.43</v>
      </c>
      <c r="M560" s="17">
        <v>107678.57</v>
      </c>
      <c r="N560" s="17">
        <v>120600</v>
      </c>
      <c r="O560" s="2"/>
      <c r="P560" s="2"/>
      <c r="Q560" s="31" t="s">
        <v>19</v>
      </c>
      <c r="R560" s="66"/>
      <c r="S560" s="62"/>
      <c r="T560" s="5"/>
    </row>
    <row r="561" spans="1:20">
      <c r="A561" s="2" t="s">
        <v>637</v>
      </c>
      <c r="B561" s="2" t="s">
        <v>686</v>
      </c>
      <c r="C561" s="2" t="s">
        <v>73</v>
      </c>
      <c r="D561" s="16">
        <v>30</v>
      </c>
      <c r="E561" s="2" t="s">
        <v>638</v>
      </c>
      <c r="F561" s="2" t="s">
        <v>267</v>
      </c>
      <c r="G561" s="2" t="s">
        <v>687</v>
      </c>
      <c r="H561" s="17">
        <v>223360</v>
      </c>
      <c r="I561" s="2"/>
      <c r="J561" s="17">
        <v>14000</v>
      </c>
      <c r="K561" s="17">
        <f>237360-J561</f>
        <v>223360</v>
      </c>
      <c r="L561" s="17">
        <v>25431.43</v>
      </c>
      <c r="M561" s="17">
        <v>211928.57</v>
      </c>
      <c r="N561" s="17">
        <v>237360</v>
      </c>
      <c r="O561" s="2"/>
      <c r="P561" s="2" t="s">
        <v>1771</v>
      </c>
      <c r="Q561" s="31" t="s">
        <v>19</v>
      </c>
      <c r="R561" s="66"/>
      <c r="S561" s="62"/>
      <c r="T561" s="5"/>
    </row>
    <row r="562" spans="1:20">
      <c r="A562" s="2" t="s">
        <v>915</v>
      </c>
      <c r="B562" s="2" t="s">
        <v>926</v>
      </c>
      <c r="C562" s="2" t="s">
        <v>73</v>
      </c>
      <c r="D562" s="16">
        <v>30</v>
      </c>
      <c r="E562" s="2" t="s">
        <v>916</v>
      </c>
      <c r="F562" s="2" t="s">
        <v>267</v>
      </c>
      <c r="G562" s="2" t="s">
        <v>927</v>
      </c>
      <c r="H562" s="17">
        <v>7952</v>
      </c>
      <c r="I562" s="2"/>
      <c r="J562" s="2"/>
      <c r="K562" s="17">
        <v>7952</v>
      </c>
      <c r="L562" s="18">
        <v>852</v>
      </c>
      <c r="M562" s="17">
        <v>7100</v>
      </c>
      <c r="N562" s="17">
        <v>7952</v>
      </c>
      <c r="O562" s="2"/>
      <c r="P562" s="2"/>
      <c r="Q562" s="31" t="s">
        <v>19</v>
      </c>
      <c r="R562" s="66"/>
      <c r="S562" s="62"/>
      <c r="T562" s="5"/>
    </row>
    <row r="563" spans="1:20">
      <c r="A563" s="2" t="s">
        <v>915</v>
      </c>
      <c r="B563" s="2" t="s">
        <v>928</v>
      </c>
      <c r="C563" s="2" t="s">
        <v>73</v>
      </c>
      <c r="D563" s="16">
        <v>30</v>
      </c>
      <c r="E563" s="2" t="s">
        <v>916</v>
      </c>
      <c r="F563" s="2" t="s">
        <v>267</v>
      </c>
      <c r="G563" s="2" t="s">
        <v>929</v>
      </c>
      <c r="H563" s="17">
        <v>19890</v>
      </c>
      <c r="I563" s="2"/>
      <c r="J563" s="2"/>
      <c r="K563" s="17">
        <v>19890</v>
      </c>
      <c r="L563" s="17">
        <v>2131.0700000000002</v>
      </c>
      <c r="M563" s="17">
        <v>17758.93</v>
      </c>
      <c r="N563" s="17">
        <v>19890</v>
      </c>
      <c r="O563" s="2"/>
      <c r="P563" s="2"/>
      <c r="Q563" s="31" t="s">
        <v>19</v>
      </c>
      <c r="R563" s="66"/>
      <c r="S563" s="62"/>
      <c r="T563" s="5"/>
    </row>
    <row r="564" spans="1:20">
      <c r="A564" s="2" t="s">
        <v>915</v>
      </c>
      <c r="B564" s="2" t="s">
        <v>930</v>
      </c>
      <c r="C564" s="2" t="s">
        <v>73</v>
      </c>
      <c r="D564" s="16">
        <v>30</v>
      </c>
      <c r="E564" s="2" t="s">
        <v>916</v>
      </c>
      <c r="F564" s="2" t="s">
        <v>267</v>
      </c>
      <c r="G564" s="2" t="s">
        <v>931</v>
      </c>
      <c r="H564" s="17">
        <v>9180</v>
      </c>
      <c r="I564" s="2"/>
      <c r="J564" s="2"/>
      <c r="K564" s="17">
        <v>9180</v>
      </c>
      <c r="L564" s="18">
        <v>983.57</v>
      </c>
      <c r="M564" s="17">
        <v>8196.43</v>
      </c>
      <c r="N564" s="17">
        <v>9180</v>
      </c>
      <c r="O564" s="2"/>
      <c r="P564" s="2"/>
      <c r="Q564" s="31" t="s">
        <v>19</v>
      </c>
      <c r="R564" s="66"/>
      <c r="S564" s="62"/>
      <c r="T564" s="5"/>
    </row>
    <row r="565" spans="1:20">
      <c r="A565" s="2" t="s">
        <v>915</v>
      </c>
      <c r="B565" s="2" t="s">
        <v>932</v>
      </c>
      <c r="C565" s="2" t="s">
        <v>73</v>
      </c>
      <c r="D565" s="16">
        <v>30</v>
      </c>
      <c r="E565" s="2" t="s">
        <v>916</v>
      </c>
      <c r="F565" s="2" t="s">
        <v>267</v>
      </c>
      <c r="G565" s="2" t="s">
        <v>933</v>
      </c>
      <c r="H565" s="17">
        <v>8274</v>
      </c>
      <c r="I565" s="2"/>
      <c r="J565" s="2"/>
      <c r="K565" s="17">
        <v>8274</v>
      </c>
      <c r="L565" s="18">
        <v>886.5</v>
      </c>
      <c r="M565" s="17">
        <v>7387.5</v>
      </c>
      <c r="N565" s="17">
        <v>8274</v>
      </c>
      <c r="O565" s="2"/>
      <c r="P565" s="2"/>
      <c r="Q565" s="31" t="s">
        <v>19</v>
      </c>
      <c r="R565" s="66"/>
      <c r="S565" s="62"/>
      <c r="T565" s="5"/>
    </row>
    <row r="566" spans="1:20">
      <c r="A566" s="2" t="s">
        <v>1048</v>
      </c>
      <c r="B566" s="2" t="s">
        <v>1104</v>
      </c>
      <c r="C566" s="2" t="s">
        <v>73</v>
      </c>
      <c r="D566" s="16">
        <v>30</v>
      </c>
      <c r="E566" s="2" t="s">
        <v>1056</v>
      </c>
      <c r="F566" s="2" t="s">
        <v>267</v>
      </c>
      <c r="G566" s="2" t="s">
        <v>1105</v>
      </c>
      <c r="H566" s="17">
        <v>204680</v>
      </c>
      <c r="I566" s="2"/>
      <c r="J566" s="17">
        <v>17000</v>
      </c>
      <c r="K566" s="17">
        <f>221680-J566</f>
        <v>204680</v>
      </c>
      <c r="L566" s="17">
        <v>23751.43</v>
      </c>
      <c r="M566" s="17">
        <v>197928.57</v>
      </c>
      <c r="N566" s="17">
        <v>221680</v>
      </c>
      <c r="O566" s="2"/>
      <c r="P566" s="2"/>
      <c r="Q566" s="31" t="s">
        <v>19</v>
      </c>
      <c r="R566" s="66"/>
      <c r="S566" s="62"/>
      <c r="T566" s="5"/>
    </row>
    <row r="567" spans="1:20">
      <c r="A567" s="2" t="s">
        <v>1048</v>
      </c>
      <c r="B567" s="2" t="s">
        <v>1106</v>
      </c>
      <c r="C567" s="2" t="s">
        <v>73</v>
      </c>
      <c r="D567" s="16">
        <v>30</v>
      </c>
      <c r="E567" s="2" t="s">
        <v>1056</v>
      </c>
      <c r="F567" s="2" t="s">
        <v>267</v>
      </c>
      <c r="G567" s="2" t="s">
        <v>1107</v>
      </c>
      <c r="H567" s="17">
        <v>12040</v>
      </c>
      <c r="I567" s="2"/>
      <c r="J567" s="2"/>
      <c r="K567" s="17">
        <v>12040</v>
      </c>
      <c r="L567" s="17">
        <v>1290</v>
      </c>
      <c r="M567" s="17">
        <v>10750</v>
      </c>
      <c r="N567" s="17">
        <v>12040</v>
      </c>
      <c r="O567" s="2"/>
      <c r="P567" s="2"/>
      <c r="Q567" s="31" t="s">
        <v>19</v>
      </c>
      <c r="R567" s="66"/>
      <c r="S567" s="62"/>
      <c r="T567" s="5"/>
    </row>
    <row r="568" spans="1:20">
      <c r="A568" s="2" t="s">
        <v>1287</v>
      </c>
      <c r="B568" s="2" t="s">
        <v>1342</v>
      </c>
      <c r="C568" s="2" t="s">
        <v>73</v>
      </c>
      <c r="D568" s="16">
        <v>30</v>
      </c>
      <c r="E568" s="2" t="s">
        <v>1297</v>
      </c>
      <c r="F568" s="2" t="s">
        <v>267</v>
      </c>
      <c r="G568" s="2" t="s">
        <v>1343</v>
      </c>
      <c r="H568" s="17">
        <v>209080</v>
      </c>
      <c r="I568" s="2"/>
      <c r="J568" s="2"/>
      <c r="K568" s="17">
        <v>209080</v>
      </c>
      <c r="L568" s="17">
        <v>22401.43</v>
      </c>
      <c r="M568" s="17">
        <v>186678.57</v>
      </c>
      <c r="N568" s="17">
        <v>209080</v>
      </c>
      <c r="O568" s="2"/>
      <c r="P568" s="2"/>
      <c r="Q568" s="31" t="s">
        <v>19</v>
      </c>
      <c r="R568" s="65"/>
      <c r="S568" s="62"/>
      <c r="T568" s="5"/>
    </row>
    <row r="569" spans="1:20">
      <c r="A569" s="2" t="s">
        <v>93</v>
      </c>
      <c r="B569" s="2" t="s">
        <v>172</v>
      </c>
      <c r="C569" s="2" t="s">
        <v>162</v>
      </c>
      <c r="D569" s="16">
        <v>90</v>
      </c>
      <c r="E569" s="2" t="s">
        <v>147</v>
      </c>
      <c r="F569" s="2" t="s">
        <v>173</v>
      </c>
      <c r="G569" s="2" t="s">
        <v>174</v>
      </c>
      <c r="H569" s="17">
        <v>36747</v>
      </c>
      <c r="I569" s="2"/>
      <c r="J569" s="2"/>
      <c r="K569" s="17">
        <v>36747</v>
      </c>
      <c r="L569" s="17">
        <v>3937.18</v>
      </c>
      <c r="M569" s="17">
        <v>32809.82</v>
      </c>
      <c r="N569" s="17">
        <v>36747</v>
      </c>
      <c r="O569" s="2"/>
      <c r="P569" s="2"/>
      <c r="Q569" s="31" t="s">
        <v>19</v>
      </c>
      <c r="R569" s="41">
        <f>+K569</f>
        <v>36747</v>
      </c>
      <c r="S569" s="62"/>
      <c r="T569" s="5"/>
    </row>
    <row r="570" spans="1:20">
      <c r="A570" s="2" t="s">
        <v>448</v>
      </c>
      <c r="B570" s="2" t="s">
        <v>461</v>
      </c>
      <c r="C570" s="2" t="s">
        <v>60</v>
      </c>
      <c r="D570" s="16">
        <v>0</v>
      </c>
      <c r="E570" s="2" t="s">
        <v>448</v>
      </c>
      <c r="F570" s="2" t="s">
        <v>462</v>
      </c>
      <c r="G570" s="2" t="s">
        <v>463</v>
      </c>
      <c r="H570" s="17">
        <v>9605</v>
      </c>
      <c r="I570" s="2"/>
      <c r="J570" s="2"/>
      <c r="K570" s="17">
        <v>9605</v>
      </c>
      <c r="L570" s="17">
        <v>1029.1099999999999</v>
      </c>
      <c r="M570" s="17">
        <v>8575.89</v>
      </c>
      <c r="N570" s="17">
        <v>9605</v>
      </c>
      <c r="O570" s="2"/>
      <c r="P570" s="2"/>
      <c r="Q570" s="31" t="s">
        <v>19</v>
      </c>
      <c r="R570" s="41">
        <f>+K570</f>
        <v>9605</v>
      </c>
      <c r="S570" s="62"/>
      <c r="T570" s="5"/>
    </row>
    <row r="571" spans="1:20">
      <c r="A571" s="2" t="s">
        <v>282</v>
      </c>
      <c r="B571" s="2" t="s">
        <v>285</v>
      </c>
      <c r="C571" s="2" t="s">
        <v>34</v>
      </c>
      <c r="D571" s="16">
        <v>60</v>
      </c>
      <c r="E571" s="2" t="s">
        <v>286</v>
      </c>
      <c r="F571" s="2" t="s">
        <v>287</v>
      </c>
      <c r="G571" s="2" t="s">
        <v>288</v>
      </c>
      <c r="H571" s="17">
        <v>19080</v>
      </c>
      <c r="I571" s="2"/>
      <c r="J571" s="2"/>
      <c r="K571" s="17">
        <v>19080</v>
      </c>
      <c r="L571" s="17">
        <v>2044.29</v>
      </c>
      <c r="M571" s="17">
        <v>17035.71</v>
      </c>
      <c r="N571" s="17">
        <v>19080</v>
      </c>
      <c r="O571" s="2"/>
      <c r="P571" s="2"/>
      <c r="Q571" s="31" t="s">
        <v>19</v>
      </c>
      <c r="R571" s="64">
        <f>+K571+K572+K573</f>
        <v>154780</v>
      </c>
      <c r="S571" s="62"/>
      <c r="T571" s="5"/>
    </row>
    <row r="572" spans="1:20">
      <c r="A572" s="2" t="s">
        <v>971</v>
      </c>
      <c r="B572" s="2" t="s">
        <v>1000</v>
      </c>
      <c r="C572" s="2" t="s">
        <v>34</v>
      </c>
      <c r="D572" s="16">
        <v>60</v>
      </c>
      <c r="E572" s="2" t="s">
        <v>991</v>
      </c>
      <c r="F572" s="2" t="s">
        <v>287</v>
      </c>
      <c r="G572" s="2" t="s">
        <v>1001</v>
      </c>
      <c r="H572" s="17">
        <v>25200</v>
      </c>
      <c r="I572" s="2"/>
      <c r="J572" s="2"/>
      <c r="K572" s="17">
        <v>25200</v>
      </c>
      <c r="L572" s="17">
        <v>2700</v>
      </c>
      <c r="M572" s="17">
        <v>22500</v>
      </c>
      <c r="N572" s="17">
        <v>25200</v>
      </c>
      <c r="O572" s="2"/>
      <c r="P572" s="2"/>
      <c r="Q572" s="31" t="s">
        <v>19</v>
      </c>
      <c r="R572" s="66"/>
      <c r="S572" s="62"/>
      <c r="T572" s="5"/>
    </row>
    <row r="573" spans="1:20">
      <c r="A573" s="2" t="s">
        <v>1553</v>
      </c>
      <c r="B573" s="2" t="s">
        <v>1589</v>
      </c>
      <c r="C573" s="2" t="s">
        <v>34</v>
      </c>
      <c r="D573" s="16">
        <v>60</v>
      </c>
      <c r="E573" s="2" t="s">
        <v>1557</v>
      </c>
      <c r="F573" s="2" t="s">
        <v>287</v>
      </c>
      <c r="G573" s="2" t="s">
        <v>1590</v>
      </c>
      <c r="H573" s="17">
        <v>110500</v>
      </c>
      <c r="I573" s="2"/>
      <c r="J573" s="2"/>
      <c r="K573" s="17">
        <v>110500</v>
      </c>
      <c r="L573" s="17">
        <v>11839.29</v>
      </c>
      <c r="M573" s="17">
        <v>98660.71</v>
      </c>
      <c r="N573" s="17">
        <v>110500</v>
      </c>
      <c r="O573" s="2"/>
      <c r="P573" s="2"/>
      <c r="Q573" s="31" t="s">
        <v>19</v>
      </c>
      <c r="R573" s="65"/>
      <c r="S573" s="62"/>
      <c r="T573" s="5"/>
    </row>
    <row r="574" spans="1:20">
      <c r="A574" s="2" t="s">
        <v>637</v>
      </c>
      <c r="B574" s="2" t="s">
        <v>671</v>
      </c>
      <c r="C574" s="2" t="s">
        <v>162</v>
      </c>
      <c r="D574" s="16">
        <v>90</v>
      </c>
      <c r="E574" s="2" t="s">
        <v>655</v>
      </c>
      <c r="F574" s="2" t="s">
        <v>672</v>
      </c>
      <c r="G574" s="2" t="s">
        <v>673</v>
      </c>
      <c r="H574" s="17">
        <v>11760</v>
      </c>
      <c r="I574" s="2"/>
      <c r="J574" s="2"/>
      <c r="K574" s="17">
        <v>11760</v>
      </c>
      <c r="L574" s="17">
        <v>1260</v>
      </c>
      <c r="M574" s="17">
        <v>10500</v>
      </c>
      <c r="N574" s="17">
        <v>11760</v>
      </c>
      <c r="O574" s="2"/>
      <c r="P574" s="2"/>
      <c r="Q574" s="31" t="s">
        <v>19</v>
      </c>
      <c r="R574" s="64">
        <f>+K574+K575</f>
        <v>23520</v>
      </c>
      <c r="S574" s="62"/>
      <c r="T574" s="5"/>
    </row>
    <row r="575" spans="1:20">
      <c r="A575" s="2" t="s">
        <v>637</v>
      </c>
      <c r="B575" s="2" t="s">
        <v>674</v>
      </c>
      <c r="C575" s="2" t="s">
        <v>162</v>
      </c>
      <c r="D575" s="16">
        <v>90</v>
      </c>
      <c r="E575" s="2" t="s">
        <v>655</v>
      </c>
      <c r="F575" s="2" t="s">
        <v>672</v>
      </c>
      <c r="G575" s="2" t="s">
        <v>673</v>
      </c>
      <c r="H575" s="17">
        <v>11760</v>
      </c>
      <c r="I575" s="2"/>
      <c r="J575" s="2"/>
      <c r="K575" s="17">
        <v>11760</v>
      </c>
      <c r="L575" s="17">
        <v>1260</v>
      </c>
      <c r="M575" s="17">
        <v>10500</v>
      </c>
      <c r="N575" s="17">
        <v>11760</v>
      </c>
      <c r="O575" s="2"/>
      <c r="P575" s="2"/>
      <c r="Q575" s="31" t="s">
        <v>19</v>
      </c>
      <c r="R575" s="65"/>
      <c r="S575" s="62"/>
      <c r="T575" s="5"/>
    </row>
    <row r="576" spans="1:20">
      <c r="A576" s="2" t="s">
        <v>915</v>
      </c>
      <c r="B576" s="2" t="s">
        <v>936</v>
      </c>
      <c r="C576" s="2" t="s">
        <v>54</v>
      </c>
      <c r="D576" s="16">
        <v>90</v>
      </c>
      <c r="E576" s="2" t="s">
        <v>924</v>
      </c>
      <c r="F576" s="2" t="s">
        <v>937</v>
      </c>
      <c r="G576" s="2" t="s">
        <v>938</v>
      </c>
      <c r="H576" s="17">
        <v>430000</v>
      </c>
      <c r="I576" s="2"/>
      <c r="J576" s="2"/>
      <c r="K576" s="17">
        <v>430000</v>
      </c>
      <c r="L576" s="17">
        <v>46071.43</v>
      </c>
      <c r="M576" s="17">
        <v>383928.57</v>
      </c>
      <c r="N576" s="17">
        <v>430000</v>
      </c>
      <c r="O576" s="2"/>
      <c r="P576" s="2"/>
      <c r="Q576" s="31" t="s">
        <v>19</v>
      </c>
      <c r="R576" s="64">
        <f>+K576+K577+K578+K579</f>
        <v>1612500</v>
      </c>
      <c r="S576" s="62"/>
      <c r="T576" s="5"/>
    </row>
    <row r="577" spans="1:20">
      <c r="A577" s="2" t="s">
        <v>1117</v>
      </c>
      <c r="B577" s="2" t="s">
        <v>1165</v>
      </c>
      <c r="C577" s="2" t="s">
        <v>54</v>
      </c>
      <c r="D577" s="16">
        <v>90</v>
      </c>
      <c r="E577" s="2" t="s">
        <v>1156</v>
      </c>
      <c r="F577" s="2" t="s">
        <v>937</v>
      </c>
      <c r="G577" s="2" t="s">
        <v>1166</v>
      </c>
      <c r="H577" s="17">
        <v>537500</v>
      </c>
      <c r="I577" s="2"/>
      <c r="J577" s="2"/>
      <c r="K577" s="17">
        <v>537500</v>
      </c>
      <c r="L577" s="17">
        <v>57589.29</v>
      </c>
      <c r="M577" s="17">
        <v>479910.71</v>
      </c>
      <c r="N577" s="17">
        <v>537500</v>
      </c>
      <c r="O577" s="2"/>
      <c r="P577" s="2"/>
      <c r="Q577" s="31" t="s">
        <v>19</v>
      </c>
      <c r="R577" s="66"/>
      <c r="S577" s="62"/>
      <c r="T577" s="5"/>
    </row>
    <row r="578" spans="1:20">
      <c r="A578" s="2" t="s">
        <v>1117</v>
      </c>
      <c r="B578" s="2" t="s">
        <v>1167</v>
      </c>
      <c r="C578" s="2" t="s">
        <v>54</v>
      </c>
      <c r="D578" s="16">
        <v>90</v>
      </c>
      <c r="E578" s="2" t="s">
        <v>1156</v>
      </c>
      <c r="F578" s="2" t="s">
        <v>937</v>
      </c>
      <c r="G578" s="2" t="s">
        <v>1168</v>
      </c>
      <c r="H578" s="17">
        <v>107500</v>
      </c>
      <c r="I578" s="2"/>
      <c r="J578" s="2"/>
      <c r="K578" s="17">
        <v>107500</v>
      </c>
      <c r="L578" s="17">
        <v>11517.86</v>
      </c>
      <c r="M578" s="17">
        <v>95982.14</v>
      </c>
      <c r="N578" s="17">
        <v>107500</v>
      </c>
      <c r="O578" s="2"/>
      <c r="P578" s="2"/>
      <c r="Q578" s="31" t="s">
        <v>19</v>
      </c>
      <c r="R578" s="66"/>
      <c r="S578" s="62"/>
      <c r="T578" s="5"/>
    </row>
    <row r="579" spans="1:20">
      <c r="A579" s="2" t="s">
        <v>1553</v>
      </c>
      <c r="B579" s="2" t="s">
        <v>1603</v>
      </c>
      <c r="C579" s="2" t="s">
        <v>54</v>
      </c>
      <c r="D579" s="16">
        <v>90</v>
      </c>
      <c r="E579" s="2" t="s">
        <v>1554</v>
      </c>
      <c r="F579" s="2" t="s">
        <v>937</v>
      </c>
      <c r="G579" s="2" t="s">
        <v>1604</v>
      </c>
      <c r="H579" s="17">
        <v>537500</v>
      </c>
      <c r="I579" s="2"/>
      <c r="J579" s="2"/>
      <c r="K579" s="17">
        <v>537500</v>
      </c>
      <c r="L579" s="17">
        <v>57589.29</v>
      </c>
      <c r="M579" s="17">
        <v>479910.71</v>
      </c>
      <c r="N579" s="17">
        <v>537500</v>
      </c>
      <c r="O579" s="2"/>
      <c r="P579" s="2"/>
      <c r="Q579" s="31" t="s">
        <v>19</v>
      </c>
      <c r="R579" s="65"/>
      <c r="S579" s="62"/>
      <c r="T579" s="5"/>
    </row>
    <row r="580" spans="1:20">
      <c r="A580" s="2" t="s">
        <v>17</v>
      </c>
      <c r="B580" s="2" t="s">
        <v>72</v>
      </c>
      <c r="C580" s="2" t="s">
        <v>73</v>
      </c>
      <c r="D580" s="16">
        <v>30</v>
      </c>
      <c r="E580" s="2" t="s">
        <v>24</v>
      </c>
      <c r="F580" s="2" t="s">
        <v>74</v>
      </c>
      <c r="G580" s="2" t="s">
        <v>75</v>
      </c>
      <c r="H580" s="17">
        <v>369000</v>
      </c>
      <c r="I580" s="2"/>
      <c r="J580" s="2"/>
      <c r="K580" s="17">
        <v>369000</v>
      </c>
      <c r="L580" s="17">
        <v>39535.71</v>
      </c>
      <c r="M580" s="17">
        <v>329464.28999999998</v>
      </c>
      <c r="N580" s="17">
        <v>369000</v>
      </c>
      <c r="O580" s="2"/>
      <c r="P580" s="2"/>
      <c r="Q580" s="31" t="s">
        <v>19</v>
      </c>
      <c r="R580" s="41">
        <f>+K580</f>
        <v>369000</v>
      </c>
      <c r="S580" s="62"/>
      <c r="T580" s="5"/>
    </row>
    <row r="581" spans="1:20">
      <c r="A581" s="2" t="s">
        <v>199</v>
      </c>
      <c r="B581" s="2" t="s">
        <v>246</v>
      </c>
      <c r="C581" s="2" t="s">
        <v>73</v>
      </c>
      <c r="D581" s="16">
        <v>30</v>
      </c>
      <c r="E581" s="2" t="s">
        <v>223</v>
      </c>
      <c r="F581" s="2" t="s">
        <v>247</v>
      </c>
      <c r="G581" s="2" t="s">
        <v>248</v>
      </c>
      <c r="H581" s="17">
        <v>468480</v>
      </c>
      <c r="I581" s="2"/>
      <c r="J581" s="2"/>
      <c r="K581" s="17">
        <v>468480</v>
      </c>
      <c r="L581" s="17">
        <v>50194.29</v>
      </c>
      <c r="M581" s="17">
        <v>418285.71</v>
      </c>
      <c r="N581" s="17">
        <v>468480</v>
      </c>
      <c r="O581" s="2"/>
      <c r="P581" s="2"/>
      <c r="Q581" s="31" t="s">
        <v>19</v>
      </c>
      <c r="R581" s="64">
        <f>+K581+K582</f>
        <v>939600</v>
      </c>
      <c r="S581" s="62"/>
      <c r="T581" s="5"/>
    </row>
    <row r="582" spans="1:20">
      <c r="A582" s="2" t="s">
        <v>1117</v>
      </c>
      <c r="B582" s="2" t="s">
        <v>1180</v>
      </c>
      <c r="C582" s="2" t="s">
        <v>73</v>
      </c>
      <c r="D582" s="16">
        <v>30</v>
      </c>
      <c r="E582" s="2" t="s">
        <v>1118</v>
      </c>
      <c r="F582" s="2" t="s">
        <v>247</v>
      </c>
      <c r="G582" s="2" t="s">
        <v>1181</v>
      </c>
      <c r="H582" s="17">
        <v>471120</v>
      </c>
      <c r="I582" s="2"/>
      <c r="J582" s="2"/>
      <c r="K582" s="17">
        <v>471120</v>
      </c>
      <c r="L582" s="17">
        <v>50477.14</v>
      </c>
      <c r="M582" s="17">
        <v>420642.86</v>
      </c>
      <c r="N582" s="17">
        <v>471120</v>
      </c>
      <c r="O582" s="2"/>
      <c r="P582" s="2"/>
      <c r="Q582" s="31" t="s">
        <v>19</v>
      </c>
      <c r="R582" s="65"/>
      <c r="S582" s="62"/>
      <c r="T582" s="5"/>
    </row>
    <row r="583" spans="1:20">
      <c r="A583" s="2" t="s">
        <v>637</v>
      </c>
      <c r="B583" s="2" t="s">
        <v>677</v>
      </c>
      <c r="C583" s="2" t="s">
        <v>151</v>
      </c>
      <c r="D583" s="16">
        <v>60</v>
      </c>
      <c r="E583" s="2" t="s">
        <v>659</v>
      </c>
      <c r="F583" s="2" t="s">
        <v>678</v>
      </c>
      <c r="G583" s="2" t="s">
        <v>679</v>
      </c>
      <c r="H583" s="17">
        <v>162500</v>
      </c>
      <c r="I583" s="2"/>
      <c r="J583" s="2"/>
      <c r="K583" s="17">
        <v>162500</v>
      </c>
      <c r="L583" s="17">
        <v>17410.71</v>
      </c>
      <c r="M583" s="17">
        <v>145089.29</v>
      </c>
      <c r="N583" s="17">
        <v>162500</v>
      </c>
      <c r="O583" s="2"/>
      <c r="P583" s="2"/>
      <c r="Q583" s="31" t="s">
        <v>19</v>
      </c>
      <c r="R583" s="64">
        <f>+K583+K584</f>
        <v>188500</v>
      </c>
      <c r="S583" s="62"/>
      <c r="T583" s="5"/>
    </row>
    <row r="584" spans="1:20">
      <c r="A584" s="2" t="s">
        <v>1467</v>
      </c>
      <c r="B584" s="2" t="s">
        <v>1532</v>
      </c>
      <c r="C584" s="2" t="s">
        <v>151</v>
      </c>
      <c r="D584" s="16">
        <v>60</v>
      </c>
      <c r="E584" s="2" t="s">
        <v>1495</v>
      </c>
      <c r="F584" s="2" t="s">
        <v>678</v>
      </c>
      <c r="G584" s="2" t="s">
        <v>1533</v>
      </c>
      <c r="H584" s="17">
        <v>26000</v>
      </c>
      <c r="I584" s="2"/>
      <c r="J584" s="2"/>
      <c r="K584" s="17">
        <v>26000</v>
      </c>
      <c r="L584" s="17">
        <v>2785.71</v>
      </c>
      <c r="M584" s="17">
        <v>23214.29</v>
      </c>
      <c r="N584" s="17">
        <v>26000</v>
      </c>
      <c r="O584" s="2"/>
      <c r="P584" s="2"/>
      <c r="Q584" s="31" t="s">
        <v>19</v>
      </c>
      <c r="R584" s="65"/>
      <c r="S584" s="62"/>
      <c r="T584" s="5"/>
    </row>
    <row r="585" spans="1:20">
      <c r="A585" s="2" t="s">
        <v>282</v>
      </c>
      <c r="B585" s="2" t="s">
        <v>281</v>
      </c>
      <c r="C585" s="2" t="s">
        <v>60</v>
      </c>
      <c r="D585" s="16">
        <v>0</v>
      </c>
      <c r="E585" s="2" t="s">
        <v>282</v>
      </c>
      <c r="F585" s="2" t="s">
        <v>283</v>
      </c>
      <c r="G585" s="2" t="s">
        <v>284</v>
      </c>
      <c r="H585" s="17">
        <v>51923</v>
      </c>
      <c r="I585" s="19">
        <v>-1038.46</v>
      </c>
      <c r="J585" s="2"/>
      <c r="K585" s="17">
        <v>50884.54</v>
      </c>
      <c r="L585" s="17">
        <v>5451.91</v>
      </c>
      <c r="M585" s="17">
        <v>45432.63</v>
      </c>
      <c r="N585" s="17">
        <v>50884.54</v>
      </c>
      <c r="O585" s="2"/>
      <c r="P585" s="2"/>
      <c r="Q585" s="31" t="s">
        <v>19</v>
      </c>
      <c r="R585" s="41">
        <f>+K585</f>
        <v>50884.54</v>
      </c>
      <c r="S585" s="62"/>
      <c r="T585" s="5"/>
    </row>
    <row r="586" spans="1:20">
      <c r="A586" s="2" t="s">
        <v>915</v>
      </c>
      <c r="B586" s="2" t="s">
        <v>939</v>
      </c>
      <c r="C586" s="2" t="s">
        <v>34</v>
      </c>
      <c r="D586" s="16">
        <v>60</v>
      </c>
      <c r="E586" s="2" t="s">
        <v>918</v>
      </c>
      <c r="F586" s="2" t="s">
        <v>940</v>
      </c>
      <c r="G586" s="2" t="s">
        <v>941</v>
      </c>
      <c r="H586" s="17">
        <v>19604</v>
      </c>
      <c r="I586" s="2"/>
      <c r="J586" s="2"/>
      <c r="K586" s="17">
        <v>19604</v>
      </c>
      <c r="L586" s="17">
        <v>2100.4299999999998</v>
      </c>
      <c r="M586" s="17">
        <v>17503.57</v>
      </c>
      <c r="N586" s="17">
        <v>19604</v>
      </c>
      <c r="O586" s="2"/>
      <c r="P586" s="2"/>
      <c r="Q586" s="31" t="s">
        <v>19</v>
      </c>
      <c r="R586" s="41">
        <f>+K586</f>
        <v>19604</v>
      </c>
      <c r="S586" s="62"/>
      <c r="T586" s="5"/>
    </row>
    <row r="587" spans="1:20">
      <c r="A587" s="2" t="s">
        <v>505</v>
      </c>
      <c r="B587" s="2" t="s">
        <v>552</v>
      </c>
      <c r="C587" s="2" t="s">
        <v>73</v>
      </c>
      <c r="D587" s="16">
        <v>30</v>
      </c>
      <c r="E587" s="2" t="s">
        <v>518</v>
      </c>
      <c r="F587" s="2" t="s">
        <v>553</v>
      </c>
      <c r="G587" s="2" t="s">
        <v>554</v>
      </c>
      <c r="H587" s="17">
        <v>89266</v>
      </c>
      <c r="I587" s="2"/>
      <c r="J587" s="2"/>
      <c r="K587" s="17">
        <v>89266</v>
      </c>
      <c r="L587" s="17">
        <v>9564.2099999999991</v>
      </c>
      <c r="M587" s="17">
        <v>79701.789999999994</v>
      </c>
      <c r="N587" s="17">
        <v>89266</v>
      </c>
      <c r="O587" s="2"/>
      <c r="P587" s="2"/>
      <c r="Q587" s="31" t="s">
        <v>19</v>
      </c>
      <c r="R587" s="64">
        <f>+K587+K588</f>
        <v>210040</v>
      </c>
      <c r="S587" s="62"/>
      <c r="T587" s="5"/>
    </row>
    <row r="588" spans="1:20">
      <c r="A588" s="2" t="s">
        <v>505</v>
      </c>
      <c r="B588" s="2" t="s">
        <v>555</v>
      </c>
      <c r="C588" s="2" t="s">
        <v>73</v>
      </c>
      <c r="D588" s="16">
        <v>30</v>
      </c>
      <c r="E588" s="2" t="s">
        <v>518</v>
      </c>
      <c r="F588" s="2" t="s">
        <v>553</v>
      </c>
      <c r="G588" s="2" t="s">
        <v>556</v>
      </c>
      <c r="H588" s="17">
        <v>120774</v>
      </c>
      <c r="I588" s="2"/>
      <c r="J588" s="2"/>
      <c r="K588" s="17">
        <v>120774</v>
      </c>
      <c r="L588" s="17">
        <v>12940.07</v>
      </c>
      <c r="M588" s="17">
        <v>107833.93</v>
      </c>
      <c r="N588" s="17">
        <v>120774</v>
      </c>
      <c r="O588" s="2"/>
      <c r="P588" s="2"/>
      <c r="Q588" s="31" t="s">
        <v>19</v>
      </c>
      <c r="R588" s="65"/>
      <c r="S588" s="62"/>
      <c r="T588" s="5"/>
    </row>
    <row r="589" spans="1:20">
      <c r="A589" s="2" t="s">
        <v>505</v>
      </c>
      <c r="B589" s="2" t="s">
        <v>542</v>
      </c>
      <c r="C589" s="2" t="s">
        <v>162</v>
      </c>
      <c r="D589" s="16">
        <v>90</v>
      </c>
      <c r="E589" s="2" t="s">
        <v>532</v>
      </c>
      <c r="F589" s="2" t="s">
        <v>543</v>
      </c>
      <c r="G589" s="2" t="s">
        <v>544</v>
      </c>
      <c r="H589" s="17">
        <v>347124</v>
      </c>
      <c r="I589" s="2"/>
      <c r="J589" s="2"/>
      <c r="K589" s="17">
        <v>347124</v>
      </c>
      <c r="L589" s="17">
        <v>37191.86</v>
      </c>
      <c r="M589" s="17">
        <v>309932.14</v>
      </c>
      <c r="N589" s="17">
        <v>347124</v>
      </c>
      <c r="O589" s="2"/>
      <c r="P589" s="2"/>
      <c r="Q589" s="31" t="s">
        <v>19</v>
      </c>
      <c r="R589" s="64">
        <f>+K589+K590+K591</f>
        <v>933631</v>
      </c>
      <c r="S589" s="62"/>
      <c r="T589" s="5"/>
    </row>
    <row r="590" spans="1:20">
      <c r="A590" s="2" t="s">
        <v>596</v>
      </c>
      <c r="B590" s="2" t="s">
        <v>634</v>
      </c>
      <c r="C590" s="2" t="s">
        <v>146</v>
      </c>
      <c r="D590" s="16">
        <v>90</v>
      </c>
      <c r="E590" s="2" t="s">
        <v>597</v>
      </c>
      <c r="F590" s="2" t="s">
        <v>543</v>
      </c>
      <c r="G590" s="2" t="s">
        <v>635</v>
      </c>
      <c r="H590" s="17">
        <v>199515</v>
      </c>
      <c r="I590" s="2"/>
      <c r="J590" s="2"/>
      <c r="K590" s="17">
        <v>199515</v>
      </c>
      <c r="L590" s="17">
        <v>21376.61</v>
      </c>
      <c r="M590" s="17">
        <v>178138.39</v>
      </c>
      <c r="N590" s="17">
        <v>199515</v>
      </c>
      <c r="O590" s="2"/>
      <c r="P590" s="2"/>
      <c r="Q590" s="31" t="s">
        <v>19</v>
      </c>
      <c r="R590" s="66"/>
      <c r="S590" s="62"/>
      <c r="T590" s="5"/>
    </row>
    <row r="591" spans="1:20">
      <c r="A591" s="2" t="s">
        <v>971</v>
      </c>
      <c r="B591" s="2" t="s">
        <v>1022</v>
      </c>
      <c r="C591" s="2" t="s">
        <v>162</v>
      </c>
      <c r="D591" s="16">
        <v>90</v>
      </c>
      <c r="E591" s="2" t="s">
        <v>986</v>
      </c>
      <c r="F591" s="2" t="s">
        <v>543</v>
      </c>
      <c r="G591" s="2" t="s">
        <v>1023</v>
      </c>
      <c r="H591" s="17">
        <v>386992</v>
      </c>
      <c r="I591" s="2"/>
      <c r="J591" s="2"/>
      <c r="K591" s="17">
        <v>386992</v>
      </c>
      <c r="L591" s="17">
        <v>41463.43</v>
      </c>
      <c r="M591" s="17">
        <v>345528.57</v>
      </c>
      <c r="N591" s="17">
        <v>386992</v>
      </c>
      <c r="O591" s="2"/>
      <c r="P591" s="2"/>
      <c r="Q591" s="31" t="s">
        <v>19</v>
      </c>
      <c r="R591" s="65"/>
      <c r="S591" s="63"/>
      <c r="T591" s="5"/>
    </row>
    <row r="592" spans="1:20">
      <c r="A592" s="2" t="s">
        <v>1117</v>
      </c>
      <c r="B592" s="2" t="s">
        <v>1121</v>
      </c>
      <c r="C592" s="2" t="s">
        <v>18</v>
      </c>
      <c r="D592" s="16">
        <v>0</v>
      </c>
      <c r="E592" s="2" t="s">
        <v>1117</v>
      </c>
      <c r="F592" s="2" t="s">
        <v>1122</v>
      </c>
      <c r="G592" s="2" t="s">
        <v>1123</v>
      </c>
      <c r="H592" s="17">
        <v>70950</v>
      </c>
      <c r="I592" s="2"/>
      <c r="J592" s="2"/>
      <c r="K592" s="17">
        <v>70950</v>
      </c>
      <c r="L592" s="17">
        <v>7601.79</v>
      </c>
      <c r="M592" s="17">
        <v>63348.21</v>
      </c>
      <c r="N592" s="17">
        <v>70950</v>
      </c>
      <c r="O592" s="2"/>
      <c r="P592" s="2"/>
      <c r="Q592" s="31" t="s">
        <v>46</v>
      </c>
      <c r="R592" s="32">
        <f>+K592</f>
        <v>70950</v>
      </c>
      <c r="S592" s="61">
        <f>+R592+R593+R597+R601+R604+R609+R611+R612+R613+R614+R616+R618+R623+R624+R625+R628+R629+R630+R633+R635+R636</f>
        <v>6283099.7000000002</v>
      </c>
      <c r="T592" s="5"/>
    </row>
    <row r="593" spans="1:20">
      <c r="A593" s="2" t="s">
        <v>368</v>
      </c>
      <c r="B593" s="2" t="s">
        <v>391</v>
      </c>
      <c r="C593" s="2" t="s">
        <v>98</v>
      </c>
      <c r="D593" s="16">
        <v>0</v>
      </c>
      <c r="E593" s="2" t="s">
        <v>368</v>
      </c>
      <c r="F593" s="2" t="s">
        <v>392</v>
      </c>
      <c r="G593" s="2" t="s">
        <v>393</v>
      </c>
      <c r="H593" s="17">
        <v>135450</v>
      </c>
      <c r="I593" s="2"/>
      <c r="J593" s="2"/>
      <c r="K593" s="17">
        <v>135450</v>
      </c>
      <c r="L593" s="17">
        <v>14512.5</v>
      </c>
      <c r="M593" s="17">
        <v>120937.5</v>
      </c>
      <c r="N593" s="17">
        <v>135450</v>
      </c>
      <c r="O593" s="2"/>
      <c r="P593" s="2"/>
      <c r="Q593" s="31" t="s">
        <v>46</v>
      </c>
      <c r="R593" s="61">
        <f>+K593+K594+K595+K596</f>
        <v>1158375</v>
      </c>
      <c r="S593" s="62"/>
      <c r="T593" s="5"/>
    </row>
    <row r="594" spans="1:20">
      <c r="A594" s="2" t="s">
        <v>596</v>
      </c>
      <c r="B594" s="2" t="s">
        <v>600</v>
      </c>
      <c r="C594" s="2" t="s">
        <v>98</v>
      </c>
      <c r="D594" s="16">
        <v>0</v>
      </c>
      <c r="E594" s="2" t="s">
        <v>596</v>
      </c>
      <c r="F594" s="2" t="s">
        <v>392</v>
      </c>
      <c r="G594" s="2" t="s">
        <v>601</v>
      </c>
      <c r="H594" s="17">
        <v>340975</v>
      </c>
      <c r="I594" s="2"/>
      <c r="J594" s="2"/>
      <c r="K594" s="17">
        <v>340975</v>
      </c>
      <c r="L594" s="17">
        <v>36533.040000000001</v>
      </c>
      <c r="M594" s="17">
        <v>304441.96000000002</v>
      </c>
      <c r="N594" s="17">
        <v>340975</v>
      </c>
      <c r="O594" s="2"/>
      <c r="P594" s="2"/>
      <c r="Q594" s="31" t="s">
        <v>46</v>
      </c>
      <c r="R594" s="62"/>
      <c r="S594" s="62"/>
      <c r="T594" s="5"/>
    </row>
    <row r="595" spans="1:20">
      <c r="A595" s="2" t="s">
        <v>866</v>
      </c>
      <c r="B595" s="2" t="s">
        <v>870</v>
      </c>
      <c r="C595" s="2" t="s">
        <v>104</v>
      </c>
      <c r="D595" s="16">
        <v>0</v>
      </c>
      <c r="E595" s="2" t="s">
        <v>866</v>
      </c>
      <c r="F595" s="2" t="s">
        <v>392</v>
      </c>
      <c r="G595" s="2" t="s">
        <v>871</v>
      </c>
      <c r="H595" s="17">
        <v>340975</v>
      </c>
      <c r="I595" s="2"/>
      <c r="J595" s="2"/>
      <c r="K595" s="17">
        <v>340975</v>
      </c>
      <c r="L595" s="17">
        <v>36533.040000000001</v>
      </c>
      <c r="M595" s="17">
        <v>304441.96000000002</v>
      </c>
      <c r="N595" s="17">
        <v>340975</v>
      </c>
      <c r="O595" s="2"/>
      <c r="P595" s="2"/>
      <c r="Q595" s="31" t="s">
        <v>46</v>
      </c>
      <c r="R595" s="62"/>
      <c r="S595" s="62"/>
      <c r="T595" s="5"/>
    </row>
    <row r="596" spans="1:20">
      <c r="A596" s="2" t="s">
        <v>1217</v>
      </c>
      <c r="B596" s="2" t="s">
        <v>1220</v>
      </c>
      <c r="C596" s="2" t="s">
        <v>104</v>
      </c>
      <c r="D596" s="16">
        <v>0</v>
      </c>
      <c r="E596" s="2" t="s">
        <v>1217</v>
      </c>
      <c r="F596" s="2" t="s">
        <v>392</v>
      </c>
      <c r="G596" s="2" t="s">
        <v>1221</v>
      </c>
      <c r="H596" s="17">
        <v>340975</v>
      </c>
      <c r="I596" s="2"/>
      <c r="J596" s="2"/>
      <c r="K596" s="17">
        <v>340975</v>
      </c>
      <c r="L596" s="17">
        <v>36533.040000000001</v>
      </c>
      <c r="M596" s="17">
        <v>304441.96000000002</v>
      </c>
      <c r="N596" s="17">
        <v>340975</v>
      </c>
      <c r="O596" s="2"/>
      <c r="P596" s="2"/>
      <c r="Q596" s="31" t="s">
        <v>46</v>
      </c>
      <c r="R596" s="63"/>
      <c r="S596" s="62"/>
      <c r="T596" s="5"/>
    </row>
    <row r="597" spans="1:20">
      <c r="A597" s="2" t="s">
        <v>1287</v>
      </c>
      <c r="B597" s="2" t="s">
        <v>1286</v>
      </c>
      <c r="C597" s="2" t="s">
        <v>18</v>
      </c>
      <c r="D597" s="16">
        <v>0</v>
      </c>
      <c r="E597" s="2" t="s">
        <v>1287</v>
      </c>
      <c r="F597" s="2" t="s">
        <v>1288</v>
      </c>
      <c r="G597" s="2" t="s">
        <v>1289</v>
      </c>
      <c r="H597" s="17">
        <v>83772</v>
      </c>
      <c r="I597" s="19">
        <v>-1675.44</v>
      </c>
      <c r="J597" s="2"/>
      <c r="K597" s="17">
        <v>82096.56</v>
      </c>
      <c r="L597" s="17">
        <v>8796.06</v>
      </c>
      <c r="M597" s="17">
        <v>73300.5</v>
      </c>
      <c r="N597" s="17">
        <v>82096.56</v>
      </c>
      <c r="O597" s="2"/>
      <c r="P597" s="2"/>
      <c r="Q597" s="31" t="s">
        <v>46</v>
      </c>
      <c r="R597" s="61">
        <f>+K597+K598+K599+K600</f>
        <v>137721.36000000002</v>
      </c>
      <c r="S597" s="62"/>
      <c r="T597" s="5"/>
    </row>
    <row r="598" spans="1:20">
      <c r="A598" s="2" t="s">
        <v>1287</v>
      </c>
      <c r="B598" s="2" t="s">
        <v>1290</v>
      </c>
      <c r="C598" s="2" t="s">
        <v>18</v>
      </c>
      <c r="D598" s="16">
        <v>0</v>
      </c>
      <c r="E598" s="2" t="s">
        <v>1287</v>
      </c>
      <c r="F598" s="2" t="s">
        <v>1288</v>
      </c>
      <c r="G598" s="2" t="s">
        <v>1291</v>
      </c>
      <c r="H598" s="17">
        <v>18000</v>
      </c>
      <c r="I598" s="19">
        <v>-360</v>
      </c>
      <c r="J598" s="2"/>
      <c r="K598" s="17">
        <v>17640</v>
      </c>
      <c r="L598" s="17">
        <v>1890</v>
      </c>
      <c r="M598" s="17">
        <v>15750</v>
      </c>
      <c r="N598" s="17">
        <v>17640</v>
      </c>
      <c r="O598" s="2"/>
      <c r="P598" s="2"/>
      <c r="Q598" s="31" t="s">
        <v>46</v>
      </c>
      <c r="R598" s="62"/>
      <c r="S598" s="62"/>
      <c r="T598" s="5"/>
    </row>
    <row r="599" spans="1:20">
      <c r="A599" s="2" t="s">
        <v>1287</v>
      </c>
      <c r="B599" s="2" t="s">
        <v>1292</v>
      </c>
      <c r="C599" s="2" t="s">
        <v>18</v>
      </c>
      <c r="D599" s="16">
        <v>0</v>
      </c>
      <c r="E599" s="2" t="s">
        <v>1287</v>
      </c>
      <c r="F599" s="2" t="s">
        <v>1288</v>
      </c>
      <c r="G599" s="2" t="s">
        <v>1293</v>
      </c>
      <c r="H599" s="17">
        <v>25670</v>
      </c>
      <c r="I599" s="19">
        <v>-513.4</v>
      </c>
      <c r="J599" s="2"/>
      <c r="K599" s="17">
        <v>25156.6</v>
      </c>
      <c r="L599" s="17">
        <v>2695.35</v>
      </c>
      <c r="M599" s="17">
        <v>22461.25</v>
      </c>
      <c r="N599" s="17">
        <v>25156.6</v>
      </c>
      <c r="O599" s="2"/>
      <c r="P599" s="2"/>
      <c r="Q599" s="31" t="s">
        <v>46</v>
      </c>
      <c r="R599" s="62"/>
      <c r="S599" s="62"/>
      <c r="T599" s="5"/>
    </row>
    <row r="600" spans="1:20">
      <c r="A600" s="2" t="s">
        <v>1287</v>
      </c>
      <c r="B600" s="2" t="s">
        <v>1294</v>
      </c>
      <c r="C600" s="2" t="s">
        <v>18</v>
      </c>
      <c r="D600" s="16">
        <v>0</v>
      </c>
      <c r="E600" s="2" t="s">
        <v>1287</v>
      </c>
      <c r="F600" s="2" t="s">
        <v>1288</v>
      </c>
      <c r="G600" s="2" t="s">
        <v>1295</v>
      </c>
      <c r="H600" s="17">
        <v>13090</v>
      </c>
      <c r="I600" s="19">
        <v>-261.8</v>
      </c>
      <c r="J600" s="2"/>
      <c r="K600" s="17">
        <v>12828.2</v>
      </c>
      <c r="L600" s="17">
        <v>1374.45</v>
      </c>
      <c r="M600" s="17">
        <v>11453.75</v>
      </c>
      <c r="N600" s="17">
        <v>12828.2</v>
      </c>
      <c r="O600" s="2"/>
      <c r="P600" s="2"/>
      <c r="Q600" s="31" t="s">
        <v>46</v>
      </c>
      <c r="R600" s="63"/>
      <c r="S600" s="62"/>
      <c r="T600" s="5"/>
    </row>
    <row r="601" spans="1:20">
      <c r="A601" s="2" t="s">
        <v>505</v>
      </c>
      <c r="B601" s="2" t="s">
        <v>557</v>
      </c>
      <c r="C601" s="2" t="s">
        <v>94</v>
      </c>
      <c r="D601" s="16">
        <v>0</v>
      </c>
      <c r="E601" s="2" t="s">
        <v>505</v>
      </c>
      <c r="F601" s="2" t="s">
        <v>558</v>
      </c>
      <c r="G601" s="2" t="s">
        <v>559</v>
      </c>
      <c r="H601" s="17">
        <v>250000</v>
      </c>
      <c r="I601" s="2"/>
      <c r="J601" s="2"/>
      <c r="K601" s="17">
        <v>250000</v>
      </c>
      <c r="L601" s="17">
        <v>26785.71</v>
      </c>
      <c r="M601" s="17">
        <v>223214.29</v>
      </c>
      <c r="N601" s="17">
        <v>250000</v>
      </c>
      <c r="O601" s="2"/>
      <c r="P601" s="2"/>
      <c r="Q601" s="31" t="s">
        <v>46</v>
      </c>
      <c r="R601" s="61">
        <f>+K601+K602+K603</f>
        <v>736250</v>
      </c>
      <c r="S601" s="62"/>
      <c r="T601" s="5"/>
    </row>
    <row r="602" spans="1:20">
      <c r="A602" s="2" t="s">
        <v>505</v>
      </c>
      <c r="B602" s="2" t="s">
        <v>560</v>
      </c>
      <c r="C602" s="2" t="s">
        <v>94</v>
      </c>
      <c r="D602" s="16">
        <v>0</v>
      </c>
      <c r="E602" s="2" t="s">
        <v>505</v>
      </c>
      <c r="F602" s="2" t="s">
        <v>558</v>
      </c>
      <c r="G602" s="2" t="s">
        <v>561</v>
      </c>
      <c r="H602" s="17">
        <v>250000</v>
      </c>
      <c r="I602" s="2"/>
      <c r="J602" s="2"/>
      <c r="K602" s="17">
        <v>250000</v>
      </c>
      <c r="L602" s="17">
        <v>26785.71</v>
      </c>
      <c r="M602" s="17">
        <v>223214.29</v>
      </c>
      <c r="N602" s="17">
        <v>250000</v>
      </c>
      <c r="O602" s="2"/>
      <c r="P602" s="2"/>
      <c r="Q602" s="31" t="s">
        <v>46</v>
      </c>
      <c r="R602" s="62"/>
      <c r="S602" s="62"/>
      <c r="T602" s="5"/>
    </row>
    <row r="603" spans="1:20">
      <c r="A603" s="2" t="s">
        <v>1117</v>
      </c>
      <c r="B603" s="2" t="s">
        <v>1195</v>
      </c>
      <c r="C603" s="2" t="s">
        <v>94</v>
      </c>
      <c r="D603" s="16">
        <v>0</v>
      </c>
      <c r="E603" s="2" t="s">
        <v>1117</v>
      </c>
      <c r="F603" s="2" t="s">
        <v>558</v>
      </c>
      <c r="G603" s="2" t="s">
        <v>1196</v>
      </c>
      <c r="H603" s="17">
        <v>236250</v>
      </c>
      <c r="I603" s="2"/>
      <c r="J603" s="2"/>
      <c r="K603" s="17">
        <v>236250</v>
      </c>
      <c r="L603" s="17">
        <v>25312.5</v>
      </c>
      <c r="M603" s="17">
        <v>210937.5</v>
      </c>
      <c r="N603" s="17">
        <v>236250</v>
      </c>
      <c r="O603" s="2"/>
      <c r="P603" s="2"/>
      <c r="Q603" s="31" t="s">
        <v>46</v>
      </c>
      <c r="R603" s="63"/>
      <c r="S603" s="62"/>
      <c r="T603" s="5"/>
    </row>
    <row r="604" spans="1:20">
      <c r="A604" s="2" t="s">
        <v>637</v>
      </c>
      <c r="B604" s="2" t="s">
        <v>680</v>
      </c>
      <c r="C604" s="2" t="s">
        <v>681</v>
      </c>
      <c r="D604" s="16">
        <v>0</v>
      </c>
      <c r="E604" s="2" t="s">
        <v>637</v>
      </c>
      <c r="F604" s="2" t="s">
        <v>682</v>
      </c>
      <c r="G604" s="2" t="s">
        <v>683</v>
      </c>
      <c r="H604" s="17">
        <v>7455</v>
      </c>
      <c r="I604" s="2"/>
      <c r="J604" s="2"/>
      <c r="K604" s="17">
        <v>7455</v>
      </c>
      <c r="L604" s="18">
        <v>798.75</v>
      </c>
      <c r="M604" s="17">
        <v>6656.25</v>
      </c>
      <c r="N604" s="17">
        <v>7455</v>
      </c>
      <c r="O604" s="2"/>
      <c r="P604" s="2"/>
      <c r="Q604" s="31" t="s">
        <v>46</v>
      </c>
      <c r="R604" s="61">
        <f>+K604+K605+K606+K607+K608</f>
        <v>76813</v>
      </c>
      <c r="S604" s="62"/>
      <c r="T604" s="5"/>
    </row>
    <row r="605" spans="1:20">
      <c r="A605" s="2" t="s">
        <v>637</v>
      </c>
      <c r="B605" s="2" t="s">
        <v>684</v>
      </c>
      <c r="C605" s="2" t="s">
        <v>681</v>
      </c>
      <c r="D605" s="16">
        <v>0</v>
      </c>
      <c r="E605" s="2" t="s">
        <v>637</v>
      </c>
      <c r="F605" s="2" t="s">
        <v>682</v>
      </c>
      <c r="G605" s="2" t="s">
        <v>685</v>
      </c>
      <c r="H605" s="17">
        <v>8452</v>
      </c>
      <c r="I605" s="2"/>
      <c r="J605" s="2"/>
      <c r="K605" s="17">
        <v>8452</v>
      </c>
      <c r="L605" s="18">
        <v>905.57</v>
      </c>
      <c r="M605" s="17">
        <v>7546.43</v>
      </c>
      <c r="N605" s="17">
        <v>8452</v>
      </c>
      <c r="O605" s="2"/>
      <c r="P605" s="2"/>
      <c r="Q605" s="31" t="s">
        <v>46</v>
      </c>
      <c r="R605" s="62"/>
      <c r="S605" s="62"/>
      <c r="T605" s="5"/>
    </row>
    <row r="606" spans="1:20">
      <c r="A606" s="2" t="s">
        <v>1372</v>
      </c>
      <c r="B606" s="2" t="s">
        <v>1386</v>
      </c>
      <c r="C606" s="2" t="s">
        <v>681</v>
      </c>
      <c r="D606" s="16">
        <v>0</v>
      </c>
      <c r="E606" s="2" t="s">
        <v>1372</v>
      </c>
      <c r="F606" s="2" t="s">
        <v>682</v>
      </c>
      <c r="G606" s="2" t="s">
        <v>1387</v>
      </c>
      <c r="H606" s="17">
        <v>27968</v>
      </c>
      <c r="I606" s="2"/>
      <c r="J606" s="2"/>
      <c r="K606" s="17">
        <v>27968</v>
      </c>
      <c r="L606" s="17">
        <v>2996.57</v>
      </c>
      <c r="M606" s="17">
        <v>24971.43</v>
      </c>
      <c r="N606" s="17">
        <v>27968</v>
      </c>
      <c r="O606" s="2"/>
      <c r="P606" s="2"/>
      <c r="Q606" s="31" t="s">
        <v>46</v>
      </c>
      <c r="R606" s="62"/>
      <c r="S606" s="62"/>
      <c r="T606" s="5"/>
    </row>
    <row r="607" spans="1:20">
      <c r="A607" s="2" t="s">
        <v>1372</v>
      </c>
      <c r="B607" s="2" t="s">
        <v>1456</v>
      </c>
      <c r="C607" s="2" t="s">
        <v>681</v>
      </c>
      <c r="D607" s="16">
        <v>0</v>
      </c>
      <c r="E607" s="2" t="s">
        <v>1372</v>
      </c>
      <c r="F607" s="2" t="s">
        <v>682</v>
      </c>
      <c r="G607" s="2" t="s">
        <v>1457</v>
      </c>
      <c r="H607" s="17">
        <v>4970</v>
      </c>
      <c r="I607" s="2"/>
      <c r="J607" s="2"/>
      <c r="K607" s="17">
        <v>4970</v>
      </c>
      <c r="L607" s="18">
        <v>532.5</v>
      </c>
      <c r="M607" s="17">
        <v>4437.5</v>
      </c>
      <c r="N607" s="17">
        <v>4970</v>
      </c>
      <c r="O607" s="2"/>
      <c r="P607" s="2"/>
      <c r="Q607" s="31" t="s">
        <v>46</v>
      </c>
      <c r="R607" s="62"/>
      <c r="S607" s="62"/>
      <c r="T607" s="5"/>
    </row>
    <row r="608" spans="1:20">
      <c r="A608" s="2" t="s">
        <v>1372</v>
      </c>
      <c r="B608" s="2" t="s">
        <v>1458</v>
      </c>
      <c r="C608" s="2" t="s">
        <v>681</v>
      </c>
      <c r="D608" s="16">
        <v>0</v>
      </c>
      <c r="E608" s="2" t="s">
        <v>1372</v>
      </c>
      <c r="F608" s="2" t="s">
        <v>682</v>
      </c>
      <c r="G608" s="2" t="s">
        <v>1459</v>
      </c>
      <c r="H608" s="17">
        <v>27968</v>
      </c>
      <c r="I608" s="2"/>
      <c r="J608" s="2"/>
      <c r="K608" s="17">
        <v>27968</v>
      </c>
      <c r="L608" s="17">
        <v>2996.57</v>
      </c>
      <c r="M608" s="17">
        <v>24971.43</v>
      </c>
      <c r="N608" s="17">
        <v>27968</v>
      </c>
      <c r="O608" s="2"/>
      <c r="P608" s="2"/>
      <c r="Q608" s="31" t="s">
        <v>46</v>
      </c>
      <c r="R608" s="63"/>
      <c r="S608" s="62"/>
      <c r="T608" s="5"/>
    </row>
    <row r="609" spans="1:20">
      <c r="A609" s="2" t="s">
        <v>93</v>
      </c>
      <c r="B609" s="2" t="s">
        <v>128</v>
      </c>
      <c r="C609" s="2" t="s">
        <v>60</v>
      </c>
      <c r="D609" s="16">
        <v>0</v>
      </c>
      <c r="E609" s="2" t="s">
        <v>93</v>
      </c>
      <c r="F609" s="2" t="s">
        <v>129</v>
      </c>
      <c r="G609" s="2" t="s">
        <v>130</v>
      </c>
      <c r="H609" s="17">
        <v>170715</v>
      </c>
      <c r="I609" s="19">
        <v>-3414.3</v>
      </c>
      <c r="J609" s="2"/>
      <c r="K609" s="17">
        <v>167300.70000000001</v>
      </c>
      <c r="L609" s="17">
        <v>17925.07</v>
      </c>
      <c r="M609" s="17">
        <v>149375.63</v>
      </c>
      <c r="N609" s="17">
        <v>167300.70000000001</v>
      </c>
      <c r="O609" s="2"/>
      <c r="P609" s="2"/>
      <c r="Q609" s="31" t="s">
        <v>46</v>
      </c>
      <c r="R609" s="61">
        <f>+K609+K610</f>
        <v>233419.34000000003</v>
      </c>
      <c r="S609" s="62"/>
      <c r="T609" s="5"/>
    </row>
    <row r="610" spans="1:20">
      <c r="A610" s="2" t="s">
        <v>1048</v>
      </c>
      <c r="B610" s="2" t="s">
        <v>1071</v>
      </c>
      <c r="C610" s="2" t="s">
        <v>60</v>
      </c>
      <c r="D610" s="16">
        <v>0</v>
      </c>
      <c r="E610" s="2" t="s">
        <v>1048</v>
      </c>
      <c r="F610" s="2" t="s">
        <v>129</v>
      </c>
      <c r="G610" s="2" t="s">
        <v>1072</v>
      </c>
      <c r="H610" s="17">
        <v>67468</v>
      </c>
      <c r="I610" s="19">
        <v>-1349.36</v>
      </c>
      <c r="J610" s="2"/>
      <c r="K610" s="17">
        <v>66118.64</v>
      </c>
      <c r="L610" s="17">
        <v>7084.14</v>
      </c>
      <c r="M610" s="17">
        <v>59034.5</v>
      </c>
      <c r="N610" s="17">
        <v>66118.64</v>
      </c>
      <c r="O610" s="2"/>
      <c r="P610" s="2"/>
      <c r="Q610" s="31" t="s">
        <v>46</v>
      </c>
      <c r="R610" s="63"/>
      <c r="S610" s="62"/>
      <c r="T610" s="5"/>
    </row>
    <row r="611" spans="1:20">
      <c r="A611" s="2" t="s">
        <v>769</v>
      </c>
      <c r="B611" s="2" t="s">
        <v>795</v>
      </c>
      <c r="C611" s="2" t="s">
        <v>60</v>
      </c>
      <c r="D611" s="16">
        <v>0</v>
      </c>
      <c r="E611" s="2" t="s">
        <v>769</v>
      </c>
      <c r="F611" s="2" t="s">
        <v>796</v>
      </c>
      <c r="G611" s="2" t="s">
        <v>797</v>
      </c>
      <c r="H611" s="17">
        <v>4580</v>
      </c>
      <c r="I611" s="2"/>
      <c r="J611" s="2"/>
      <c r="K611" s="17">
        <v>4580</v>
      </c>
      <c r="L611" s="18">
        <v>490.71</v>
      </c>
      <c r="M611" s="17">
        <v>4089.29</v>
      </c>
      <c r="N611" s="17">
        <v>4580</v>
      </c>
      <c r="O611" s="2"/>
      <c r="P611" s="2"/>
      <c r="Q611" s="31" t="s">
        <v>46</v>
      </c>
      <c r="R611" s="32">
        <f>+K611</f>
        <v>4580</v>
      </c>
      <c r="S611" s="62"/>
      <c r="T611" s="5"/>
    </row>
    <row r="612" spans="1:20">
      <c r="A612" s="2" t="s">
        <v>17</v>
      </c>
      <c r="B612" s="2" t="s">
        <v>44</v>
      </c>
      <c r="C612" s="2" t="s">
        <v>45</v>
      </c>
      <c r="D612" s="16">
        <v>0</v>
      </c>
      <c r="E612" s="2" t="s">
        <v>17</v>
      </c>
      <c r="F612" s="2" t="s">
        <v>47</v>
      </c>
      <c r="G612" s="2" t="s">
        <v>48</v>
      </c>
      <c r="H612" s="17">
        <v>5880</v>
      </c>
      <c r="I612" s="2"/>
      <c r="J612" s="2"/>
      <c r="K612" s="17">
        <v>5880</v>
      </c>
      <c r="L612" s="18">
        <v>630</v>
      </c>
      <c r="M612" s="17">
        <v>5250</v>
      </c>
      <c r="N612" s="17">
        <v>5880</v>
      </c>
      <c r="O612" s="2"/>
      <c r="P612" s="2"/>
      <c r="Q612" s="31" t="s">
        <v>46</v>
      </c>
      <c r="R612" s="32">
        <f>+K612</f>
        <v>5880</v>
      </c>
      <c r="S612" s="62"/>
      <c r="T612" s="5"/>
    </row>
    <row r="613" spans="1:20">
      <c r="A613" s="2" t="s">
        <v>1117</v>
      </c>
      <c r="B613" s="2" t="s">
        <v>1190</v>
      </c>
      <c r="C613" s="2" t="s">
        <v>60</v>
      </c>
      <c r="D613" s="16">
        <v>0</v>
      </c>
      <c r="E613" s="2" t="s">
        <v>1117</v>
      </c>
      <c r="F613" s="2" t="s">
        <v>1191</v>
      </c>
      <c r="G613" s="2" t="s">
        <v>1192</v>
      </c>
      <c r="H613" s="17">
        <v>20257</v>
      </c>
      <c r="I613" s="2"/>
      <c r="J613" s="2"/>
      <c r="K613" s="17">
        <v>20257</v>
      </c>
      <c r="L613" s="17">
        <v>2170.39</v>
      </c>
      <c r="M613" s="17">
        <v>18086.61</v>
      </c>
      <c r="N613" s="17">
        <v>20257</v>
      </c>
      <c r="O613" s="2"/>
      <c r="P613" s="2"/>
      <c r="Q613" s="31" t="s">
        <v>46</v>
      </c>
      <c r="R613" s="32">
        <f>+K613</f>
        <v>20257</v>
      </c>
      <c r="S613" s="62"/>
      <c r="T613" s="5"/>
    </row>
    <row r="614" spans="1:20">
      <c r="A614" s="2" t="s">
        <v>505</v>
      </c>
      <c r="B614" s="2" t="s">
        <v>521</v>
      </c>
      <c r="C614" s="2" t="s">
        <v>73</v>
      </c>
      <c r="D614" s="16">
        <v>30</v>
      </c>
      <c r="E614" s="2" t="s">
        <v>518</v>
      </c>
      <c r="F614" s="2" t="s">
        <v>522</v>
      </c>
      <c r="G614" s="2" t="s">
        <v>523</v>
      </c>
      <c r="H614" s="17">
        <v>86400</v>
      </c>
      <c r="I614" s="2"/>
      <c r="J614" s="2"/>
      <c r="K614" s="17">
        <v>86400</v>
      </c>
      <c r="L614" s="2"/>
      <c r="M614" s="17">
        <v>86400</v>
      </c>
      <c r="N614" s="17">
        <v>86400</v>
      </c>
      <c r="O614" s="2"/>
      <c r="P614" s="2"/>
      <c r="Q614" s="31" t="s">
        <v>46</v>
      </c>
      <c r="R614" s="61">
        <f>+K614+K615</f>
        <v>375680</v>
      </c>
      <c r="S614" s="62"/>
      <c r="T614" s="5"/>
    </row>
    <row r="615" spans="1:20">
      <c r="A615" s="2" t="s">
        <v>1287</v>
      </c>
      <c r="B615" s="2" t="s">
        <v>1296</v>
      </c>
      <c r="C615" s="2" t="s">
        <v>73</v>
      </c>
      <c r="D615" s="16">
        <v>30</v>
      </c>
      <c r="E615" s="2" t="s">
        <v>1297</v>
      </c>
      <c r="F615" s="2" t="s">
        <v>522</v>
      </c>
      <c r="G615" s="2" t="s">
        <v>1298</v>
      </c>
      <c r="H615" s="17">
        <v>289280</v>
      </c>
      <c r="I615" s="2"/>
      <c r="J615" s="2"/>
      <c r="K615" s="17">
        <v>289280</v>
      </c>
      <c r="L615" s="2"/>
      <c r="M615" s="17">
        <v>289280</v>
      </c>
      <c r="N615" s="17">
        <v>289280</v>
      </c>
      <c r="O615" s="2"/>
      <c r="P615" s="2"/>
      <c r="Q615" s="31" t="s">
        <v>46</v>
      </c>
      <c r="R615" s="63"/>
      <c r="S615" s="62"/>
      <c r="T615" s="5"/>
    </row>
    <row r="616" spans="1:20">
      <c r="A616" s="2" t="s">
        <v>1287</v>
      </c>
      <c r="B616" s="2" t="s">
        <v>1320</v>
      </c>
      <c r="C616" s="2" t="s">
        <v>73</v>
      </c>
      <c r="D616" s="16">
        <v>30</v>
      </c>
      <c r="E616" s="2" t="s">
        <v>1297</v>
      </c>
      <c r="F616" s="2" t="s">
        <v>1321</v>
      </c>
      <c r="G616" s="2" t="s">
        <v>1322</v>
      </c>
      <c r="H616" s="17">
        <v>9335</v>
      </c>
      <c r="I616" s="2"/>
      <c r="J616" s="2"/>
      <c r="K616" s="17">
        <v>9335</v>
      </c>
      <c r="L616" s="17">
        <v>1000.18</v>
      </c>
      <c r="M616" s="17">
        <v>8334.82</v>
      </c>
      <c r="N616" s="17">
        <v>9335</v>
      </c>
      <c r="O616" s="2"/>
      <c r="P616" s="2"/>
      <c r="Q616" s="31" t="s">
        <v>46</v>
      </c>
      <c r="R616" s="61">
        <f>+K616+K617</f>
        <v>378477</v>
      </c>
      <c r="S616" s="62"/>
      <c r="T616" s="5"/>
    </row>
    <row r="617" spans="1:20">
      <c r="A617" s="2" t="s">
        <v>1287</v>
      </c>
      <c r="B617" s="2" t="s">
        <v>1323</v>
      </c>
      <c r="C617" s="2" t="s">
        <v>73</v>
      </c>
      <c r="D617" s="16">
        <v>30</v>
      </c>
      <c r="E617" s="2" t="s">
        <v>1297</v>
      </c>
      <c r="F617" s="2" t="s">
        <v>1321</v>
      </c>
      <c r="G617" s="2" t="s">
        <v>1324</v>
      </c>
      <c r="H617" s="17">
        <v>369142</v>
      </c>
      <c r="I617" s="2"/>
      <c r="J617" s="2"/>
      <c r="K617" s="17">
        <v>369142</v>
      </c>
      <c r="L617" s="17">
        <v>39550.93</v>
      </c>
      <c r="M617" s="17">
        <v>329591.07</v>
      </c>
      <c r="N617" s="17">
        <v>369142</v>
      </c>
      <c r="O617" s="2"/>
      <c r="P617" s="2"/>
      <c r="Q617" s="31" t="s">
        <v>46</v>
      </c>
      <c r="R617" s="63"/>
      <c r="S617" s="62"/>
      <c r="T617" s="5"/>
    </row>
    <row r="618" spans="1:20">
      <c r="A618" s="2" t="s">
        <v>769</v>
      </c>
      <c r="B618" s="2" t="s">
        <v>786</v>
      </c>
      <c r="C618" s="2" t="s">
        <v>658</v>
      </c>
      <c r="D618" s="16">
        <v>60</v>
      </c>
      <c r="E618" s="2" t="s">
        <v>770</v>
      </c>
      <c r="F618" s="2" t="s">
        <v>787</v>
      </c>
      <c r="G618" s="2" t="s">
        <v>788</v>
      </c>
      <c r="H618" s="17">
        <v>94080</v>
      </c>
      <c r="I618" s="2"/>
      <c r="J618" s="2"/>
      <c r="K618" s="17">
        <v>94080</v>
      </c>
      <c r="L618" s="17">
        <v>10080</v>
      </c>
      <c r="M618" s="17">
        <v>84000</v>
      </c>
      <c r="N618" s="17">
        <v>94080</v>
      </c>
      <c r="O618" s="2"/>
      <c r="P618" s="2"/>
      <c r="Q618" s="31" t="s">
        <v>46</v>
      </c>
      <c r="R618" s="61">
        <f>+K618+K619+K620+K621+K622</f>
        <v>1377828</v>
      </c>
      <c r="S618" s="62"/>
      <c r="T618" s="5"/>
    </row>
    <row r="619" spans="1:20">
      <c r="A619" s="2" t="s">
        <v>1048</v>
      </c>
      <c r="B619" s="2" t="s">
        <v>1101</v>
      </c>
      <c r="C619" s="2" t="s">
        <v>1102</v>
      </c>
      <c r="D619" s="16">
        <v>60</v>
      </c>
      <c r="E619" s="2" t="s">
        <v>1067</v>
      </c>
      <c r="F619" s="2" t="s">
        <v>787</v>
      </c>
      <c r="G619" s="2" t="s">
        <v>1103</v>
      </c>
      <c r="H619" s="17">
        <v>970898</v>
      </c>
      <c r="I619" s="2"/>
      <c r="J619" s="2"/>
      <c r="K619" s="17">
        <v>970898</v>
      </c>
      <c r="L619" s="17">
        <v>104024.79</v>
      </c>
      <c r="M619" s="17">
        <v>866873.21</v>
      </c>
      <c r="N619" s="17">
        <v>970898</v>
      </c>
      <c r="O619" s="2"/>
      <c r="P619" s="2"/>
      <c r="Q619" s="31" t="s">
        <v>46</v>
      </c>
      <c r="R619" s="62"/>
      <c r="S619" s="62"/>
      <c r="T619" s="5"/>
    </row>
    <row r="620" spans="1:20">
      <c r="A620" s="2" t="s">
        <v>1117</v>
      </c>
      <c r="B620" s="2" t="s">
        <v>1182</v>
      </c>
      <c r="C620" s="2" t="s">
        <v>1102</v>
      </c>
      <c r="D620" s="16">
        <v>60</v>
      </c>
      <c r="E620" s="2" t="s">
        <v>1139</v>
      </c>
      <c r="F620" s="2" t="s">
        <v>787</v>
      </c>
      <c r="G620" s="2" t="s">
        <v>1183</v>
      </c>
      <c r="H620" s="17">
        <v>214500</v>
      </c>
      <c r="I620" s="2"/>
      <c r="J620" s="2"/>
      <c r="K620" s="17">
        <v>214500</v>
      </c>
      <c r="L620" s="17">
        <v>22982.14</v>
      </c>
      <c r="M620" s="17">
        <v>191517.86</v>
      </c>
      <c r="N620" s="17">
        <v>214500</v>
      </c>
      <c r="O620" s="2"/>
      <c r="P620" s="2"/>
      <c r="Q620" s="31" t="s">
        <v>46</v>
      </c>
      <c r="R620" s="62"/>
      <c r="S620" s="62"/>
      <c r="T620" s="5"/>
    </row>
    <row r="621" spans="1:20">
      <c r="A621" s="2" t="s">
        <v>1117</v>
      </c>
      <c r="B621" s="2" t="s">
        <v>1184</v>
      </c>
      <c r="C621" s="2" t="s">
        <v>1102</v>
      </c>
      <c r="D621" s="16">
        <v>60</v>
      </c>
      <c r="E621" s="2" t="s">
        <v>1139</v>
      </c>
      <c r="F621" s="2" t="s">
        <v>787</v>
      </c>
      <c r="G621" s="2" t="s">
        <v>1185</v>
      </c>
      <c r="H621" s="17">
        <v>52684</v>
      </c>
      <c r="I621" s="2"/>
      <c r="J621" s="2"/>
      <c r="K621" s="17">
        <v>52684</v>
      </c>
      <c r="L621" s="17">
        <v>5644.71</v>
      </c>
      <c r="M621" s="17">
        <v>47039.29</v>
      </c>
      <c r="N621" s="17">
        <v>52684</v>
      </c>
      <c r="O621" s="2"/>
      <c r="P621" s="2"/>
      <c r="Q621" s="31" t="s">
        <v>46</v>
      </c>
      <c r="R621" s="62"/>
      <c r="S621" s="62"/>
      <c r="T621" s="5"/>
    </row>
    <row r="622" spans="1:20">
      <c r="A622" s="2" t="s">
        <v>1553</v>
      </c>
      <c r="B622" s="2" t="s">
        <v>1575</v>
      </c>
      <c r="C622" s="2" t="s">
        <v>658</v>
      </c>
      <c r="D622" s="16">
        <v>60</v>
      </c>
      <c r="E622" s="2" t="s">
        <v>1557</v>
      </c>
      <c r="F622" s="2" t="s">
        <v>787</v>
      </c>
      <c r="G622" s="2" t="s">
        <v>1576</v>
      </c>
      <c r="H622" s="17">
        <v>45666</v>
      </c>
      <c r="I622" s="2"/>
      <c r="J622" s="2"/>
      <c r="K622" s="17">
        <v>45666</v>
      </c>
      <c r="L622" s="17">
        <v>4892.79</v>
      </c>
      <c r="M622" s="17">
        <v>40773.21</v>
      </c>
      <c r="N622" s="17">
        <v>45666</v>
      </c>
      <c r="O622" s="2"/>
      <c r="P622" s="2"/>
      <c r="Q622" s="31" t="s">
        <v>46</v>
      </c>
      <c r="R622" s="63"/>
      <c r="S622" s="62"/>
      <c r="T622" s="5"/>
    </row>
    <row r="623" spans="1:20">
      <c r="A623" s="2" t="s">
        <v>1287</v>
      </c>
      <c r="B623" s="2" t="s">
        <v>1325</v>
      </c>
      <c r="C623" s="2" t="s">
        <v>146</v>
      </c>
      <c r="D623" s="16">
        <v>90</v>
      </c>
      <c r="E623" s="2" t="s">
        <v>1315</v>
      </c>
      <c r="F623" s="2" t="s">
        <v>1326</v>
      </c>
      <c r="G623" s="2" t="s">
        <v>1327</v>
      </c>
      <c r="H623" s="17">
        <v>148436</v>
      </c>
      <c r="I623" s="2"/>
      <c r="J623" s="2"/>
      <c r="K623" s="17">
        <v>148436</v>
      </c>
      <c r="L623" s="17">
        <v>15903.86</v>
      </c>
      <c r="M623" s="17">
        <v>132532.14000000001</v>
      </c>
      <c r="N623" s="17">
        <v>148436</v>
      </c>
      <c r="O623" s="2"/>
      <c r="P623" s="2"/>
      <c r="Q623" s="31" t="s">
        <v>46</v>
      </c>
      <c r="R623" s="32">
        <f>+K623</f>
        <v>148436</v>
      </c>
      <c r="S623" s="62"/>
      <c r="T623" s="5"/>
    </row>
    <row r="624" spans="1:20">
      <c r="A624" s="2" t="s">
        <v>93</v>
      </c>
      <c r="B624" s="2" t="s">
        <v>110</v>
      </c>
      <c r="C624" s="2" t="s">
        <v>18</v>
      </c>
      <c r="D624" s="16">
        <v>0</v>
      </c>
      <c r="E624" s="2" t="s">
        <v>93</v>
      </c>
      <c r="F624" s="2" t="s">
        <v>111</v>
      </c>
      <c r="G624" s="2" t="s">
        <v>112</v>
      </c>
      <c r="H624" s="17">
        <v>18378</v>
      </c>
      <c r="I624" s="2"/>
      <c r="J624" s="17">
        <v>6000</v>
      </c>
      <c r="K624" s="17">
        <f>24378-J624</f>
        <v>18378</v>
      </c>
      <c r="L624" s="17">
        <v>2611.9299999999998</v>
      </c>
      <c r="M624" s="17">
        <v>21766.07</v>
      </c>
      <c r="N624" s="17">
        <v>24378</v>
      </c>
      <c r="O624" s="2"/>
      <c r="P624" s="2"/>
      <c r="Q624" s="31" t="s">
        <v>46</v>
      </c>
      <c r="R624" s="32">
        <f>+K624</f>
        <v>18378</v>
      </c>
      <c r="S624" s="62"/>
      <c r="T624" s="5"/>
    </row>
    <row r="625" spans="1:20">
      <c r="A625" s="2" t="s">
        <v>93</v>
      </c>
      <c r="B625" s="2" t="s">
        <v>92</v>
      </c>
      <c r="C625" s="2" t="s">
        <v>94</v>
      </c>
      <c r="D625" s="16">
        <v>0</v>
      </c>
      <c r="E625" s="2" t="s">
        <v>93</v>
      </c>
      <c r="F625" s="2" t="s">
        <v>95</v>
      </c>
      <c r="G625" s="2" t="s">
        <v>96</v>
      </c>
      <c r="H625" s="17">
        <v>422500</v>
      </c>
      <c r="I625" s="2"/>
      <c r="J625" s="2"/>
      <c r="K625" s="17">
        <v>422500</v>
      </c>
      <c r="L625" s="17">
        <v>45267.86</v>
      </c>
      <c r="M625" s="17">
        <v>377232.14</v>
      </c>
      <c r="N625" s="17">
        <v>422500</v>
      </c>
      <c r="O625" s="2"/>
      <c r="P625" s="2"/>
      <c r="Q625" s="31" t="s">
        <v>46</v>
      </c>
      <c r="R625" s="61">
        <f>+K625+K626+K627</f>
        <v>975220</v>
      </c>
      <c r="S625" s="62"/>
      <c r="T625" s="5"/>
    </row>
    <row r="626" spans="1:20">
      <c r="A626" s="2" t="s">
        <v>368</v>
      </c>
      <c r="B626" s="2" t="s">
        <v>373</v>
      </c>
      <c r="C626" s="2" t="s">
        <v>94</v>
      </c>
      <c r="D626" s="16">
        <v>0</v>
      </c>
      <c r="E626" s="2" t="s">
        <v>368</v>
      </c>
      <c r="F626" s="2" t="s">
        <v>95</v>
      </c>
      <c r="G626" s="2" t="s">
        <v>374</v>
      </c>
      <c r="H626" s="17">
        <v>263200</v>
      </c>
      <c r="I626" s="2"/>
      <c r="J626" s="2"/>
      <c r="K626" s="17">
        <v>263200</v>
      </c>
      <c r="L626" s="17">
        <v>28200</v>
      </c>
      <c r="M626" s="17">
        <v>235000</v>
      </c>
      <c r="N626" s="17">
        <v>263200</v>
      </c>
      <c r="O626" s="2"/>
      <c r="P626" s="2"/>
      <c r="Q626" s="31" t="s">
        <v>46</v>
      </c>
      <c r="R626" s="62"/>
      <c r="S626" s="62"/>
      <c r="T626" s="5"/>
    </row>
    <row r="627" spans="1:20">
      <c r="A627" s="2" t="s">
        <v>866</v>
      </c>
      <c r="B627" s="2" t="s">
        <v>865</v>
      </c>
      <c r="C627" s="2" t="s">
        <v>94</v>
      </c>
      <c r="D627" s="16">
        <v>0</v>
      </c>
      <c r="E627" s="2" t="s">
        <v>866</v>
      </c>
      <c r="F627" s="2" t="s">
        <v>95</v>
      </c>
      <c r="G627" s="2" t="s">
        <v>867</v>
      </c>
      <c r="H627" s="17">
        <v>289520</v>
      </c>
      <c r="I627" s="2"/>
      <c r="J627" s="2"/>
      <c r="K627" s="17">
        <v>289520</v>
      </c>
      <c r="L627" s="17">
        <v>31020</v>
      </c>
      <c r="M627" s="17">
        <v>258500</v>
      </c>
      <c r="N627" s="17">
        <v>289520</v>
      </c>
      <c r="O627" s="2"/>
      <c r="P627" s="2"/>
      <c r="Q627" s="31" t="s">
        <v>46</v>
      </c>
      <c r="R627" s="63"/>
      <c r="S627" s="62"/>
      <c r="T627" s="5"/>
    </row>
    <row r="628" spans="1:20">
      <c r="A628" s="2" t="s">
        <v>769</v>
      </c>
      <c r="B628" s="2" t="s">
        <v>814</v>
      </c>
      <c r="C628" s="2" t="s">
        <v>162</v>
      </c>
      <c r="D628" s="16">
        <v>90</v>
      </c>
      <c r="E628" s="2" t="s">
        <v>815</v>
      </c>
      <c r="F628" s="2" t="s">
        <v>816</v>
      </c>
      <c r="G628" s="2" t="s">
        <v>817</v>
      </c>
      <c r="H628" s="17">
        <v>38020</v>
      </c>
      <c r="I628" s="2"/>
      <c r="J628" s="2"/>
      <c r="K628" s="17">
        <v>38020</v>
      </c>
      <c r="L628" s="17">
        <v>4073.57</v>
      </c>
      <c r="M628" s="17">
        <v>33946.43</v>
      </c>
      <c r="N628" s="17">
        <v>38020</v>
      </c>
      <c r="O628" s="2"/>
      <c r="P628" s="2"/>
      <c r="Q628" s="31" t="s">
        <v>46</v>
      </c>
      <c r="R628" s="32">
        <f>+K628</f>
        <v>38020</v>
      </c>
      <c r="S628" s="62"/>
      <c r="T628" s="5"/>
    </row>
    <row r="629" spans="1:20">
      <c r="A629" s="2" t="s">
        <v>448</v>
      </c>
      <c r="B629" s="2" t="s">
        <v>453</v>
      </c>
      <c r="C629" s="2" t="s">
        <v>60</v>
      </c>
      <c r="D629" s="16">
        <v>0</v>
      </c>
      <c r="E629" s="2" t="s">
        <v>448</v>
      </c>
      <c r="F629" s="2" t="s">
        <v>454</v>
      </c>
      <c r="G629" s="2" t="s">
        <v>455</v>
      </c>
      <c r="H629" s="17">
        <v>24000</v>
      </c>
      <c r="I629" s="2"/>
      <c r="J629" s="2"/>
      <c r="K629" s="17">
        <v>24000</v>
      </c>
      <c r="L629" s="17">
        <v>2571.4299999999998</v>
      </c>
      <c r="M629" s="17">
        <v>21428.57</v>
      </c>
      <c r="N629" s="17">
        <v>24000</v>
      </c>
      <c r="O629" s="2"/>
      <c r="P629" s="2"/>
      <c r="Q629" s="31" t="s">
        <v>46</v>
      </c>
      <c r="R629" s="32">
        <f>+K629</f>
        <v>24000</v>
      </c>
      <c r="S629" s="62"/>
      <c r="T629" s="5"/>
    </row>
    <row r="630" spans="1:20">
      <c r="A630" s="2" t="s">
        <v>1048</v>
      </c>
      <c r="B630" s="2" t="s">
        <v>1077</v>
      </c>
      <c r="C630" s="2" t="s">
        <v>73</v>
      </c>
      <c r="D630" s="16">
        <v>30</v>
      </c>
      <c r="E630" s="2" t="s">
        <v>1056</v>
      </c>
      <c r="F630" s="2" t="s">
        <v>1078</v>
      </c>
      <c r="G630" s="2" t="s">
        <v>1079</v>
      </c>
      <c r="H630" s="17">
        <v>138000</v>
      </c>
      <c r="I630" s="2"/>
      <c r="J630" s="2"/>
      <c r="K630" s="17">
        <v>138000</v>
      </c>
      <c r="L630" s="17">
        <v>14785.71</v>
      </c>
      <c r="M630" s="17">
        <v>123214.29</v>
      </c>
      <c r="N630" s="17">
        <v>138000</v>
      </c>
      <c r="O630" s="2"/>
      <c r="P630" s="2"/>
      <c r="Q630" s="31" t="s">
        <v>46</v>
      </c>
      <c r="R630" s="61">
        <f>+K630+K631+K632</f>
        <v>407500</v>
      </c>
      <c r="S630" s="62"/>
      <c r="T630" s="5"/>
    </row>
    <row r="631" spans="1:20">
      <c r="A631" s="2" t="s">
        <v>1048</v>
      </c>
      <c r="B631" s="2" t="s">
        <v>1080</v>
      </c>
      <c r="C631" s="2" t="s">
        <v>73</v>
      </c>
      <c r="D631" s="16">
        <v>30</v>
      </c>
      <c r="E631" s="2" t="s">
        <v>1056</v>
      </c>
      <c r="F631" s="2" t="s">
        <v>1078</v>
      </c>
      <c r="G631" s="2" t="s">
        <v>1081</v>
      </c>
      <c r="H631" s="17">
        <v>136000</v>
      </c>
      <c r="I631" s="2"/>
      <c r="J631" s="2"/>
      <c r="K631" s="17">
        <v>136000</v>
      </c>
      <c r="L631" s="17">
        <v>14571.43</v>
      </c>
      <c r="M631" s="17">
        <v>121428.57</v>
      </c>
      <c r="N631" s="17">
        <v>136000</v>
      </c>
      <c r="O631" s="2"/>
      <c r="P631" s="2"/>
      <c r="Q631" s="31" t="s">
        <v>46</v>
      </c>
      <c r="R631" s="62"/>
      <c r="S631" s="62"/>
      <c r="T631" s="5"/>
    </row>
    <row r="632" spans="1:20">
      <c r="A632" s="2" t="s">
        <v>1117</v>
      </c>
      <c r="B632" s="2" t="s">
        <v>1178</v>
      </c>
      <c r="C632" s="2" t="s">
        <v>73</v>
      </c>
      <c r="D632" s="16">
        <v>30</v>
      </c>
      <c r="E632" s="2" t="s">
        <v>1118</v>
      </c>
      <c r="F632" s="2" t="s">
        <v>1078</v>
      </c>
      <c r="G632" s="2" t="s">
        <v>1179</v>
      </c>
      <c r="H632" s="17">
        <v>133500</v>
      </c>
      <c r="I632" s="2"/>
      <c r="J632" s="2"/>
      <c r="K632" s="17">
        <v>133500</v>
      </c>
      <c r="L632" s="17">
        <v>14303.57</v>
      </c>
      <c r="M632" s="17">
        <v>119196.43</v>
      </c>
      <c r="N632" s="17">
        <v>133500</v>
      </c>
      <c r="O632" s="2"/>
      <c r="P632" s="2"/>
      <c r="Q632" s="31" t="s">
        <v>46</v>
      </c>
      <c r="R632" s="63"/>
      <c r="S632" s="62"/>
      <c r="T632" s="5"/>
    </row>
    <row r="633" spans="1:20">
      <c r="A633" s="2" t="s">
        <v>1217</v>
      </c>
      <c r="B633" s="2" t="s">
        <v>1225</v>
      </c>
      <c r="C633" s="2" t="s">
        <v>34</v>
      </c>
      <c r="D633" s="16">
        <v>60</v>
      </c>
      <c r="E633" s="2" t="s">
        <v>1223</v>
      </c>
      <c r="F633" s="2" t="s">
        <v>1226</v>
      </c>
      <c r="G633" s="2" t="s">
        <v>1227</v>
      </c>
      <c r="H633" s="17">
        <v>37782</v>
      </c>
      <c r="I633" s="2"/>
      <c r="J633" s="2"/>
      <c r="K633" s="17">
        <v>37782</v>
      </c>
      <c r="L633" s="17">
        <v>4048.07</v>
      </c>
      <c r="M633" s="17">
        <v>33733.93</v>
      </c>
      <c r="N633" s="17">
        <v>37782</v>
      </c>
      <c r="O633" s="2"/>
      <c r="P633" s="2"/>
      <c r="Q633" s="31" t="s">
        <v>46</v>
      </c>
      <c r="R633" s="61">
        <f>+K633+K634</f>
        <v>47043</v>
      </c>
      <c r="S633" s="62"/>
      <c r="T633" s="5"/>
    </row>
    <row r="634" spans="1:20">
      <c r="A634" s="2" t="s">
        <v>1372</v>
      </c>
      <c r="B634" s="2" t="s">
        <v>1371</v>
      </c>
      <c r="C634" s="2" t="s">
        <v>34</v>
      </c>
      <c r="D634" s="16">
        <v>60</v>
      </c>
      <c r="E634" s="2" t="s">
        <v>1373</v>
      </c>
      <c r="F634" s="2" t="s">
        <v>1226</v>
      </c>
      <c r="G634" s="2" t="s">
        <v>1374</v>
      </c>
      <c r="H634" s="17">
        <v>9261</v>
      </c>
      <c r="I634" s="2"/>
      <c r="J634" s="2"/>
      <c r="K634" s="17">
        <v>9261</v>
      </c>
      <c r="L634" s="18">
        <v>992.25</v>
      </c>
      <c r="M634" s="17">
        <v>8268.75</v>
      </c>
      <c r="N634" s="17">
        <v>9261</v>
      </c>
      <c r="O634" s="2"/>
      <c r="P634" s="2"/>
      <c r="Q634" s="31" t="s">
        <v>46</v>
      </c>
      <c r="R634" s="63"/>
      <c r="S634" s="62"/>
      <c r="T634" s="5"/>
    </row>
    <row r="635" spans="1:20">
      <c r="A635" s="2" t="s">
        <v>199</v>
      </c>
      <c r="B635" s="2" t="s">
        <v>207</v>
      </c>
      <c r="C635" s="2" t="s">
        <v>60</v>
      </c>
      <c r="D635" s="16">
        <v>0</v>
      </c>
      <c r="E635" s="2" t="s">
        <v>199</v>
      </c>
      <c r="F635" s="2" t="s">
        <v>208</v>
      </c>
      <c r="G635" s="2" t="s">
        <v>209</v>
      </c>
      <c r="H635" s="17">
        <v>6272</v>
      </c>
      <c r="I635" s="2"/>
      <c r="J635" s="2"/>
      <c r="K635" s="17">
        <v>6272</v>
      </c>
      <c r="L635" s="18">
        <v>672</v>
      </c>
      <c r="M635" s="17">
        <v>5600</v>
      </c>
      <c r="N635" s="17">
        <v>6272</v>
      </c>
      <c r="O635" s="2"/>
      <c r="P635" s="2"/>
      <c r="Q635" s="31" t="s">
        <v>46</v>
      </c>
      <c r="R635" s="32">
        <f>+K635</f>
        <v>6272</v>
      </c>
      <c r="S635" s="62"/>
      <c r="T635" s="5"/>
    </row>
    <row r="636" spans="1:20">
      <c r="A636" s="2" t="s">
        <v>637</v>
      </c>
      <c r="B636" s="2" t="s">
        <v>657</v>
      </c>
      <c r="C636" s="2" t="s">
        <v>658</v>
      </c>
      <c r="D636" s="16">
        <v>60</v>
      </c>
      <c r="E636" s="2" t="s">
        <v>659</v>
      </c>
      <c r="F636" s="2" t="s">
        <v>660</v>
      </c>
      <c r="G636" s="2" t="s">
        <v>661</v>
      </c>
      <c r="H636" s="17">
        <v>42000</v>
      </c>
      <c r="I636" s="2"/>
      <c r="J636" s="2"/>
      <c r="K636" s="17">
        <v>42000</v>
      </c>
      <c r="L636" s="17">
        <v>4500</v>
      </c>
      <c r="M636" s="17">
        <v>37500</v>
      </c>
      <c r="N636" s="17">
        <v>42000</v>
      </c>
      <c r="O636" s="2"/>
      <c r="P636" s="2"/>
      <c r="Q636" s="31" t="s">
        <v>46</v>
      </c>
      <c r="R636" s="32">
        <f>+K636</f>
        <v>42000</v>
      </c>
      <c r="S636" s="63"/>
      <c r="T636" s="5"/>
    </row>
    <row r="637" spans="1:20">
      <c r="A637" s="2" t="s">
        <v>93</v>
      </c>
      <c r="B637" s="2" t="s">
        <v>161</v>
      </c>
      <c r="C637" s="2" t="s">
        <v>162</v>
      </c>
      <c r="D637" s="16">
        <v>90</v>
      </c>
      <c r="E637" s="2" t="s">
        <v>147</v>
      </c>
      <c r="F637" s="2" t="s">
        <v>164</v>
      </c>
      <c r="G637" s="2" t="s">
        <v>165</v>
      </c>
      <c r="H637" s="17">
        <v>13175</v>
      </c>
      <c r="I637" s="2"/>
      <c r="J637" s="2"/>
      <c r="K637" s="17">
        <v>13175</v>
      </c>
      <c r="L637" s="17">
        <v>1411.61</v>
      </c>
      <c r="M637" s="17">
        <v>11763.39</v>
      </c>
      <c r="N637" s="17">
        <v>13175</v>
      </c>
      <c r="O637" s="2"/>
      <c r="P637" s="2"/>
      <c r="Q637" s="31" t="s">
        <v>163</v>
      </c>
      <c r="R637" s="61">
        <f>+K637+K638</f>
        <v>42575</v>
      </c>
      <c r="S637" s="61">
        <f>+R637</f>
        <v>42575</v>
      </c>
      <c r="T637" s="5"/>
    </row>
    <row r="638" spans="1:20">
      <c r="A638" s="2" t="s">
        <v>1217</v>
      </c>
      <c r="B638" s="2" t="s">
        <v>1234</v>
      </c>
      <c r="C638" s="2" t="s">
        <v>162</v>
      </c>
      <c r="D638" s="16">
        <v>90</v>
      </c>
      <c r="E638" s="2" t="s">
        <v>1235</v>
      </c>
      <c r="F638" s="2" t="s">
        <v>164</v>
      </c>
      <c r="G638" s="2" t="s">
        <v>1236</v>
      </c>
      <c r="H638" s="17">
        <v>29400</v>
      </c>
      <c r="I638" s="2"/>
      <c r="J638" s="2"/>
      <c r="K638" s="17">
        <v>29400</v>
      </c>
      <c r="L638" s="17">
        <v>3150</v>
      </c>
      <c r="M638" s="17">
        <v>26250</v>
      </c>
      <c r="N638" s="17">
        <v>29400</v>
      </c>
      <c r="O638" s="2"/>
      <c r="P638" s="2"/>
      <c r="Q638" s="31" t="s">
        <v>163</v>
      </c>
      <c r="R638" s="63"/>
      <c r="S638" s="63"/>
      <c r="T638" s="5"/>
    </row>
    <row r="639" spans="1:20">
      <c r="D639" s="6"/>
      <c r="F639" s="25" t="s">
        <v>1776</v>
      </c>
      <c r="G639" s="26"/>
      <c r="H639" s="27"/>
      <c r="I639" s="26"/>
      <c r="J639" s="28">
        <f>SUM(J5:J638)</f>
        <v>376155.62</v>
      </c>
      <c r="K639" s="28">
        <f>SUM(K5:K638)</f>
        <v>154526133.59</v>
      </c>
      <c r="L639" s="5"/>
      <c r="M639" s="5"/>
      <c r="N639" s="28">
        <f>SUM(N5:N638)</f>
        <v>154902289.21000001</v>
      </c>
      <c r="R639" s="28">
        <f>SUM(R5:R637)</f>
        <v>154526133.59000003</v>
      </c>
      <c r="S639" s="28">
        <f>SUM(S5:S637)</f>
        <v>154526133.59</v>
      </c>
    </row>
    <row r="640" spans="1:20">
      <c r="D640" s="6"/>
      <c r="H640" s="5"/>
      <c r="K640" s="5"/>
      <c r="L640" s="5"/>
      <c r="M640" s="5"/>
      <c r="N640" s="5"/>
      <c r="S640" s="44"/>
    </row>
    <row r="641" spans="1:19">
      <c r="D641" s="6"/>
      <c r="H641" s="5"/>
      <c r="K641" s="5"/>
      <c r="L641" s="5"/>
      <c r="M641" s="5"/>
      <c r="N641" s="5"/>
      <c r="S641" s="44"/>
    </row>
    <row r="642" spans="1:19">
      <c r="D642" s="6"/>
      <c r="H642" s="5"/>
      <c r="K642" s="5"/>
      <c r="L642" s="5"/>
      <c r="M642" s="5"/>
      <c r="N642" s="5"/>
    </row>
    <row r="643" spans="1:19">
      <c r="D643" s="6"/>
      <c r="H643" s="5"/>
      <c r="K643" s="5"/>
      <c r="L643" s="5"/>
      <c r="M643" s="5"/>
      <c r="N643" s="5"/>
    </row>
    <row r="644" spans="1:19">
      <c r="D644" s="6"/>
      <c r="H644" s="5"/>
      <c r="K644" s="5"/>
      <c r="L644" s="5"/>
      <c r="M644" s="5"/>
      <c r="N644" s="5"/>
    </row>
    <row r="645" spans="1:19">
      <c r="D645" s="6"/>
      <c r="H645" s="5"/>
      <c r="K645" s="5"/>
      <c r="L645" s="5"/>
      <c r="M645" s="5"/>
      <c r="N645" s="5"/>
    </row>
    <row r="646" spans="1:19">
      <c r="D646" s="6"/>
      <c r="H646" s="5"/>
      <c r="K646" s="5"/>
      <c r="L646" s="5"/>
      <c r="M646" s="5"/>
      <c r="N646" s="5"/>
    </row>
    <row r="647" spans="1:19">
      <c r="D647" s="6"/>
      <c r="H647" s="5"/>
      <c r="K647" s="5"/>
      <c r="L647" s="5"/>
      <c r="M647" s="5"/>
      <c r="N647" s="5"/>
    </row>
    <row r="648" spans="1:19">
      <c r="D648" s="6"/>
      <c r="H648" s="5"/>
      <c r="K648" s="5"/>
      <c r="L648" s="5"/>
      <c r="M648" s="5"/>
      <c r="N648" s="5"/>
    </row>
    <row r="649" spans="1:19">
      <c r="D649" s="6"/>
      <c r="H649" s="5"/>
      <c r="K649" s="5"/>
      <c r="L649" s="5"/>
      <c r="M649" s="5"/>
      <c r="N649" s="5"/>
    </row>
    <row r="650" spans="1:19">
      <c r="D650" s="6"/>
      <c r="H650" s="5"/>
      <c r="K650" s="5"/>
      <c r="L650" s="5"/>
      <c r="M650" s="5"/>
      <c r="N650" s="5"/>
    </row>
    <row r="651" spans="1:19">
      <c r="D651" s="6"/>
      <c r="H651" s="5"/>
      <c r="K651" s="5"/>
      <c r="L651" s="5"/>
      <c r="M651" s="5"/>
      <c r="N651" s="5"/>
    </row>
    <row r="652" spans="1:19">
      <c r="D652" s="6"/>
      <c r="H652" s="5"/>
      <c r="K652" s="5"/>
      <c r="L652" s="5"/>
      <c r="M652" s="5"/>
      <c r="N652" s="5"/>
    </row>
    <row r="653" spans="1:19">
      <c r="A653" s="24" t="s">
        <v>93</v>
      </c>
      <c r="B653" s="24" t="s">
        <v>1622</v>
      </c>
      <c r="C653" s="24" t="s">
        <v>146</v>
      </c>
      <c r="D653" s="6">
        <v>90</v>
      </c>
      <c r="E653" s="24" t="s">
        <v>147</v>
      </c>
      <c r="F653" s="24" t="s">
        <v>589</v>
      </c>
      <c r="G653" s="24" t="s">
        <v>1623</v>
      </c>
      <c r="H653" s="4">
        <v>-1.25</v>
      </c>
      <c r="K653" s="4">
        <v>-1.25</v>
      </c>
      <c r="M653" s="4">
        <v>-1.25</v>
      </c>
      <c r="N653" s="4">
        <v>-1.25</v>
      </c>
      <c r="Q653" s="24" t="s">
        <v>69</v>
      </c>
    </row>
    <row r="654" spans="1:19">
      <c r="A654" s="24" t="s">
        <v>448</v>
      </c>
      <c r="B654" s="24" t="s">
        <v>1624</v>
      </c>
      <c r="C654" s="24" t="s">
        <v>146</v>
      </c>
      <c r="D654" s="6">
        <v>90</v>
      </c>
      <c r="E654" s="24" t="s">
        <v>479</v>
      </c>
      <c r="F654" s="24" t="s">
        <v>589</v>
      </c>
      <c r="G654" s="24" t="s">
        <v>1625</v>
      </c>
      <c r="H654" s="4">
        <v>-0.14000000000000001</v>
      </c>
      <c r="K654" s="4">
        <v>-0.14000000000000001</v>
      </c>
      <c r="M654" s="4">
        <v>-0.14000000000000001</v>
      </c>
      <c r="N654" s="4">
        <v>-0.14000000000000001</v>
      </c>
      <c r="Q654" s="24" t="s">
        <v>139</v>
      </c>
    </row>
    <row r="655" spans="1:19">
      <c r="A655" s="24" t="s">
        <v>505</v>
      </c>
      <c r="B655" s="24" t="s">
        <v>1626</v>
      </c>
      <c r="C655" s="24" t="s">
        <v>243</v>
      </c>
      <c r="D655" s="6">
        <v>30</v>
      </c>
      <c r="E655" s="24" t="s">
        <v>518</v>
      </c>
      <c r="F655" s="24" t="s">
        <v>1405</v>
      </c>
      <c r="G655" s="24" t="s">
        <v>1627</v>
      </c>
      <c r="H655" s="4">
        <v>-0.99</v>
      </c>
      <c r="K655" s="4">
        <v>-0.99</v>
      </c>
      <c r="M655" s="4">
        <v>-0.99</v>
      </c>
      <c r="N655" s="4">
        <v>-0.99</v>
      </c>
      <c r="Q655" s="24" t="s">
        <v>139</v>
      </c>
    </row>
    <row r="656" spans="1:19">
      <c r="A656" s="24" t="s">
        <v>505</v>
      </c>
      <c r="B656" s="24" t="s">
        <v>1628</v>
      </c>
      <c r="C656" s="24" t="s">
        <v>73</v>
      </c>
      <c r="D656" s="6">
        <v>30</v>
      </c>
      <c r="E656" s="24" t="s">
        <v>518</v>
      </c>
      <c r="F656" s="24" t="s">
        <v>267</v>
      </c>
      <c r="G656" s="24" t="s">
        <v>1629</v>
      </c>
      <c r="H656" s="4">
        <v>-134200</v>
      </c>
      <c r="K656" s="4">
        <v>-134200</v>
      </c>
      <c r="L656" s="4">
        <v>-14378.57</v>
      </c>
      <c r="M656" s="4">
        <v>-119821.43</v>
      </c>
      <c r="N656" s="4">
        <v>-134200</v>
      </c>
      <c r="Q656" s="24" t="s">
        <v>139</v>
      </c>
    </row>
    <row r="657" spans="1:17">
      <c r="A657" s="24" t="s">
        <v>505</v>
      </c>
      <c r="B657" s="24" t="s">
        <v>1630</v>
      </c>
      <c r="C657" s="24" t="s">
        <v>104</v>
      </c>
      <c r="D657" s="6">
        <v>0</v>
      </c>
      <c r="E657" s="24" t="s">
        <v>505</v>
      </c>
      <c r="F657" s="24" t="s">
        <v>490</v>
      </c>
      <c r="G657" s="24" t="s">
        <v>1631</v>
      </c>
      <c r="H657" s="4">
        <v>-0.54</v>
      </c>
      <c r="K657" s="4">
        <v>-0.54</v>
      </c>
      <c r="M657" s="4">
        <v>-0.54</v>
      </c>
      <c r="N657" s="4">
        <v>-0.54</v>
      </c>
      <c r="Q657" s="24" t="s">
        <v>19</v>
      </c>
    </row>
    <row r="658" spans="1:17">
      <c r="A658" s="24" t="s">
        <v>596</v>
      </c>
      <c r="B658" s="24" t="s">
        <v>1632</v>
      </c>
      <c r="C658" s="24" t="s">
        <v>151</v>
      </c>
      <c r="D658" s="6">
        <v>60</v>
      </c>
      <c r="E658" s="24" t="s">
        <v>613</v>
      </c>
      <c r="F658" s="24" t="s">
        <v>1633</v>
      </c>
      <c r="G658" s="24" t="s">
        <v>1634</v>
      </c>
      <c r="H658" s="4">
        <v>-2</v>
      </c>
      <c r="K658" s="4">
        <v>-2</v>
      </c>
      <c r="M658" s="4">
        <v>-2</v>
      </c>
      <c r="N658" s="4">
        <v>-2</v>
      </c>
      <c r="Q658" s="24" t="s">
        <v>30</v>
      </c>
    </row>
    <row r="659" spans="1:17">
      <c r="A659" s="24" t="s">
        <v>596</v>
      </c>
      <c r="B659" s="24" t="s">
        <v>1635</v>
      </c>
      <c r="C659" s="24" t="s">
        <v>79</v>
      </c>
      <c r="D659" s="6">
        <v>30</v>
      </c>
      <c r="E659" s="24" t="s">
        <v>619</v>
      </c>
      <c r="F659" s="24" t="s">
        <v>1636</v>
      </c>
      <c r="G659" s="24" t="s">
        <v>1637</v>
      </c>
      <c r="H659" s="4">
        <v>-637070</v>
      </c>
      <c r="K659" s="4">
        <v>-637070</v>
      </c>
      <c r="L659" s="4">
        <v>-68257.5</v>
      </c>
      <c r="M659" s="4">
        <v>-568812.5</v>
      </c>
      <c r="N659" s="4">
        <v>-637070</v>
      </c>
      <c r="Q659" s="24" t="s">
        <v>105</v>
      </c>
    </row>
    <row r="660" spans="1:17">
      <c r="A660" s="24" t="s">
        <v>596</v>
      </c>
      <c r="B660" s="24" t="s">
        <v>1638</v>
      </c>
      <c r="C660" s="24" t="s">
        <v>79</v>
      </c>
      <c r="D660" s="6">
        <v>30</v>
      </c>
      <c r="E660" s="24" t="s">
        <v>619</v>
      </c>
      <c r="F660" s="24" t="s">
        <v>1636</v>
      </c>
      <c r="G660" s="24" t="s">
        <v>1639</v>
      </c>
      <c r="H660" s="4">
        <v>-115297</v>
      </c>
      <c r="K660" s="4">
        <v>-115297</v>
      </c>
      <c r="L660" s="4">
        <v>-12353.25</v>
      </c>
      <c r="M660" s="4">
        <v>-102943.75</v>
      </c>
      <c r="N660" s="4">
        <v>-115297</v>
      </c>
      <c r="Q660" s="24" t="s">
        <v>69</v>
      </c>
    </row>
    <row r="661" spans="1:17">
      <c r="A661" s="24" t="s">
        <v>596</v>
      </c>
      <c r="B661" s="24" t="s">
        <v>1640</v>
      </c>
      <c r="C661" s="24" t="s">
        <v>79</v>
      </c>
      <c r="D661" s="6">
        <v>30</v>
      </c>
      <c r="E661" s="24" t="s">
        <v>619</v>
      </c>
      <c r="F661" s="24" t="s">
        <v>1636</v>
      </c>
      <c r="G661" s="24" t="s">
        <v>1641</v>
      </c>
      <c r="H661" s="4">
        <v>-663000</v>
      </c>
      <c r="K661" s="4">
        <v>-663000</v>
      </c>
      <c r="L661" s="4">
        <v>-71035.710000000006</v>
      </c>
      <c r="M661" s="4">
        <v>-591964.29</v>
      </c>
      <c r="N661" s="4">
        <v>-663000</v>
      </c>
      <c r="Q661" s="24" t="s">
        <v>69</v>
      </c>
    </row>
    <row r="662" spans="1:17">
      <c r="A662" s="24" t="s">
        <v>596</v>
      </c>
      <c r="B662" s="24" t="s">
        <v>1642</v>
      </c>
      <c r="C662" s="24" t="s">
        <v>79</v>
      </c>
      <c r="D662" s="6">
        <v>30</v>
      </c>
      <c r="E662" s="24" t="s">
        <v>619</v>
      </c>
      <c r="F662" s="24" t="s">
        <v>1636</v>
      </c>
      <c r="G662" s="24" t="s">
        <v>1643</v>
      </c>
      <c r="H662" s="4">
        <v>-343200</v>
      </c>
      <c r="K662" s="4">
        <v>-343200</v>
      </c>
      <c r="L662" s="4">
        <v>-36771.43</v>
      </c>
      <c r="M662" s="4">
        <v>-306428.57</v>
      </c>
      <c r="N662" s="4">
        <v>-343200</v>
      </c>
      <c r="Q662" s="24" t="s">
        <v>69</v>
      </c>
    </row>
    <row r="663" spans="1:17">
      <c r="A663" s="24" t="s">
        <v>596</v>
      </c>
      <c r="B663" s="24" t="s">
        <v>1644</v>
      </c>
      <c r="C663" s="24" t="s">
        <v>79</v>
      </c>
      <c r="D663" s="6">
        <v>30</v>
      </c>
      <c r="E663" s="24" t="s">
        <v>619</v>
      </c>
      <c r="F663" s="24" t="s">
        <v>1636</v>
      </c>
      <c r="G663" s="24" t="s">
        <v>1645</v>
      </c>
      <c r="H663" s="4">
        <v>-53150</v>
      </c>
      <c r="K663" s="4">
        <v>-53150</v>
      </c>
      <c r="L663" s="4">
        <v>-5694.64</v>
      </c>
      <c r="M663" s="4">
        <v>-47455.360000000001</v>
      </c>
      <c r="N663" s="4">
        <v>-53150</v>
      </c>
      <c r="Q663" s="24" t="s">
        <v>69</v>
      </c>
    </row>
    <row r="664" spans="1:17">
      <c r="A664" s="24" t="s">
        <v>596</v>
      </c>
      <c r="B664" s="24" t="s">
        <v>1646</v>
      </c>
      <c r="C664" s="24" t="s">
        <v>79</v>
      </c>
      <c r="D664" s="6">
        <v>30</v>
      </c>
      <c r="E664" s="24" t="s">
        <v>619</v>
      </c>
      <c r="F664" s="24" t="s">
        <v>1636</v>
      </c>
      <c r="G664" s="24" t="s">
        <v>1647</v>
      </c>
      <c r="H664" s="4">
        <v>-66750</v>
      </c>
      <c r="K664" s="4">
        <v>-66750</v>
      </c>
      <c r="L664" s="4">
        <v>-7151.79</v>
      </c>
      <c r="M664" s="4">
        <v>-59598.21</v>
      </c>
      <c r="N664" s="4">
        <v>-66750</v>
      </c>
      <c r="Q664" s="24" t="s">
        <v>69</v>
      </c>
    </row>
    <row r="665" spans="1:17">
      <c r="A665" s="24" t="s">
        <v>596</v>
      </c>
      <c r="B665" s="24" t="s">
        <v>1648</v>
      </c>
      <c r="C665" s="24" t="s">
        <v>79</v>
      </c>
      <c r="D665" s="6">
        <v>30</v>
      </c>
      <c r="E665" s="24" t="s">
        <v>619</v>
      </c>
      <c r="F665" s="24" t="s">
        <v>1636</v>
      </c>
      <c r="G665" s="24" t="s">
        <v>1649</v>
      </c>
      <c r="H665" s="4">
        <v>-122650</v>
      </c>
      <c r="K665" s="4">
        <v>-122650</v>
      </c>
      <c r="L665" s="4">
        <v>-13141.07</v>
      </c>
      <c r="M665" s="4">
        <v>-109508.93</v>
      </c>
      <c r="N665" s="4">
        <v>-122650</v>
      </c>
      <c r="Q665" s="24" t="s">
        <v>69</v>
      </c>
    </row>
    <row r="666" spans="1:17">
      <c r="A666" s="24" t="s">
        <v>1651</v>
      </c>
      <c r="B666" s="24" t="s">
        <v>1650</v>
      </c>
      <c r="C666" s="24" t="s">
        <v>60</v>
      </c>
      <c r="D666" s="6">
        <v>0</v>
      </c>
      <c r="E666" s="24" t="s">
        <v>1651</v>
      </c>
      <c r="F666" s="24" t="s">
        <v>1127</v>
      </c>
      <c r="G666" s="24" t="s">
        <v>1652</v>
      </c>
      <c r="H666" s="4">
        <v>-0.4</v>
      </c>
      <c r="K666" s="4">
        <v>-0.4</v>
      </c>
      <c r="M666" s="4">
        <v>-0.4</v>
      </c>
      <c r="N666" s="4">
        <v>-0.4</v>
      </c>
      <c r="Q666" s="24" t="s">
        <v>69</v>
      </c>
    </row>
    <row r="667" spans="1:17">
      <c r="A667" s="24" t="s">
        <v>689</v>
      </c>
      <c r="B667" s="24" t="s">
        <v>1653</v>
      </c>
      <c r="C667" s="24" t="s">
        <v>60</v>
      </c>
      <c r="D667" s="6">
        <v>0</v>
      </c>
      <c r="E667" s="24" t="s">
        <v>689</v>
      </c>
      <c r="F667" s="24" t="s">
        <v>790</v>
      </c>
      <c r="G667" s="24" t="s">
        <v>1654</v>
      </c>
      <c r="H667" s="4">
        <v>-0.2</v>
      </c>
      <c r="K667" s="4">
        <v>-0.2</v>
      </c>
      <c r="M667" s="4">
        <v>-0.2</v>
      </c>
      <c r="N667" s="4">
        <v>-0.2</v>
      </c>
      <c r="Q667" s="24" t="s">
        <v>56</v>
      </c>
    </row>
    <row r="668" spans="1:17">
      <c r="A668" s="24" t="s">
        <v>1117</v>
      </c>
      <c r="B668" s="24" t="s">
        <v>1655</v>
      </c>
      <c r="C668" s="24" t="s">
        <v>34</v>
      </c>
      <c r="D668" s="6">
        <v>60</v>
      </c>
      <c r="E668" s="24" t="s">
        <v>1139</v>
      </c>
      <c r="F668" s="24" t="s">
        <v>330</v>
      </c>
      <c r="G668" s="24" t="s">
        <v>1656</v>
      </c>
      <c r="H668" s="4">
        <v>-0.36</v>
      </c>
      <c r="K668" s="4">
        <v>-0.36</v>
      </c>
      <c r="M668" s="4">
        <v>-0.36</v>
      </c>
      <c r="N668" s="4">
        <v>-0.36</v>
      </c>
      <c r="Q668" s="24" t="s">
        <v>56</v>
      </c>
    </row>
    <row r="669" spans="1:17">
      <c r="A669" s="24" t="s">
        <v>1217</v>
      </c>
      <c r="B669" s="24" t="s">
        <v>1657</v>
      </c>
      <c r="C669" s="24" t="s">
        <v>146</v>
      </c>
      <c r="D669" s="6">
        <v>90</v>
      </c>
      <c r="E669" s="24" t="s">
        <v>1235</v>
      </c>
      <c r="F669" s="24" t="s">
        <v>1658</v>
      </c>
      <c r="G669" s="24" t="s">
        <v>1659</v>
      </c>
      <c r="H669" s="4">
        <v>-0.43</v>
      </c>
      <c r="K669" s="4">
        <v>-0.43</v>
      </c>
      <c r="M669" s="4">
        <v>-0.43</v>
      </c>
      <c r="N669" s="4">
        <v>-0.43</v>
      </c>
      <c r="Q669" s="24" t="s">
        <v>329</v>
      </c>
    </row>
    <row r="670" spans="1:17">
      <c r="A670" s="24" t="s">
        <v>1553</v>
      </c>
      <c r="B670" s="24" t="s">
        <v>1660</v>
      </c>
      <c r="C670" s="24" t="s">
        <v>18</v>
      </c>
      <c r="D670" s="6">
        <v>0</v>
      </c>
      <c r="E670" s="24" t="s">
        <v>1553</v>
      </c>
      <c r="F670" s="24" t="s">
        <v>1122</v>
      </c>
      <c r="G670" s="24" t="s">
        <v>1661</v>
      </c>
      <c r="H670" s="4">
        <v>-0.04</v>
      </c>
      <c r="K670" s="4">
        <v>-0.04</v>
      </c>
      <c r="M670" s="4">
        <v>-0.04</v>
      </c>
      <c r="N670" s="4">
        <v>-0.04</v>
      </c>
      <c r="Q670" s="24" t="s">
        <v>50</v>
      </c>
    </row>
    <row r="671" spans="1:17">
      <c r="A671" s="24" t="s">
        <v>1553</v>
      </c>
      <c r="B671" s="24" t="s">
        <v>1662</v>
      </c>
      <c r="C671" s="24" t="s">
        <v>104</v>
      </c>
      <c r="D671" s="6">
        <v>0</v>
      </c>
      <c r="E671" s="24" t="s">
        <v>1553</v>
      </c>
      <c r="F671" s="24" t="s">
        <v>490</v>
      </c>
      <c r="G671" s="24" t="s">
        <v>1663</v>
      </c>
      <c r="H671" s="4">
        <v>-0.54</v>
      </c>
      <c r="K671" s="4">
        <v>-0.54</v>
      </c>
      <c r="M671" s="4">
        <v>-0.54</v>
      </c>
      <c r="N671" s="4">
        <v>-0.54</v>
      </c>
      <c r="Q671" s="24" t="s">
        <v>46</v>
      </c>
    </row>
    <row r="672" spans="1:17">
      <c r="A672" s="24" t="s">
        <v>1553</v>
      </c>
      <c r="B672" s="24" t="s">
        <v>1664</v>
      </c>
      <c r="C672" s="24" t="s">
        <v>23</v>
      </c>
      <c r="D672" s="6">
        <v>30</v>
      </c>
      <c r="E672" s="24" t="s">
        <v>1569</v>
      </c>
      <c r="F672" s="24" t="s">
        <v>1665</v>
      </c>
      <c r="G672" s="24" t="s">
        <v>1666</v>
      </c>
      <c r="H672" s="4">
        <v>-0.69</v>
      </c>
      <c r="K672" s="4">
        <v>-0.69</v>
      </c>
      <c r="M672" s="4">
        <v>-0.69</v>
      </c>
      <c r="N672" s="4">
        <v>-0.69</v>
      </c>
      <c r="Q672" s="24" t="s">
        <v>30</v>
      </c>
    </row>
    <row r="673" spans="1:17">
      <c r="A673" s="24" t="s">
        <v>1553</v>
      </c>
      <c r="B673" s="24" t="s">
        <v>1667</v>
      </c>
      <c r="C673" s="24" t="s">
        <v>60</v>
      </c>
      <c r="D673" s="6">
        <v>0</v>
      </c>
      <c r="E673" s="24" t="s">
        <v>1553</v>
      </c>
      <c r="F673" s="24" t="s">
        <v>1668</v>
      </c>
      <c r="G673" s="24" t="s">
        <v>1669</v>
      </c>
      <c r="H673" s="4">
        <v>-0.02</v>
      </c>
      <c r="K673" s="4">
        <v>-0.02</v>
      </c>
      <c r="M673" s="4">
        <v>-0.02</v>
      </c>
      <c r="N673" s="4">
        <v>-0.02</v>
      </c>
      <c r="Q673" s="24" t="s">
        <v>180</v>
      </c>
    </row>
    <row r="674" spans="1:17">
      <c r="A674" s="24" t="s">
        <v>1553</v>
      </c>
      <c r="B674" s="24" t="s">
        <v>1670</v>
      </c>
      <c r="C674" s="24" t="s">
        <v>104</v>
      </c>
      <c r="D674" s="6">
        <v>0</v>
      </c>
      <c r="E674" s="24" t="s">
        <v>1553</v>
      </c>
      <c r="F674" s="24" t="s">
        <v>40</v>
      </c>
      <c r="G674" s="24" t="s">
        <v>1671</v>
      </c>
      <c r="H674" s="4">
        <v>-1</v>
      </c>
      <c r="K674" s="4">
        <v>-1</v>
      </c>
      <c r="M674" s="4">
        <v>-1</v>
      </c>
      <c r="N674" s="4">
        <v>-1</v>
      </c>
      <c r="Q674" s="24" t="s">
        <v>56</v>
      </c>
    </row>
    <row r="675" spans="1:17">
      <c r="A675" s="24" t="s">
        <v>1553</v>
      </c>
      <c r="B675" s="24" t="s">
        <v>1672</v>
      </c>
      <c r="C675" s="24" t="s">
        <v>60</v>
      </c>
      <c r="D675" s="6">
        <v>0</v>
      </c>
      <c r="E675" s="24" t="s">
        <v>1553</v>
      </c>
      <c r="F675" s="24" t="s">
        <v>1097</v>
      </c>
      <c r="G675" s="24" t="s">
        <v>1673</v>
      </c>
      <c r="H675" s="4">
        <v>-0.5</v>
      </c>
      <c r="K675" s="4">
        <v>-0.5</v>
      </c>
      <c r="M675" s="4">
        <v>-0.5</v>
      </c>
      <c r="N675" s="4">
        <v>-0.5</v>
      </c>
      <c r="Q675" s="24" t="s">
        <v>30</v>
      </c>
    </row>
    <row r="676" spans="1:17">
      <c r="A676" s="24" t="s">
        <v>93</v>
      </c>
      <c r="B676" s="24" t="s">
        <v>1674</v>
      </c>
      <c r="C676" s="24" t="s">
        <v>237</v>
      </c>
      <c r="D676" s="6">
        <v>60</v>
      </c>
      <c r="E676" s="24" t="s">
        <v>136</v>
      </c>
      <c r="F676" s="24" t="s">
        <v>303</v>
      </c>
      <c r="G676" s="24" t="s">
        <v>1675</v>
      </c>
      <c r="H676" s="4">
        <v>-108810.63</v>
      </c>
      <c r="K676" s="4">
        <v>-108810.63</v>
      </c>
      <c r="L676" s="4">
        <v>-97152.35</v>
      </c>
      <c r="M676" s="4">
        <v>-11658.28</v>
      </c>
      <c r="N676" s="4">
        <v>-108810.63</v>
      </c>
      <c r="Q676" s="24" t="s">
        <v>139</v>
      </c>
    </row>
    <row r="677" spans="1:17">
      <c r="A677" s="24" t="s">
        <v>368</v>
      </c>
      <c r="B677" s="24" t="s">
        <v>1676</v>
      </c>
      <c r="C677" s="24" t="s">
        <v>60</v>
      </c>
      <c r="D677" s="6">
        <v>0</v>
      </c>
      <c r="E677" s="24" t="s">
        <v>368</v>
      </c>
      <c r="F677" s="24" t="s">
        <v>412</v>
      </c>
      <c r="G677" s="24" t="s">
        <v>1677</v>
      </c>
      <c r="H677" s="4">
        <v>-153648</v>
      </c>
      <c r="K677" s="4">
        <v>-153648</v>
      </c>
      <c r="L677" s="4">
        <v>-16462.29</v>
      </c>
      <c r="M677" s="4">
        <v>-137185.71</v>
      </c>
      <c r="N677" s="4">
        <v>-153648</v>
      </c>
      <c r="Q677" s="24" t="s">
        <v>69</v>
      </c>
    </row>
    <row r="678" spans="1:17">
      <c r="A678" s="24" t="s">
        <v>596</v>
      </c>
      <c r="B678" s="24" t="s">
        <v>1678</v>
      </c>
      <c r="C678" s="24" t="s">
        <v>162</v>
      </c>
      <c r="D678" s="6">
        <v>90</v>
      </c>
      <c r="E678" s="24" t="s">
        <v>597</v>
      </c>
      <c r="F678" s="24" t="s">
        <v>543</v>
      </c>
      <c r="G678" s="24" t="s">
        <v>1679</v>
      </c>
      <c r="H678" s="4">
        <v>-93820</v>
      </c>
      <c r="K678" s="4">
        <v>-93820</v>
      </c>
      <c r="L678" s="4">
        <v>-10052.14</v>
      </c>
      <c r="M678" s="4">
        <v>-83767.86</v>
      </c>
      <c r="N678" s="4">
        <v>-93820</v>
      </c>
      <c r="Q678" s="24" t="s">
        <v>56</v>
      </c>
    </row>
    <row r="679" spans="1:17">
      <c r="A679" s="24" t="s">
        <v>596</v>
      </c>
      <c r="B679" s="24" t="s">
        <v>1680</v>
      </c>
      <c r="C679" s="24" t="s">
        <v>29</v>
      </c>
      <c r="D679" s="6">
        <v>0</v>
      </c>
      <c r="E679" s="24" t="s">
        <v>596</v>
      </c>
      <c r="F679" s="24" t="s">
        <v>40</v>
      </c>
      <c r="G679" s="24" t="s">
        <v>1681</v>
      </c>
      <c r="H679" s="4">
        <v>-1008800</v>
      </c>
      <c r="K679" s="4">
        <v>-1008800</v>
      </c>
      <c r="L679" s="4">
        <v>-108085.71</v>
      </c>
      <c r="M679" s="4">
        <v>-900714.29</v>
      </c>
      <c r="N679" s="4">
        <v>-1008800</v>
      </c>
      <c r="Q679" s="24" t="s">
        <v>19</v>
      </c>
    </row>
    <row r="680" spans="1:17">
      <c r="A680" s="24" t="s">
        <v>596</v>
      </c>
      <c r="B680" s="24" t="s">
        <v>1682</v>
      </c>
      <c r="C680" s="24" t="s">
        <v>29</v>
      </c>
      <c r="D680" s="6">
        <v>0</v>
      </c>
      <c r="E680" s="24" t="s">
        <v>596</v>
      </c>
      <c r="F680" s="24" t="s">
        <v>40</v>
      </c>
      <c r="G680" s="24" t="s">
        <v>1683</v>
      </c>
      <c r="H680" s="4">
        <v>-70000</v>
      </c>
      <c r="K680" s="4">
        <v>-70000</v>
      </c>
      <c r="L680" s="4">
        <v>-7500</v>
      </c>
      <c r="M680" s="4">
        <v>-62500</v>
      </c>
      <c r="N680" s="4">
        <v>-70000</v>
      </c>
      <c r="Q680" s="24" t="s">
        <v>30</v>
      </c>
    </row>
    <row r="681" spans="1:17">
      <c r="A681" s="24" t="s">
        <v>637</v>
      </c>
      <c r="B681" s="24" t="s">
        <v>1684</v>
      </c>
      <c r="C681" s="24" t="s">
        <v>162</v>
      </c>
      <c r="D681" s="6">
        <v>90</v>
      </c>
      <c r="E681" s="24" t="s">
        <v>655</v>
      </c>
      <c r="F681" s="24" t="s">
        <v>672</v>
      </c>
      <c r="G681" s="24" t="s">
        <v>1685</v>
      </c>
      <c r="H681" s="4">
        <v>-11760</v>
      </c>
      <c r="K681" s="4">
        <v>-11760</v>
      </c>
      <c r="L681" s="4">
        <v>-1260</v>
      </c>
      <c r="M681" s="4">
        <v>-10500</v>
      </c>
      <c r="N681" s="4">
        <v>-11760</v>
      </c>
      <c r="Q681" s="24" t="s">
        <v>30</v>
      </c>
    </row>
    <row r="682" spans="1:17">
      <c r="A682" s="24" t="s">
        <v>637</v>
      </c>
      <c r="B682" s="24" t="s">
        <v>1686</v>
      </c>
      <c r="C682" s="24" t="s">
        <v>146</v>
      </c>
      <c r="D682" s="6">
        <v>90</v>
      </c>
      <c r="E682" s="24" t="s">
        <v>655</v>
      </c>
      <c r="F682" s="24" t="s">
        <v>1687</v>
      </c>
      <c r="G682" s="24" t="s">
        <v>1688</v>
      </c>
      <c r="H682" s="4">
        <v>-44226</v>
      </c>
      <c r="K682" s="4">
        <v>-44226</v>
      </c>
      <c r="L682" s="4">
        <v>-4738.5</v>
      </c>
      <c r="M682" s="4">
        <v>-39487.5</v>
      </c>
      <c r="N682" s="4">
        <v>-44226</v>
      </c>
      <c r="Q682" s="24" t="s">
        <v>19</v>
      </c>
    </row>
    <row r="683" spans="1:17">
      <c r="A683" s="24" t="s">
        <v>1651</v>
      </c>
      <c r="B683" s="24" t="s">
        <v>1689</v>
      </c>
      <c r="C683" s="24" t="s">
        <v>237</v>
      </c>
      <c r="D683" s="6">
        <v>60</v>
      </c>
      <c r="E683" s="24" t="s">
        <v>1690</v>
      </c>
      <c r="F683" s="24" t="s">
        <v>303</v>
      </c>
      <c r="G683" s="24" t="s">
        <v>1691</v>
      </c>
      <c r="H683" s="4">
        <v>-45284.47</v>
      </c>
      <c r="K683" s="4">
        <v>-45284.47</v>
      </c>
      <c r="L683" s="4">
        <v>-4851.91</v>
      </c>
      <c r="M683" s="4">
        <v>-40432.559999999998</v>
      </c>
      <c r="N683" s="4">
        <v>-45284.47</v>
      </c>
      <c r="Q683" s="24" t="s">
        <v>69</v>
      </c>
    </row>
    <row r="684" spans="1:17">
      <c r="A684" s="24" t="s">
        <v>1651</v>
      </c>
      <c r="B684" s="24" t="s">
        <v>1692</v>
      </c>
      <c r="C684" s="24" t="s">
        <v>237</v>
      </c>
      <c r="D684" s="6">
        <v>60</v>
      </c>
      <c r="E684" s="24" t="s">
        <v>1690</v>
      </c>
      <c r="F684" s="24" t="s">
        <v>303</v>
      </c>
      <c r="G684" s="24" t="s">
        <v>1693</v>
      </c>
      <c r="H684" s="4">
        <v>-28851.599999999999</v>
      </c>
      <c r="K684" s="4">
        <v>-28851.599999999999</v>
      </c>
      <c r="L684" s="4">
        <v>-3091.24</v>
      </c>
      <c r="M684" s="4">
        <v>-25760.36</v>
      </c>
      <c r="N684" s="4">
        <v>-28851.599999999999</v>
      </c>
      <c r="Q684" s="24" t="s">
        <v>69</v>
      </c>
    </row>
    <row r="685" spans="1:17">
      <c r="A685" s="24" t="s">
        <v>689</v>
      </c>
      <c r="B685" s="24" t="s">
        <v>1694</v>
      </c>
      <c r="C685" s="24" t="s">
        <v>151</v>
      </c>
      <c r="D685" s="6">
        <v>60</v>
      </c>
      <c r="E685" s="24" t="s">
        <v>692</v>
      </c>
      <c r="F685" s="24" t="s">
        <v>728</v>
      </c>
      <c r="G685" s="24" t="s">
        <v>1695</v>
      </c>
      <c r="H685" s="4">
        <v>-313000</v>
      </c>
      <c r="K685" s="4">
        <v>-313000</v>
      </c>
      <c r="L685" s="4">
        <v>-33535.71</v>
      </c>
      <c r="M685" s="4">
        <v>-279464.28999999998</v>
      </c>
      <c r="N685" s="4">
        <v>-313000</v>
      </c>
      <c r="Q685" s="24" t="s">
        <v>69</v>
      </c>
    </row>
    <row r="686" spans="1:17">
      <c r="A686" s="24" t="s">
        <v>769</v>
      </c>
      <c r="B686" s="24" t="s">
        <v>1696</v>
      </c>
      <c r="C686" s="24" t="s">
        <v>68</v>
      </c>
      <c r="D686" s="6">
        <v>60</v>
      </c>
      <c r="E686" s="24" t="s">
        <v>770</v>
      </c>
      <c r="F686" s="24" t="s">
        <v>574</v>
      </c>
      <c r="G686" s="24" t="s">
        <v>1697</v>
      </c>
      <c r="H686" s="4">
        <v>-70510</v>
      </c>
      <c r="K686" s="4">
        <v>-70510</v>
      </c>
      <c r="L686" s="4">
        <v>-7554.64</v>
      </c>
      <c r="M686" s="4">
        <v>-62955.360000000001</v>
      </c>
      <c r="N686" s="4">
        <v>-70510</v>
      </c>
      <c r="Q686" s="24" t="s">
        <v>727</v>
      </c>
    </row>
    <row r="687" spans="1:17">
      <c r="A687" s="24" t="s">
        <v>769</v>
      </c>
      <c r="B687" s="24" t="s">
        <v>1698</v>
      </c>
      <c r="C687" s="24" t="s">
        <v>151</v>
      </c>
      <c r="D687" s="6">
        <v>60</v>
      </c>
      <c r="E687" s="24" t="s">
        <v>770</v>
      </c>
      <c r="F687" s="24" t="s">
        <v>574</v>
      </c>
      <c r="G687" s="24" t="s">
        <v>1699</v>
      </c>
      <c r="H687" s="4">
        <v>-70510</v>
      </c>
      <c r="K687" s="4">
        <v>-70510</v>
      </c>
      <c r="L687" s="4">
        <v>-7554.64</v>
      </c>
      <c r="M687" s="4">
        <v>-62955.360000000001</v>
      </c>
      <c r="N687" s="4">
        <v>-70510</v>
      </c>
      <c r="Q687" s="24" t="s">
        <v>69</v>
      </c>
    </row>
    <row r="688" spans="1:17">
      <c r="A688" s="24" t="s">
        <v>866</v>
      </c>
      <c r="B688" s="24" t="s">
        <v>1700</v>
      </c>
      <c r="C688" s="24" t="s">
        <v>369</v>
      </c>
      <c r="D688" s="6">
        <v>30</v>
      </c>
      <c r="E688" s="24" t="s">
        <v>880</v>
      </c>
      <c r="F688" s="24" t="s">
        <v>371</v>
      </c>
      <c r="G688" s="24" t="s">
        <v>1701</v>
      </c>
      <c r="H688" s="4">
        <v>-128240</v>
      </c>
      <c r="K688" s="4">
        <v>-128240</v>
      </c>
      <c r="L688" s="4">
        <v>-13740</v>
      </c>
      <c r="M688" s="4">
        <v>-114500</v>
      </c>
      <c r="N688" s="4">
        <v>-128240</v>
      </c>
      <c r="Q688" s="24" t="s">
        <v>69</v>
      </c>
    </row>
    <row r="689" spans="1:17">
      <c r="A689" s="24" t="s">
        <v>866</v>
      </c>
      <c r="B689" s="24" t="s">
        <v>1702</v>
      </c>
      <c r="C689" s="24" t="s">
        <v>237</v>
      </c>
      <c r="D689" s="6">
        <v>60</v>
      </c>
      <c r="E689" s="24" t="s">
        <v>873</v>
      </c>
      <c r="F689" s="24" t="s">
        <v>1703</v>
      </c>
      <c r="G689" s="24" t="s">
        <v>1704</v>
      </c>
      <c r="H689" s="4">
        <v>-10914.5</v>
      </c>
      <c r="K689" s="4">
        <v>-10914.5</v>
      </c>
      <c r="L689" s="4">
        <v>-1169.4100000000001</v>
      </c>
      <c r="M689" s="4">
        <v>-9745.09</v>
      </c>
      <c r="N689" s="4">
        <v>-10914.5</v>
      </c>
      <c r="Q689" s="24" t="s">
        <v>139</v>
      </c>
    </row>
    <row r="690" spans="1:17">
      <c r="A690" s="24" t="s">
        <v>915</v>
      </c>
      <c r="B690" s="24" t="s">
        <v>1705</v>
      </c>
      <c r="C690" s="24" t="s">
        <v>73</v>
      </c>
      <c r="D690" s="6">
        <v>30</v>
      </c>
      <c r="E690" s="24" t="s">
        <v>916</v>
      </c>
      <c r="F690" s="24" t="s">
        <v>812</v>
      </c>
      <c r="G690" s="24" t="s">
        <v>1706</v>
      </c>
      <c r="H690" s="4">
        <v>-127702</v>
      </c>
      <c r="K690" s="4">
        <v>-127702</v>
      </c>
      <c r="L690" s="4">
        <v>-13682.36</v>
      </c>
      <c r="M690" s="4">
        <v>-114019.64</v>
      </c>
      <c r="N690" s="4">
        <v>-127702</v>
      </c>
      <c r="Q690" s="24" t="s">
        <v>759</v>
      </c>
    </row>
    <row r="691" spans="1:17">
      <c r="A691" s="24" t="s">
        <v>1048</v>
      </c>
      <c r="B691" s="24" t="s">
        <v>1707</v>
      </c>
      <c r="C691" s="24" t="s">
        <v>1074</v>
      </c>
      <c r="D691" s="6">
        <v>0</v>
      </c>
      <c r="E691" s="24" t="s">
        <v>1048</v>
      </c>
      <c r="F691" s="24" t="s">
        <v>1075</v>
      </c>
      <c r="G691" s="24" t="s">
        <v>1708</v>
      </c>
      <c r="H691" s="4">
        <v>-901423.6</v>
      </c>
      <c r="K691" s="4">
        <v>-901423.6</v>
      </c>
      <c r="L691" s="4">
        <v>-96581.1</v>
      </c>
      <c r="M691" s="4">
        <v>-804842.5</v>
      </c>
      <c r="N691" s="4">
        <v>-901423.6</v>
      </c>
      <c r="Q691" s="24" t="s">
        <v>56</v>
      </c>
    </row>
    <row r="692" spans="1:17">
      <c r="A692" s="24" t="s">
        <v>1048</v>
      </c>
      <c r="B692" s="24" t="s">
        <v>1709</v>
      </c>
      <c r="C692" s="24" t="s">
        <v>333</v>
      </c>
      <c r="D692" s="6">
        <v>30</v>
      </c>
      <c r="E692" s="24" t="s">
        <v>1056</v>
      </c>
      <c r="F692" s="24" t="s">
        <v>340</v>
      </c>
      <c r="G692" s="24" t="s">
        <v>1710</v>
      </c>
      <c r="H692" s="4">
        <v>-196112</v>
      </c>
      <c r="K692" s="4">
        <v>-196112</v>
      </c>
      <c r="L692" s="4">
        <v>-21012</v>
      </c>
      <c r="M692" s="4">
        <v>-175100</v>
      </c>
      <c r="N692" s="4">
        <v>-196112</v>
      </c>
      <c r="Q692" s="24" t="s">
        <v>56</v>
      </c>
    </row>
    <row r="693" spans="1:17">
      <c r="A693" s="24" t="s">
        <v>1048</v>
      </c>
      <c r="B693" s="24" t="s">
        <v>1711</v>
      </c>
      <c r="C693" s="24" t="s">
        <v>333</v>
      </c>
      <c r="D693" s="6">
        <v>30</v>
      </c>
      <c r="E693" s="24" t="s">
        <v>1056</v>
      </c>
      <c r="F693" s="24" t="s">
        <v>340</v>
      </c>
      <c r="G693" s="24" t="s">
        <v>1712</v>
      </c>
      <c r="H693" s="4">
        <v>-309050</v>
      </c>
      <c r="K693" s="4">
        <v>-309050</v>
      </c>
      <c r="L693" s="4">
        <v>-33112.5</v>
      </c>
      <c r="M693" s="4">
        <v>-275937.5</v>
      </c>
      <c r="N693" s="4">
        <v>-309050</v>
      </c>
      <c r="Q693" s="24" t="s">
        <v>270</v>
      </c>
    </row>
    <row r="694" spans="1:17">
      <c r="A694" s="24" t="s">
        <v>1048</v>
      </c>
      <c r="B694" s="24" t="s">
        <v>1713</v>
      </c>
      <c r="C694" s="24" t="s">
        <v>237</v>
      </c>
      <c r="D694" s="6">
        <v>60</v>
      </c>
      <c r="E694" s="24" t="s">
        <v>1067</v>
      </c>
      <c r="F694" s="24" t="s">
        <v>337</v>
      </c>
      <c r="G694" s="24" t="s">
        <v>1714</v>
      </c>
      <c r="H694" s="4">
        <v>-143215</v>
      </c>
      <c r="K694" s="4">
        <v>-143215</v>
      </c>
      <c r="L694" s="4">
        <v>-15344.46</v>
      </c>
      <c r="M694" s="4">
        <v>-127870.54</v>
      </c>
      <c r="N694" s="4">
        <v>-143215</v>
      </c>
      <c r="Q694" s="24" t="s">
        <v>270</v>
      </c>
    </row>
    <row r="695" spans="1:17">
      <c r="A695" s="24" t="s">
        <v>1287</v>
      </c>
      <c r="B695" s="24" t="s">
        <v>1715</v>
      </c>
      <c r="C695" s="24" t="s">
        <v>151</v>
      </c>
      <c r="D695" s="6">
        <v>60</v>
      </c>
      <c r="E695" s="24" t="s">
        <v>1331</v>
      </c>
      <c r="F695" s="24" t="s">
        <v>264</v>
      </c>
      <c r="G695" s="24" t="s">
        <v>1716</v>
      </c>
      <c r="H695" s="4">
        <v>-736</v>
      </c>
      <c r="K695" s="4">
        <v>-736</v>
      </c>
      <c r="L695" s="4">
        <v>-78.86</v>
      </c>
      <c r="M695" s="4">
        <v>-657.14</v>
      </c>
      <c r="N695" s="4">
        <v>-736</v>
      </c>
      <c r="Q695" s="24" t="s">
        <v>270</v>
      </c>
    </row>
    <row r="696" spans="1:17">
      <c r="A696" s="24" t="s">
        <v>1372</v>
      </c>
      <c r="B696" s="24" t="s">
        <v>1717</v>
      </c>
      <c r="C696" s="24" t="s">
        <v>333</v>
      </c>
      <c r="D696" s="6">
        <v>30</v>
      </c>
      <c r="E696" s="24" t="s">
        <v>1389</v>
      </c>
      <c r="F696" s="24" t="s">
        <v>1262</v>
      </c>
      <c r="G696" s="24" t="s">
        <v>1718</v>
      </c>
      <c r="H696" s="4">
        <v>-261896</v>
      </c>
      <c r="K696" s="4">
        <v>-261896</v>
      </c>
      <c r="L696" s="4">
        <v>-28060.29</v>
      </c>
      <c r="M696" s="4">
        <v>-233835.71</v>
      </c>
      <c r="N696" s="4">
        <v>-261896</v>
      </c>
      <c r="Q696" s="24" t="s">
        <v>139</v>
      </c>
    </row>
    <row r="697" spans="1:17">
      <c r="A697" s="24" t="s">
        <v>1372</v>
      </c>
      <c r="B697" s="24" t="s">
        <v>1719</v>
      </c>
      <c r="C697" s="24" t="s">
        <v>333</v>
      </c>
      <c r="D697" s="6">
        <v>30</v>
      </c>
      <c r="E697" s="24" t="s">
        <v>1389</v>
      </c>
      <c r="F697" s="24" t="s">
        <v>1262</v>
      </c>
      <c r="G697" s="24" t="s">
        <v>1720</v>
      </c>
      <c r="H697" s="4">
        <v>-212525</v>
      </c>
      <c r="K697" s="4">
        <v>-212525</v>
      </c>
      <c r="L697" s="4">
        <v>-22770.54</v>
      </c>
      <c r="M697" s="4">
        <v>-189754.46</v>
      </c>
      <c r="N697" s="4">
        <v>-212525</v>
      </c>
      <c r="Q697" s="24" t="s">
        <v>270</v>
      </c>
    </row>
    <row r="698" spans="1:17">
      <c r="A698" s="24" t="s">
        <v>1372</v>
      </c>
      <c r="B698" s="24" t="s">
        <v>1721</v>
      </c>
      <c r="C698" s="24" t="s">
        <v>34</v>
      </c>
      <c r="D698" s="6">
        <v>60</v>
      </c>
      <c r="E698" s="24" t="s">
        <v>1373</v>
      </c>
      <c r="F698" s="24" t="s">
        <v>1226</v>
      </c>
      <c r="G698" s="24" t="s">
        <v>1722</v>
      </c>
      <c r="H698" s="4">
        <v>-9261</v>
      </c>
      <c r="K698" s="4">
        <v>-9261</v>
      </c>
      <c r="L698" s="4">
        <v>-992.25</v>
      </c>
      <c r="M698" s="4">
        <v>-8268.75</v>
      </c>
      <c r="N698" s="4">
        <v>-9261</v>
      </c>
      <c r="Q698" s="24" t="s">
        <v>270</v>
      </c>
    </row>
    <row r="699" spans="1:17">
      <c r="A699" s="24" t="s">
        <v>1467</v>
      </c>
      <c r="B699" s="24" t="s">
        <v>1723</v>
      </c>
      <c r="C699" s="24" t="s">
        <v>333</v>
      </c>
      <c r="D699" s="6">
        <v>30</v>
      </c>
      <c r="E699" s="24" t="s">
        <v>1492</v>
      </c>
      <c r="F699" s="24" t="s">
        <v>1262</v>
      </c>
      <c r="G699" s="24" t="s">
        <v>1724</v>
      </c>
      <c r="H699" s="4">
        <v>-261896</v>
      </c>
      <c r="K699" s="4">
        <v>-261896</v>
      </c>
      <c r="L699" s="4">
        <v>-28060.29</v>
      </c>
      <c r="M699" s="4">
        <v>-233835.71</v>
      </c>
      <c r="N699" s="4">
        <v>-261896</v>
      </c>
      <c r="Q699" s="24" t="s">
        <v>46</v>
      </c>
    </row>
    <row r="700" spans="1:17">
      <c r="A700" s="24" t="s">
        <v>1467</v>
      </c>
      <c r="B700" s="24" t="s">
        <v>1725</v>
      </c>
      <c r="C700" s="24" t="s">
        <v>333</v>
      </c>
      <c r="D700" s="6">
        <v>30</v>
      </c>
      <c r="E700" s="24" t="s">
        <v>1492</v>
      </c>
      <c r="F700" s="24" t="s">
        <v>1262</v>
      </c>
      <c r="G700" s="24" t="s">
        <v>1726</v>
      </c>
      <c r="H700" s="4">
        <v>-212525</v>
      </c>
      <c r="K700" s="4">
        <v>-212525</v>
      </c>
      <c r="L700" s="4">
        <v>-22770.54</v>
      </c>
      <c r="M700" s="4">
        <v>-189754.46</v>
      </c>
      <c r="N700" s="4">
        <v>-212525</v>
      </c>
      <c r="Q700" s="24" t="s">
        <v>270</v>
      </c>
    </row>
    <row r="701" spans="1:17">
      <c r="A701" s="24" t="s">
        <v>1553</v>
      </c>
      <c r="B701" s="24" t="s">
        <v>1727</v>
      </c>
      <c r="C701" s="24" t="s">
        <v>64</v>
      </c>
      <c r="D701" s="6">
        <v>30</v>
      </c>
      <c r="E701" s="24" t="s">
        <v>1569</v>
      </c>
      <c r="F701" s="24" t="s">
        <v>26</v>
      </c>
      <c r="G701" s="24" t="s">
        <v>1728</v>
      </c>
      <c r="H701" s="4">
        <v>-299574</v>
      </c>
      <c r="K701" s="4">
        <v>-299574</v>
      </c>
      <c r="L701" s="4">
        <v>-32097.21</v>
      </c>
      <c r="M701" s="4">
        <v>-267476.78999999998</v>
      </c>
      <c r="N701" s="4">
        <v>-299574</v>
      </c>
      <c r="Q701" s="24" t="s">
        <v>270</v>
      </c>
    </row>
    <row r="702" spans="1:17">
      <c r="A702" s="24" t="s">
        <v>1553</v>
      </c>
      <c r="B702" s="24" t="s">
        <v>1729</v>
      </c>
      <c r="C702" s="24" t="s">
        <v>18</v>
      </c>
      <c r="D702" s="6">
        <v>0</v>
      </c>
      <c r="E702" s="24" t="s">
        <v>1553</v>
      </c>
      <c r="F702" s="24" t="s">
        <v>61</v>
      </c>
      <c r="G702" s="24" t="s">
        <v>1730</v>
      </c>
      <c r="H702" s="4">
        <v>-251365.1</v>
      </c>
      <c r="K702" s="4">
        <v>-251365.1</v>
      </c>
      <c r="L702" s="4">
        <v>-26931.98</v>
      </c>
      <c r="M702" s="4">
        <v>-224433.12</v>
      </c>
      <c r="N702" s="4">
        <v>-251365.1</v>
      </c>
      <c r="Q702" s="24" t="s">
        <v>25</v>
      </c>
    </row>
    <row r="703" spans="1:17">
      <c r="A703" s="24" t="s">
        <v>1553</v>
      </c>
      <c r="B703" s="24" t="s">
        <v>1731</v>
      </c>
      <c r="C703" s="24" t="s">
        <v>681</v>
      </c>
      <c r="D703" s="6">
        <v>0</v>
      </c>
      <c r="E703" s="24" t="s">
        <v>1553</v>
      </c>
      <c r="F703" s="24" t="s">
        <v>682</v>
      </c>
      <c r="G703" s="24" t="s">
        <v>1732</v>
      </c>
      <c r="H703" s="4">
        <v>-27968</v>
      </c>
      <c r="K703" s="4">
        <v>-27968</v>
      </c>
      <c r="L703" s="4">
        <v>-2996.57</v>
      </c>
      <c r="M703" s="4">
        <v>-24971.43</v>
      </c>
      <c r="N703" s="4">
        <v>-27968</v>
      </c>
      <c r="Q703" s="24" t="s">
        <v>56</v>
      </c>
    </row>
    <row r="704" spans="1:17">
      <c r="A704" s="24" t="s">
        <v>1553</v>
      </c>
      <c r="B704" s="24" t="s">
        <v>1733</v>
      </c>
      <c r="C704" s="24" t="s">
        <v>23</v>
      </c>
      <c r="D704" s="6">
        <v>30</v>
      </c>
      <c r="E704" s="24" t="s">
        <v>1569</v>
      </c>
      <c r="F704" s="24" t="s">
        <v>1734</v>
      </c>
      <c r="G704" s="24" t="s">
        <v>1735</v>
      </c>
      <c r="H704" s="4">
        <v>-68600</v>
      </c>
      <c r="K704" s="4">
        <v>-68600</v>
      </c>
      <c r="L704" s="4">
        <v>-7350</v>
      </c>
      <c r="M704" s="4">
        <v>-61250</v>
      </c>
      <c r="N704" s="4">
        <v>-68600</v>
      </c>
      <c r="Q704" s="24" t="s">
        <v>46</v>
      </c>
    </row>
    <row r="705" spans="1:17">
      <c r="A705" s="24" t="s">
        <v>1553</v>
      </c>
      <c r="B705" s="24" t="s">
        <v>1736</v>
      </c>
      <c r="C705" s="24" t="s">
        <v>237</v>
      </c>
      <c r="D705" s="6">
        <v>60</v>
      </c>
      <c r="E705" s="24" t="s">
        <v>1557</v>
      </c>
      <c r="F705" s="24" t="s">
        <v>303</v>
      </c>
      <c r="G705" s="24" t="s">
        <v>1737</v>
      </c>
      <c r="H705" s="4">
        <v>-10453.35</v>
      </c>
      <c r="K705" s="4">
        <v>-10453.35</v>
      </c>
      <c r="L705" s="4">
        <v>-1120</v>
      </c>
      <c r="M705" s="4">
        <v>-9333.35</v>
      </c>
      <c r="N705" s="4">
        <v>-10453.35</v>
      </c>
      <c r="Q705" s="24" t="s">
        <v>139</v>
      </c>
    </row>
    <row r="706" spans="1:17">
      <c r="A706" s="24" t="s">
        <v>505</v>
      </c>
      <c r="B706" s="24" t="s">
        <v>1738</v>
      </c>
      <c r="C706" s="24" t="s">
        <v>60</v>
      </c>
      <c r="D706" s="6">
        <v>0</v>
      </c>
      <c r="E706" s="24" t="s">
        <v>505</v>
      </c>
      <c r="F706" s="24" t="s">
        <v>196</v>
      </c>
      <c r="G706" s="24" t="s">
        <v>1739</v>
      </c>
      <c r="H706" s="5">
        <v>1250</v>
      </c>
      <c r="K706" s="5">
        <v>1250</v>
      </c>
      <c r="M706" s="5">
        <v>1250</v>
      </c>
      <c r="N706" s="5">
        <v>1250</v>
      </c>
      <c r="Q706" s="24" t="s">
        <v>69</v>
      </c>
    </row>
    <row r="707" spans="1:17">
      <c r="A707" s="24" t="s">
        <v>505</v>
      </c>
      <c r="B707" s="24" t="s">
        <v>1740</v>
      </c>
      <c r="C707" s="24" t="s">
        <v>60</v>
      </c>
      <c r="D707" s="6">
        <v>0</v>
      </c>
      <c r="E707" s="24" t="s">
        <v>505</v>
      </c>
      <c r="F707" s="24" t="s">
        <v>190</v>
      </c>
      <c r="G707" s="24" t="s">
        <v>1741</v>
      </c>
      <c r="H707" s="7">
        <v>500</v>
      </c>
      <c r="K707" s="7">
        <v>500</v>
      </c>
      <c r="M707" s="7">
        <v>500</v>
      </c>
      <c r="N707" s="7">
        <v>500</v>
      </c>
      <c r="Q707" s="24" t="s">
        <v>56</v>
      </c>
    </row>
    <row r="708" spans="1:17">
      <c r="A708" s="24" t="s">
        <v>505</v>
      </c>
      <c r="B708" s="24" t="s">
        <v>1742</v>
      </c>
      <c r="C708" s="24" t="s">
        <v>60</v>
      </c>
      <c r="D708" s="6">
        <v>0</v>
      </c>
      <c r="E708" s="24" t="s">
        <v>505</v>
      </c>
      <c r="F708" s="24" t="s">
        <v>190</v>
      </c>
      <c r="G708" s="24" t="s">
        <v>1743</v>
      </c>
      <c r="H708" s="5">
        <v>2250</v>
      </c>
      <c r="K708" s="5">
        <v>2250</v>
      </c>
      <c r="M708" s="5">
        <v>2250</v>
      </c>
      <c r="N708" s="5">
        <v>2250</v>
      </c>
      <c r="Q708" s="24" t="s">
        <v>56</v>
      </c>
    </row>
    <row r="709" spans="1:17">
      <c r="A709" s="24" t="s">
        <v>637</v>
      </c>
      <c r="B709" s="24" t="s">
        <v>1744</v>
      </c>
      <c r="C709" s="24" t="s">
        <v>60</v>
      </c>
      <c r="D709" s="6">
        <v>0</v>
      </c>
      <c r="E709" s="24" t="s">
        <v>637</v>
      </c>
      <c r="F709" s="24" t="s">
        <v>412</v>
      </c>
      <c r="G709" s="24" t="s">
        <v>1745</v>
      </c>
      <c r="H709" s="5">
        <v>2800</v>
      </c>
      <c r="K709" s="5">
        <v>2800</v>
      </c>
      <c r="M709" s="5">
        <v>2800</v>
      </c>
      <c r="N709" s="5">
        <v>2800</v>
      </c>
      <c r="Q709" s="24" t="s">
        <v>56</v>
      </c>
    </row>
    <row r="710" spans="1:17">
      <c r="A710" s="24" t="s">
        <v>1651</v>
      </c>
      <c r="B710" s="24" t="s">
        <v>1746</v>
      </c>
      <c r="C710" s="24" t="s">
        <v>18</v>
      </c>
      <c r="D710" s="6">
        <v>0</v>
      </c>
      <c r="E710" s="24" t="s">
        <v>1651</v>
      </c>
      <c r="F710" s="24" t="s">
        <v>1127</v>
      </c>
      <c r="G710" s="24" t="s">
        <v>1747</v>
      </c>
      <c r="H710" s="5">
        <v>1500</v>
      </c>
      <c r="K710" s="5">
        <v>1500</v>
      </c>
      <c r="M710" s="5">
        <v>1500</v>
      </c>
      <c r="N710" s="5">
        <v>1500</v>
      </c>
      <c r="Q710" s="24" t="s">
        <v>56</v>
      </c>
    </row>
    <row r="711" spans="1:17">
      <c r="A711" s="24" t="s">
        <v>689</v>
      </c>
      <c r="B711" s="24" t="s">
        <v>1748</v>
      </c>
      <c r="E711" s="24" t="s">
        <v>689</v>
      </c>
      <c r="F711" s="24" t="s">
        <v>809</v>
      </c>
      <c r="G711" s="24" t="s">
        <v>1749</v>
      </c>
      <c r="H711" s="5">
        <v>6000</v>
      </c>
      <c r="K711" s="5">
        <v>6000</v>
      </c>
      <c r="M711" s="5">
        <v>6000</v>
      </c>
      <c r="N711" s="5">
        <v>6000</v>
      </c>
      <c r="Q711" s="24" t="s">
        <v>56</v>
      </c>
    </row>
    <row r="712" spans="1:17">
      <c r="A712" s="24" t="s">
        <v>866</v>
      </c>
      <c r="B712" s="24" t="s">
        <v>1750</v>
      </c>
      <c r="E712" s="24" t="s">
        <v>866</v>
      </c>
      <c r="F712" s="24" t="s">
        <v>581</v>
      </c>
      <c r="G712" s="24" t="s">
        <v>1751</v>
      </c>
      <c r="H712" s="7">
        <v>924</v>
      </c>
      <c r="K712" s="7">
        <v>924</v>
      </c>
      <c r="M712" s="7">
        <v>924</v>
      </c>
      <c r="N712" s="7">
        <v>924</v>
      </c>
    </row>
    <row r="713" spans="1:17">
      <c r="A713" s="24" t="s">
        <v>971</v>
      </c>
      <c r="B713" s="24" t="s">
        <v>1752</v>
      </c>
      <c r="C713" s="24" t="s">
        <v>18</v>
      </c>
      <c r="D713" s="6">
        <v>0</v>
      </c>
      <c r="E713" s="24" t="s">
        <v>971</v>
      </c>
      <c r="F713" s="24" t="s">
        <v>979</v>
      </c>
      <c r="G713" s="24" t="s">
        <v>1753</v>
      </c>
      <c r="H713" s="5">
        <v>30000</v>
      </c>
      <c r="K713" s="5">
        <v>30000</v>
      </c>
      <c r="M713" s="5">
        <v>30000</v>
      </c>
      <c r="N713" s="5">
        <v>30000</v>
      </c>
    </row>
    <row r="714" spans="1:17">
      <c r="A714" s="24" t="s">
        <v>971</v>
      </c>
      <c r="B714" s="24" t="s">
        <v>1754</v>
      </c>
      <c r="C714" s="24" t="s">
        <v>60</v>
      </c>
      <c r="D714" s="6">
        <v>0</v>
      </c>
      <c r="E714" s="24" t="s">
        <v>971</v>
      </c>
      <c r="F714" s="24" t="s">
        <v>190</v>
      </c>
      <c r="G714" s="24" t="s">
        <v>1755</v>
      </c>
      <c r="H714" s="5">
        <v>4000</v>
      </c>
      <c r="K714" s="5">
        <v>4000</v>
      </c>
      <c r="M714" s="5">
        <v>4000</v>
      </c>
      <c r="N714" s="5">
        <v>4000</v>
      </c>
      <c r="Q714" s="24" t="s">
        <v>270</v>
      </c>
    </row>
    <row r="715" spans="1:17">
      <c r="A715" s="24" t="s">
        <v>1048</v>
      </c>
      <c r="B715" s="24" t="s">
        <v>1756</v>
      </c>
      <c r="C715" s="24" t="s">
        <v>167</v>
      </c>
      <c r="D715" s="6">
        <v>90</v>
      </c>
      <c r="E715" s="24" t="s">
        <v>1064</v>
      </c>
      <c r="F715" s="24" t="s">
        <v>190</v>
      </c>
      <c r="G715" s="24" t="s">
        <v>1757</v>
      </c>
      <c r="H715" s="5">
        <v>3000</v>
      </c>
      <c r="K715" s="5">
        <v>3000</v>
      </c>
      <c r="M715" s="5">
        <v>3000</v>
      </c>
      <c r="N715" s="5">
        <v>3000</v>
      </c>
      <c r="Q715" s="24" t="s">
        <v>56</v>
      </c>
    </row>
    <row r="716" spans="1:17">
      <c r="A716" s="24" t="s">
        <v>1048</v>
      </c>
      <c r="B716" s="24" t="s">
        <v>1758</v>
      </c>
      <c r="E716" s="24" t="s">
        <v>1048</v>
      </c>
      <c r="F716" s="24" t="s">
        <v>190</v>
      </c>
      <c r="G716" s="24" t="s">
        <v>1759</v>
      </c>
      <c r="H716" s="5">
        <v>18000</v>
      </c>
      <c r="K716" s="5">
        <v>18000</v>
      </c>
      <c r="M716" s="5">
        <v>18000</v>
      </c>
      <c r="N716" s="5">
        <v>18000</v>
      </c>
      <c r="Q716" s="24" t="s">
        <v>56</v>
      </c>
    </row>
    <row r="717" spans="1:17">
      <c r="A717" s="24" t="s">
        <v>1287</v>
      </c>
      <c r="B717" s="24" t="s">
        <v>1760</v>
      </c>
      <c r="C717" s="24" t="s">
        <v>18</v>
      </c>
      <c r="D717" s="6">
        <v>0</v>
      </c>
      <c r="E717" s="24" t="s">
        <v>1287</v>
      </c>
      <c r="F717" s="24" t="s">
        <v>1288</v>
      </c>
      <c r="G717" s="24" t="s">
        <v>1761</v>
      </c>
      <c r="H717" s="5">
        <v>8000</v>
      </c>
      <c r="K717" s="5">
        <v>8000</v>
      </c>
      <c r="M717" s="5">
        <v>8000</v>
      </c>
      <c r="N717" s="5">
        <v>8000</v>
      </c>
    </row>
    <row r="718" spans="1:17">
      <c r="A718" s="24" t="s">
        <v>1553</v>
      </c>
      <c r="B718" s="24" t="s">
        <v>1762</v>
      </c>
      <c r="C718" s="24" t="s">
        <v>60</v>
      </c>
      <c r="D718" s="6">
        <v>0</v>
      </c>
      <c r="E718" s="24" t="s">
        <v>1553</v>
      </c>
      <c r="F718" s="24" t="s">
        <v>605</v>
      </c>
      <c r="G718" s="24" t="s">
        <v>1763</v>
      </c>
      <c r="H718" s="5">
        <v>6000</v>
      </c>
      <c r="K718" s="5">
        <v>6000</v>
      </c>
      <c r="M718" s="5">
        <v>6000</v>
      </c>
      <c r="N718" s="5">
        <v>6000</v>
      </c>
      <c r="Q718" s="24" t="s">
        <v>46</v>
      </c>
    </row>
    <row r="719" spans="1:17">
      <c r="A719" s="24" t="s">
        <v>1553</v>
      </c>
      <c r="B719" s="24" t="s">
        <v>1764</v>
      </c>
      <c r="C719" s="24" t="s">
        <v>60</v>
      </c>
      <c r="D719" s="6">
        <v>0</v>
      </c>
      <c r="E719" s="24" t="s">
        <v>1553</v>
      </c>
      <c r="F719" s="24" t="s">
        <v>196</v>
      </c>
      <c r="G719" s="24" t="s">
        <v>1765</v>
      </c>
      <c r="H719" s="5">
        <v>1000</v>
      </c>
      <c r="K719" s="5">
        <v>1000</v>
      </c>
      <c r="M719" s="5">
        <v>1000</v>
      </c>
      <c r="N719" s="5">
        <v>1000</v>
      </c>
      <c r="Q719" s="24" t="s">
        <v>56</v>
      </c>
    </row>
    <row r="720" spans="1:17">
      <c r="G720" s="1" t="s">
        <v>1766</v>
      </c>
      <c r="H720" s="1">
        <v>147567400.16999999</v>
      </c>
      <c r="I720" s="1">
        <v>-361440.31</v>
      </c>
      <c r="J720" s="1">
        <v>193550</v>
      </c>
      <c r="K720" s="1">
        <v>147399509.86000001</v>
      </c>
      <c r="L720" s="1">
        <v>15598446.59</v>
      </c>
      <c r="M720" s="1">
        <v>131801063.27</v>
      </c>
      <c r="N720" s="1">
        <v>147399509.86000001</v>
      </c>
      <c r="Q720" s="24" t="s">
        <v>56</v>
      </c>
    </row>
  </sheetData>
  <mergeCells count="142">
    <mergeCell ref="R630:R632"/>
    <mergeCell ref="R633:R634"/>
    <mergeCell ref="R637:R638"/>
    <mergeCell ref="S637:S638"/>
    <mergeCell ref="S592:S636"/>
    <mergeCell ref="R593:R596"/>
    <mergeCell ref="R597:R600"/>
    <mergeCell ref="R601:R603"/>
    <mergeCell ref="R604:R608"/>
    <mergeCell ref="R609:R610"/>
    <mergeCell ref="R614:R615"/>
    <mergeCell ref="R616:R617"/>
    <mergeCell ref="R618:R622"/>
    <mergeCell ref="R625:R627"/>
    <mergeCell ref="R574:R575"/>
    <mergeCell ref="R576:R579"/>
    <mergeCell ref="R581:R582"/>
    <mergeCell ref="R583:R584"/>
    <mergeCell ref="R587:R588"/>
    <mergeCell ref="R589:R591"/>
    <mergeCell ref="R534:R535"/>
    <mergeCell ref="S534:S535"/>
    <mergeCell ref="R536:R537"/>
    <mergeCell ref="S536:S591"/>
    <mergeCell ref="R538:R539"/>
    <mergeCell ref="R546:R547"/>
    <mergeCell ref="R549:R551"/>
    <mergeCell ref="R552:R553"/>
    <mergeCell ref="R554:R568"/>
    <mergeCell ref="R571:R573"/>
    <mergeCell ref="R489:R499"/>
    <mergeCell ref="R500:R503"/>
    <mergeCell ref="S505:S507"/>
    <mergeCell ref="R506:R507"/>
    <mergeCell ref="R508:R509"/>
    <mergeCell ref="S508:S533"/>
    <mergeCell ref="R510:R513"/>
    <mergeCell ref="R514:R529"/>
    <mergeCell ref="R530:R533"/>
    <mergeCell ref="S437:S503"/>
    <mergeCell ref="R463:R467"/>
    <mergeCell ref="R468:R474"/>
    <mergeCell ref="R476:R477"/>
    <mergeCell ref="R479:R480"/>
    <mergeCell ref="R482:R486"/>
    <mergeCell ref="R487:R488"/>
    <mergeCell ref="R419:R423"/>
    <mergeCell ref="R424:R425"/>
    <mergeCell ref="R426:R427"/>
    <mergeCell ref="R428:R435"/>
    <mergeCell ref="R438:R444"/>
    <mergeCell ref="R445:R449"/>
    <mergeCell ref="R450:R455"/>
    <mergeCell ref="R457:R458"/>
    <mergeCell ref="R459:R462"/>
    <mergeCell ref="R293:R295"/>
    <mergeCell ref="S293:S436"/>
    <mergeCell ref="R296:R297"/>
    <mergeCell ref="R300:R303"/>
    <mergeCell ref="R304:R318"/>
    <mergeCell ref="R319:R321"/>
    <mergeCell ref="R322:R328"/>
    <mergeCell ref="R331:R332"/>
    <mergeCell ref="R333:R335"/>
    <mergeCell ref="R337:R339"/>
    <mergeCell ref="R367:R374"/>
    <mergeCell ref="R375:R397"/>
    <mergeCell ref="R399:R402"/>
    <mergeCell ref="R405:R411"/>
    <mergeCell ref="R412:R415"/>
    <mergeCell ref="R416:R417"/>
    <mergeCell ref="R340:R341"/>
    <mergeCell ref="R345:R350"/>
    <mergeCell ref="R351:R353"/>
    <mergeCell ref="R356:R359"/>
    <mergeCell ref="R361:R362"/>
    <mergeCell ref="R363:R366"/>
    <mergeCell ref="R281:R282"/>
    <mergeCell ref="R283:R284"/>
    <mergeCell ref="S283:S284"/>
    <mergeCell ref="R285:R287"/>
    <mergeCell ref="S285:S292"/>
    <mergeCell ref="R289:R290"/>
    <mergeCell ref="R291:R292"/>
    <mergeCell ref="R217:R219"/>
    <mergeCell ref="S217:S282"/>
    <mergeCell ref="R221:R222"/>
    <mergeCell ref="R225:R226"/>
    <mergeCell ref="R227:R236"/>
    <mergeCell ref="R239:R251"/>
    <mergeCell ref="R252:R258"/>
    <mergeCell ref="R260:R262"/>
    <mergeCell ref="R266:R267"/>
    <mergeCell ref="R273:R278"/>
    <mergeCell ref="R179:R182"/>
    <mergeCell ref="R184:R194"/>
    <mergeCell ref="R195:R199"/>
    <mergeCell ref="R200:R208"/>
    <mergeCell ref="R209:R211"/>
    <mergeCell ref="S209:S216"/>
    <mergeCell ref="R212:R213"/>
    <mergeCell ref="R214:R215"/>
    <mergeCell ref="R109:R110"/>
    <mergeCell ref="S109:S208"/>
    <mergeCell ref="R111:R113"/>
    <mergeCell ref="R116:R117"/>
    <mergeCell ref="R120:R121"/>
    <mergeCell ref="R122:R124"/>
    <mergeCell ref="R126:R131"/>
    <mergeCell ref="R134:R173"/>
    <mergeCell ref="R174:R175"/>
    <mergeCell ref="R176:R178"/>
    <mergeCell ref="R94:R95"/>
    <mergeCell ref="S94:S105"/>
    <mergeCell ref="R96:R98"/>
    <mergeCell ref="R100:R101"/>
    <mergeCell ref="R102:R105"/>
    <mergeCell ref="R106:R108"/>
    <mergeCell ref="S106:S108"/>
    <mergeCell ref="S68:S77"/>
    <mergeCell ref="R72:R77"/>
    <mergeCell ref="R80:R84"/>
    <mergeCell ref="S80:S93"/>
    <mergeCell ref="R85:R86"/>
    <mergeCell ref="R88:R89"/>
    <mergeCell ref="R90:R91"/>
    <mergeCell ref="R38:R48"/>
    <mergeCell ref="R50:R51"/>
    <mergeCell ref="R53:R54"/>
    <mergeCell ref="R56:R58"/>
    <mergeCell ref="R61:R67"/>
    <mergeCell ref="S61:S67"/>
    <mergeCell ref="R3:S3"/>
    <mergeCell ref="S5:S24"/>
    <mergeCell ref="R7:R11"/>
    <mergeCell ref="R12:R21"/>
    <mergeCell ref="R22:R23"/>
    <mergeCell ref="R25:R26"/>
    <mergeCell ref="S25:S60"/>
    <mergeCell ref="R27:R29"/>
    <mergeCell ref="R31:R34"/>
    <mergeCell ref="R36:R37"/>
  </mergeCells>
  <pageMargins left="0.7" right="0.7" top="0.75" bottom="0.75" header="0.3" footer="0.3"/>
  <pageSetup paperSize="14" scale="65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T721"/>
  <sheetViews>
    <sheetView workbookViewId="0">
      <pane xSplit="7" ySplit="4" topLeftCell="I68" activePane="bottomRight" state="frozen"/>
      <selection pane="topRight" activeCell="I1" sqref="I1"/>
      <selection pane="bottomLeft" activeCell="A4" sqref="A4"/>
      <selection pane="bottomRight" activeCell="J269" sqref="J269:J544"/>
    </sheetView>
  </sheetViews>
  <sheetFormatPr defaultColWidth="8.85546875" defaultRowHeight="15"/>
  <cols>
    <col min="1" max="1" width="10.28515625" style="24" customWidth="1"/>
    <col min="2" max="2" width="9.7109375" style="24" customWidth="1"/>
    <col min="3" max="3" width="29.85546875" style="24" hidden="1" customWidth="1"/>
    <col min="4" max="4" width="6" style="24" hidden="1" customWidth="1"/>
    <col min="5" max="5" width="13" style="24" hidden="1" customWidth="1"/>
    <col min="6" max="6" width="41.7109375" style="24" customWidth="1"/>
    <col min="7" max="8" width="18.28515625" style="24" hidden="1" customWidth="1"/>
    <col min="9" max="9" width="0.140625" style="24" customWidth="1"/>
    <col min="10" max="10" width="12" style="24" customWidth="1"/>
    <col min="11" max="11" width="17.5703125" style="24" hidden="1" customWidth="1"/>
    <col min="12" max="12" width="16.85546875" style="24" hidden="1" customWidth="1"/>
    <col min="13" max="13" width="18.28515625" style="24" hidden="1" customWidth="1"/>
    <col min="14" max="14" width="15.5703125" style="24" hidden="1" customWidth="1"/>
    <col min="15" max="15" width="10" style="24" customWidth="1"/>
    <col min="16" max="16" width="0.42578125" style="24" customWidth="1"/>
    <col min="17" max="17" width="29.85546875" style="24" customWidth="1"/>
    <col min="18" max="18" width="15" style="24" hidden="1" customWidth="1"/>
    <col min="19" max="19" width="15.28515625" style="24" hidden="1" customWidth="1"/>
    <col min="20" max="20" width="11.5703125" style="24" customWidth="1"/>
    <col min="21" max="16384" width="8.85546875" style="24"/>
  </cols>
  <sheetData>
    <row r="1" spans="1:20" s="14" customFormat="1">
      <c r="A1" s="14" t="s">
        <v>1774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</row>
    <row r="2" spans="1:20" s="14" customFormat="1">
      <c r="A2" s="45" t="s">
        <v>1788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</row>
    <row r="3" spans="1:20" s="3" customFormat="1">
      <c r="A3" s="13"/>
      <c r="R3" s="72" t="s">
        <v>1780</v>
      </c>
      <c r="S3" s="73"/>
      <c r="T3" s="47" t="s">
        <v>1787</v>
      </c>
    </row>
    <row r="4" spans="1:20">
      <c r="A4" s="22" t="s">
        <v>3</v>
      </c>
      <c r="B4" s="22" t="s">
        <v>1772</v>
      </c>
      <c r="C4" s="22" t="s">
        <v>4</v>
      </c>
      <c r="D4" s="22" t="s">
        <v>5</v>
      </c>
      <c r="E4" s="22" t="s">
        <v>6</v>
      </c>
      <c r="F4" s="22" t="s">
        <v>1773</v>
      </c>
      <c r="G4" s="22" t="s">
        <v>9</v>
      </c>
      <c r="H4" s="22" t="s">
        <v>10</v>
      </c>
      <c r="I4" s="22" t="s">
        <v>11</v>
      </c>
      <c r="J4" s="22" t="s">
        <v>12</v>
      </c>
      <c r="K4" s="22" t="s">
        <v>1779</v>
      </c>
      <c r="L4" s="22" t="s">
        <v>14</v>
      </c>
      <c r="M4" s="22" t="s">
        <v>15</v>
      </c>
      <c r="N4" s="22" t="s">
        <v>1770</v>
      </c>
      <c r="O4" s="23"/>
      <c r="P4" s="23"/>
      <c r="Q4" s="29" t="s">
        <v>1777</v>
      </c>
      <c r="R4" s="30" t="s">
        <v>1781</v>
      </c>
      <c r="S4" s="30" t="s">
        <v>1782</v>
      </c>
      <c r="T4" s="48" t="s">
        <v>1782</v>
      </c>
    </row>
    <row r="5" spans="1:20" hidden="1">
      <c r="A5" s="2" t="s">
        <v>282</v>
      </c>
      <c r="B5" s="2" t="s">
        <v>351</v>
      </c>
      <c r="C5" s="2" t="s">
        <v>34</v>
      </c>
      <c r="D5" s="16">
        <v>60</v>
      </c>
      <c r="E5" s="2" t="s">
        <v>286</v>
      </c>
      <c r="F5" s="2" t="s">
        <v>352</v>
      </c>
      <c r="G5" s="2" t="s">
        <v>353</v>
      </c>
      <c r="H5" s="17">
        <v>22908</v>
      </c>
      <c r="I5" s="2"/>
      <c r="J5" s="2"/>
      <c r="K5" s="17">
        <v>22908</v>
      </c>
      <c r="L5" s="17">
        <v>2454.4299999999998</v>
      </c>
      <c r="M5" s="17">
        <v>20453.57</v>
      </c>
      <c r="N5" s="17">
        <v>22908</v>
      </c>
      <c r="O5" s="2"/>
      <c r="P5" s="2"/>
      <c r="Q5" s="31" t="s">
        <v>180</v>
      </c>
      <c r="R5" s="32">
        <f>+K5</f>
        <v>22908</v>
      </c>
      <c r="S5" s="61">
        <f>+R5+R6+R7+R12+R22+R24</f>
        <v>1716482</v>
      </c>
      <c r="T5" s="5"/>
    </row>
    <row r="6" spans="1:20" hidden="1">
      <c r="A6" s="2" t="s">
        <v>1217</v>
      </c>
      <c r="B6" s="2" t="s">
        <v>1230</v>
      </c>
      <c r="C6" s="2" t="s">
        <v>23</v>
      </c>
      <c r="D6" s="16">
        <v>30</v>
      </c>
      <c r="E6" s="2" t="s">
        <v>1231</v>
      </c>
      <c r="F6" s="2" t="s">
        <v>1232</v>
      </c>
      <c r="G6" s="2" t="s">
        <v>1233</v>
      </c>
      <c r="H6" s="17">
        <v>73934</v>
      </c>
      <c r="I6" s="2"/>
      <c r="J6" s="2"/>
      <c r="K6" s="17">
        <v>73934</v>
      </c>
      <c r="L6" s="17">
        <v>7921.5</v>
      </c>
      <c r="M6" s="17">
        <v>66012.5</v>
      </c>
      <c r="N6" s="17">
        <v>73934</v>
      </c>
      <c r="O6" s="2"/>
      <c r="P6" s="2"/>
      <c r="Q6" s="31" t="s">
        <v>180</v>
      </c>
      <c r="R6" s="32">
        <f>+K6</f>
        <v>73934</v>
      </c>
      <c r="S6" s="62"/>
      <c r="T6" s="5"/>
    </row>
    <row r="7" spans="1:20" hidden="1">
      <c r="A7" s="2" t="s">
        <v>282</v>
      </c>
      <c r="B7" s="2" t="s">
        <v>318</v>
      </c>
      <c r="C7" s="2" t="s">
        <v>18</v>
      </c>
      <c r="D7" s="16">
        <v>0</v>
      </c>
      <c r="E7" s="2" t="s">
        <v>282</v>
      </c>
      <c r="F7" s="2" t="s">
        <v>319</v>
      </c>
      <c r="G7" s="2" t="s">
        <v>320</v>
      </c>
      <c r="H7" s="17">
        <v>120900</v>
      </c>
      <c r="I7" s="2"/>
      <c r="J7" s="2"/>
      <c r="K7" s="17">
        <v>120900</v>
      </c>
      <c r="L7" s="17">
        <v>12953.57</v>
      </c>
      <c r="M7" s="17">
        <v>107946.43</v>
      </c>
      <c r="N7" s="17">
        <v>120900</v>
      </c>
      <c r="O7" s="2"/>
      <c r="P7" s="2"/>
      <c r="Q7" s="31" t="s">
        <v>180</v>
      </c>
      <c r="R7" s="61">
        <f>+K7+K8+K9+K10+K11</f>
        <v>659000</v>
      </c>
      <c r="S7" s="62"/>
      <c r="T7" s="5"/>
    </row>
    <row r="8" spans="1:20" hidden="1">
      <c r="A8" s="2" t="s">
        <v>282</v>
      </c>
      <c r="B8" s="2" t="s">
        <v>321</v>
      </c>
      <c r="C8" s="2" t="s">
        <v>18</v>
      </c>
      <c r="D8" s="16">
        <v>0</v>
      </c>
      <c r="E8" s="2" t="s">
        <v>282</v>
      </c>
      <c r="F8" s="2" t="s">
        <v>319</v>
      </c>
      <c r="G8" s="2" t="s">
        <v>322</v>
      </c>
      <c r="H8" s="17">
        <v>27500</v>
      </c>
      <c r="I8" s="2"/>
      <c r="J8" s="2"/>
      <c r="K8" s="17">
        <v>27500</v>
      </c>
      <c r="L8" s="17">
        <v>2946.43</v>
      </c>
      <c r="M8" s="17">
        <v>24553.57</v>
      </c>
      <c r="N8" s="17">
        <v>27500</v>
      </c>
      <c r="O8" s="2"/>
      <c r="P8" s="2"/>
      <c r="Q8" s="31" t="s">
        <v>180</v>
      </c>
      <c r="R8" s="62"/>
      <c r="S8" s="62"/>
      <c r="T8" s="5"/>
    </row>
    <row r="9" spans="1:20" hidden="1">
      <c r="A9" s="2" t="s">
        <v>282</v>
      </c>
      <c r="B9" s="2" t="s">
        <v>323</v>
      </c>
      <c r="C9" s="2" t="s">
        <v>18</v>
      </c>
      <c r="D9" s="16">
        <v>0</v>
      </c>
      <c r="E9" s="2" t="s">
        <v>282</v>
      </c>
      <c r="F9" s="2" t="s">
        <v>319</v>
      </c>
      <c r="G9" s="2" t="s">
        <v>324</v>
      </c>
      <c r="H9" s="17">
        <v>181100</v>
      </c>
      <c r="I9" s="2"/>
      <c r="J9" s="2"/>
      <c r="K9" s="17">
        <v>181100</v>
      </c>
      <c r="L9" s="17">
        <v>19403.57</v>
      </c>
      <c r="M9" s="17">
        <v>161696.43</v>
      </c>
      <c r="N9" s="17">
        <v>181100</v>
      </c>
      <c r="O9" s="2"/>
      <c r="P9" s="2"/>
      <c r="Q9" s="31" t="s">
        <v>180</v>
      </c>
      <c r="R9" s="62"/>
      <c r="S9" s="62"/>
      <c r="T9" s="5"/>
    </row>
    <row r="10" spans="1:20" hidden="1">
      <c r="A10" s="2" t="s">
        <v>915</v>
      </c>
      <c r="B10" s="2" t="s">
        <v>964</v>
      </c>
      <c r="C10" s="2" t="s">
        <v>18</v>
      </c>
      <c r="D10" s="16">
        <v>0</v>
      </c>
      <c r="E10" s="2" t="s">
        <v>915</v>
      </c>
      <c r="F10" s="2" t="s">
        <v>319</v>
      </c>
      <c r="G10" s="2" t="s">
        <v>965</v>
      </c>
      <c r="H10" s="17">
        <v>88000</v>
      </c>
      <c r="I10" s="2"/>
      <c r="J10" s="2"/>
      <c r="K10" s="17">
        <v>88000</v>
      </c>
      <c r="L10" s="17">
        <v>9428.57</v>
      </c>
      <c r="M10" s="17">
        <v>78571.429999999993</v>
      </c>
      <c r="N10" s="17">
        <v>88000</v>
      </c>
      <c r="O10" s="2"/>
      <c r="P10" s="2"/>
      <c r="Q10" s="31" t="s">
        <v>180</v>
      </c>
      <c r="R10" s="62"/>
      <c r="S10" s="62"/>
      <c r="T10" s="5"/>
    </row>
    <row r="11" spans="1:20" hidden="1">
      <c r="A11" s="2" t="s">
        <v>915</v>
      </c>
      <c r="B11" s="2" t="s">
        <v>966</v>
      </c>
      <c r="C11" s="2" t="s">
        <v>18</v>
      </c>
      <c r="D11" s="16">
        <v>0</v>
      </c>
      <c r="E11" s="2" t="s">
        <v>915</v>
      </c>
      <c r="F11" s="2" t="s">
        <v>319</v>
      </c>
      <c r="G11" s="2" t="s">
        <v>967</v>
      </c>
      <c r="H11" s="17">
        <v>241500</v>
      </c>
      <c r="I11" s="2"/>
      <c r="J11" s="2"/>
      <c r="K11" s="17">
        <v>241500</v>
      </c>
      <c r="L11" s="17">
        <v>25875</v>
      </c>
      <c r="M11" s="17">
        <v>215625</v>
      </c>
      <c r="N11" s="17">
        <v>241500</v>
      </c>
      <c r="O11" s="2"/>
      <c r="P11" s="2"/>
      <c r="Q11" s="31" t="s">
        <v>180</v>
      </c>
      <c r="R11" s="63"/>
      <c r="S11" s="62"/>
      <c r="T11" s="5"/>
    </row>
    <row r="12" spans="1:20" hidden="1">
      <c r="A12" s="2" t="s">
        <v>199</v>
      </c>
      <c r="B12" s="2" t="s">
        <v>222</v>
      </c>
      <c r="C12" s="2" t="s">
        <v>23</v>
      </c>
      <c r="D12" s="16">
        <v>30</v>
      </c>
      <c r="E12" s="2" t="s">
        <v>223</v>
      </c>
      <c r="F12" s="2" t="s">
        <v>224</v>
      </c>
      <c r="G12" s="2" t="s">
        <v>225</v>
      </c>
      <c r="H12" s="17">
        <v>68700</v>
      </c>
      <c r="I12" s="2"/>
      <c r="J12" s="2"/>
      <c r="K12" s="17">
        <v>68700</v>
      </c>
      <c r="L12" s="17">
        <v>7360.71</v>
      </c>
      <c r="M12" s="17">
        <v>61339.29</v>
      </c>
      <c r="N12" s="17">
        <v>68700</v>
      </c>
      <c r="O12" s="2"/>
      <c r="P12" s="2"/>
      <c r="Q12" s="31" t="s">
        <v>180</v>
      </c>
      <c r="R12" s="61">
        <f>+K12+K13+K14+K15+K16+K17+K18+K19+K20+K21</f>
        <v>421300</v>
      </c>
      <c r="S12" s="62"/>
      <c r="T12" s="5"/>
    </row>
    <row r="13" spans="1:20" hidden="1">
      <c r="A13" s="2" t="s">
        <v>689</v>
      </c>
      <c r="B13" s="2" t="s">
        <v>720</v>
      </c>
      <c r="C13" s="2" t="s">
        <v>23</v>
      </c>
      <c r="D13" s="16">
        <v>30</v>
      </c>
      <c r="E13" s="2" t="s">
        <v>704</v>
      </c>
      <c r="F13" s="2" t="s">
        <v>224</v>
      </c>
      <c r="G13" s="2" t="s">
        <v>721</v>
      </c>
      <c r="H13" s="17">
        <v>22900</v>
      </c>
      <c r="I13" s="2"/>
      <c r="J13" s="2"/>
      <c r="K13" s="17">
        <v>22900</v>
      </c>
      <c r="L13" s="17">
        <v>2453.5700000000002</v>
      </c>
      <c r="M13" s="17">
        <v>20446.43</v>
      </c>
      <c r="N13" s="17">
        <v>22900</v>
      </c>
      <c r="O13" s="2"/>
      <c r="P13" s="2"/>
      <c r="Q13" s="31" t="s">
        <v>180</v>
      </c>
      <c r="R13" s="62"/>
      <c r="S13" s="62"/>
      <c r="T13" s="5"/>
    </row>
    <row r="14" spans="1:20" hidden="1">
      <c r="A14" s="2" t="s">
        <v>689</v>
      </c>
      <c r="B14" s="2" t="s">
        <v>722</v>
      </c>
      <c r="C14" s="2" t="s">
        <v>23</v>
      </c>
      <c r="D14" s="16">
        <v>30</v>
      </c>
      <c r="E14" s="2" t="s">
        <v>704</v>
      </c>
      <c r="F14" s="2" t="s">
        <v>224</v>
      </c>
      <c r="G14" s="2" t="s">
        <v>723</v>
      </c>
      <c r="H14" s="17">
        <v>57200</v>
      </c>
      <c r="I14" s="2"/>
      <c r="J14" s="2"/>
      <c r="K14" s="17">
        <v>57200</v>
      </c>
      <c r="L14" s="17">
        <v>6128.57</v>
      </c>
      <c r="M14" s="17">
        <v>51071.43</v>
      </c>
      <c r="N14" s="17">
        <v>57200</v>
      </c>
      <c r="O14" s="2"/>
      <c r="P14" s="2"/>
      <c r="Q14" s="31" t="s">
        <v>180</v>
      </c>
      <c r="R14" s="62"/>
      <c r="S14" s="62"/>
      <c r="T14" s="5"/>
    </row>
    <row r="15" spans="1:20" hidden="1">
      <c r="A15" s="2" t="s">
        <v>689</v>
      </c>
      <c r="B15" s="2" t="s">
        <v>724</v>
      </c>
      <c r="C15" s="2" t="s">
        <v>23</v>
      </c>
      <c r="D15" s="16">
        <v>30</v>
      </c>
      <c r="E15" s="2" t="s">
        <v>704</v>
      </c>
      <c r="F15" s="2" t="s">
        <v>224</v>
      </c>
      <c r="G15" s="2" t="s">
        <v>725</v>
      </c>
      <c r="H15" s="17">
        <v>22900</v>
      </c>
      <c r="I15" s="2"/>
      <c r="J15" s="2"/>
      <c r="K15" s="17">
        <v>22900</v>
      </c>
      <c r="L15" s="17">
        <v>2453.5700000000002</v>
      </c>
      <c r="M15" s="17">
        <v>20446.43</v>
      </c>
      <c r="N15" s="17">
        <v>22900</v>
      </c>
      <c r="O15" s="2"/>
      <c r="P15" s="2"/>
      <c r="Q15" s="31" t="s">
        <v>180</v>
      </c>
      <c r="R15" s="62"/>
      <c r="S15" s="62"/>
      <c r="T15" s="5"/>
    </row>
    <row r="16" spans="1:20" hidden="1">
      <c r="A16" s="2" t="s">
        <v>1048</v>
      </c>
      <c r="B16" s="2" t="s">
        <v>1059</v>
      </c>
      <c r="C16" s="2" t="s">
        <v>23</v>
      </c>
      <c r="D16" s="16">
        <v>30</v>
      </c>
      <c r="E16" s="2" t="s">
        <v>1056</v>
      </c>
      <c r="F16" s="2" t="s">
        <v>224</v>
      </c>
      <c r="G16" s="2" t="s">
        <v>1060</v>
      </c>
      <c r="H16" s="17">
        <v>50400</v>
      </c>
      <c r="I16" s="2"/>
      <c r="J16" s="2"/>
      <c r="K16" s="17">
        <v>50400</v>
      </c>
      <c r="L16" s="17">
        <v>5400</v>
      </c>
      <c r="M16" s="17">
        <v>45000</v>
      </c>
      <c r="N16" s="17">
        <v>50400</v>
      </c>
      <c r="O16" s="2"/>
      <c r="P16" s="2"/>
      <c r="Q16" s="31" t="s">
        <v>180</v>
      </c>
      <c r="R16" s="62"/>
      <c r="S16" s="62"/>
      <c r="T16" s="5"/>
    </row>
    <row r="17" spans="1:20" hidden="1">
      <c r="A17" s="2" t="s">
        <v>1048</v>
      </c>
      <c r="B17" s="2" t="s">
        <v>1061</v>
      </c>
      <c r="C17" s="2" t="s">
        <v>23</v>
      </c>
      <c r="D17" s="16">
        <v>30</v>
      </c>
      <c r="E17" s="2" t="s">
        <v>1056</v>
      </c>
      <c r="F17" s="2" t="s">
        <v>224</v>
      </c>
      <c r="G17" s="2" t="s">
        <v>1062</v>
      </c>
      <c r="H17" s="17">
        <v>22900</v>
      </c>
      <c r="I17" s="2"/>
      <c r="J17" s="2"/>
      <c r="K17" s="17">
        <v>22900</v>
      </c>
      <c r="L17" s="17">
        <v>2453.5700000000002</v>
      </c>
      <c r="M17" s="17">
        <v>20446.43</v>
      </c>
      <c r="N17" s="17">
        <v>22900</v>
      </c>
      <c r="O17" s="2"/>
      <c r="P17" s="2"/>
      <c r="Q17" s="31" t="s">
        <v>180</v>
      </c>
      <c r="R17" s="62"/>
      <c r="S17" s="62"/>
      <c r="T17" s="5"/>
    </row>
    <row r="18" spans="1:20" hidden="1">
      <c r="A18" s="2" t="s">
        <v>1117</v>
      </c>
      <c r="B18" s="2" t="s">
        <v>1151</v>
      </c>
      <c r="C18" s="2" t="s">
        <v>23</v>
      </c>
      <c r="D18" s="16">
        <v>30</v>
      </c>
      <c r="E18" s="2" t="s">
        <v>1118</v>
      </c>
      <c r="F18" s="2" t="s">
        <v>224</v>
      </c>
      <c r="G18" s="2" t="s">
        <v>1152</v>
      </c>
      <c r="H18" s="17">
        <v>22900</v>
      </c>
      <c r="I18" s="2"/>
      <c r="J18" s="2"/>
      <c r="K18" s="17">
        <v>22900</v>
      </c>
      <c r="L18" s="17">
        <v>2453.5700000000002</v>
      </c>
      <c r="M18" s="17">
        <v>20446.43</v>
      </c>
      <c r="N18" s="17">
        <v>22900</v>
      </c>
      <c r="O18" s="2"/>
      <c r="P18" s="2"/>
      <c r="Q18" s="31" t="s">
        <v>180</v>
      </c>
      <c r="R18" s="62"/>
      <c r="S18" s="62"/>
      <c r="T18" s="5"/>
    </row>
    <row r="19" spans="1:20" hidden="1">
      <c r="A19" s="2" t="s">
        <v>1117</v>
      </c>
      <c r="B19" s="2" t="s">
        <v>1153</v>
      </c>
      <c r="C19" s="2" t="s">
        <v>23</v>
      </c>
      <c r="D19" s="16">
        <v>30</v>
      </c>
      <c r="E19" s="2" t="s">
        <v>1118</v>
      </c>
      <c r="F19" s="2" t="s">
        <v>224</v>
      </c>
      <c r="G19" s="2" t="s">
        <v>1154</v>
      </c>
      <c r="H19" s="17">
        <v>50400</v>
      </c>
      <c r="I19" s="2"/>
      <c r="J19" s="2"/>
      <c r="K19" s="17">
        <v>50400</v>
      </c>
      <c r="L19" s="17">
        <v>5400</v>
      </c>
      <c r="M19" s="17">
        <v>45000</v>
      </c>
      <c r="N19" s="17">
        <v>50400</v>
      </c>
      <c r="O19" s="2"/>
      <c r="P19" s="2"/>
      <c r="Q19" s="31" t="s">
        <v>180</v>
      </c>
      <c r="R19" s="62"/>
      <c r="S19" s="62"/>
      <c r="T19" s="5"/>
    </row>
    <row r="20" spans="1:20" hidden="1">
      <c r="A20" s="2" t="s">
        <v>1553</v>
      </c>
      <c r="B20" s="2" t="s">
        <v>1584</v>
      </c>
      <c r="C20" s="2" t="s">
        <v>23</v>
      </c>
      <c r="D20" s="16">
        <v>30</v>
      </c>
      <c r="E20" s="2" t="s">
        <v>1569</v>
      </c>
      <c r="F20" s="2" t="s">
        <v>224</v>
      </c>
      <c r="G20" s="2" t="s">
        <v>1585</v>
      </c>
      <c r="H20" s="17">
        <v>57200</v>
      </c>
      <c r="I20" s="2"/>
      <c r="J20" s="2"/>
      <c r="K20" s="17">
        <v>57200</v>
      </c>
      <c r="L20" s="17">
        <v>6128.57</v>
      </c>
      <c r="M20" s="17">
        <v>51071.43</v>
      </c>
      <c r="N20" s="17">
        <v>57200</v>
      </c>
      <c r="O20" s="2"/>
      <c r="P20" s="2"/>
      <c r="Q20" s="31" t="s">
        <v>180</v>
      </c>
      <c r="R20" s="62"/>
      <c r="S20" s="62"/>
      <c r="T20" s="5"/>
    </row>
    <row r="21" spans="1:20" hidden="1">
      <c r="A21" s="2" t="s">
        <v>1553</v>
      </c>
      <c r="B21" s="2" t="s">
        <v>1587</v>
      </c>
      <c r="C21" s="2" t="s">
        <v>23</v>
      </c>
      <c r="D21" s="16">
        <v>30</v>
      </c>
      <c r="E21" s="2" t="s">
        <v>1569</v>
      </c>
      <c r="F21" s="2" t="s">
        <v>224</v>
      </c>
      <c r="G21" s="2" t="s">
        <v>1588</v>
      </c>
      <c r="H21" s="17">
        <v>45800</v>
      </c>
      <c r="I21" s="2"/>
      <c r="J21" s="2"/>
      <c r="K21" s="17">
        <v>45800</v>
      </c>
      <c r="L21" s="17">
        <v>4907.1400000000003</v>
      </c>
      <c r="M21" s="17">
        <v>40892.86</v>
      </c>
      <c r="N21" s="17">
        <v>45800</v>
      </c>
      <c r="O21" s="2"/>
      <c r="P21" s="2"/>
      <c r="Q21" s="31" t="s">
        <v>180</v>
      </c>
      <c r="R21" s="63"/>
      <c r="S21" s="62"/>
      <c r="T21" s="5"/>
    </row>
    <row r="22" spans="1:20" hidden="1">
      <c r="A22" s="2" t="s">
        <v>199</v>
      </c>
      <c r="B22" s="2" t="s">
        <v>236</v>
      </c>
      <c r="C22" s="2" t="s">
        <v>237</v>
      </c>
      <c r="D22" s="16">
        <v>60</v>
      </c>
      <c r="E22" s="2" t="s">
        <v>200</v>
      </c>
      <c r="F22" s="2" t="s">
        <v>238</v>
      </c>
      <c r="G22" s="2" t="s">
        <v>239</v>
      </c>
      <c r="H22" s="17">
        <v>250950</v>
      </c>
      <c r="I22" s="2"/>
      <c r="J22" s="2"/>
      <c r="K22" s="17">
        <v>250950</v>
      </c>
      <c r="L22" s="17">
        <v>26887.5</v>
      </c>
      <c r="M22" s="17">
        <v>224062.5</v>
      </c>
      <c r="N22" s="17">
        <v>250950</v>
      </c>
      <c r="O22" s="2"/>
      <c r="P22" s="2"/>
      <c r="Q22" s="31" t="s">
        <v>180</v>
      </c>
      <c r="R22" s="61">
        <f>+K22+K23</f>
        <v>402300</v>
      </c>
      <c r="S22" s="62"/>
      <c r="T22" s="5"/>
    </row>
    <row r="23" spans="1:20" hidden="1">
      <c r="A23" s="2" t="s">
        <v>915</v>
      </c>
      <c r="B23" s="2" t="s">
        <v>934</v>
      </c>
      <c r="C23" s="2" t="s">
        <v>237</v>
      </c>
      <c r="D23" s="16">
        <v>60</v>
      </c>
      <c r="E23" s="2" t="s">
        <v>918</v>
      </c>
      <c r="F23" s="2" t="s">
        <v>238</v>
      </c>
      <c r="G23" s="2" t="s">
        <v>935</v>
      </c>
      <c r="H23" s="17">
        <v>151350</v>
      </c>
      <c r="I23" s="2"/>
      <c r="J23" s="2"/>
      <c r="K23" s="17">
        <v>151350</v>
      </c>
      <c r="L23" s="17">
        <v>16216.07</v>
      </c>
      <c r="M23" s="17">
        <v>135133.93</v>
      </c>
      <c r="N23" s="17">
        <v>151350</v>
      </c>
      <c r="O23" s="2"/>
      <c r="P23" s="2"/>
      <c r="Q23" s="31" t="s">
        <v>180</v>
      </c>
      <c r="R23" s="63"/>
      <c r="S23" s="62"/>
      <c r="T23" s="5"/>
    </row>
    <row r="24" spans="1:20" hidden="1">
      <c r="A24" s="2" t="s">
        <v>93</v>
      </c>
      <c r="B24" s="2" t="s">
        <v>179</v>
      </c>
      <c r="C24" s="2" t="s">
        <v>18</v>
      </c>
      <c r="D24" s="16">
        <v>0</v>
      </c>
      <c r="E24" s="2" t="s">
        <v>93</v>
      </c>
      <c r="F24" s="2" t="s">
        <v>181</v>
      </c>
      <c r="G24" s="2" t="s">
        <v>182</v>
      </c>
      <c r="H24" s="17">
        <v>137040</v>
      </c>
      <c r="I24" s="2"/>
      <c r="J24" s="2"/>
      <c r="K24" s="17">
        <v>137040</v>
      </c>
      <c r="L24" s="17">
        <v>14682.86</v>
      </c>
      <c r="M24" s="17">
        <v>122357.14</v>
      </c>
      <c r="N24" s="17">
        <v>137040</v>
      </c>
      <c r="O24" s="2"/>
      <c r="P24" s="2"/>
      <c r="Q24" s="31" t="s">
        <v>180</v>
      </c>
      <c r="R24" s="32">
        <f>+K24</f>
        <v>137040</v>
      </c>
      <c r="S24" s="63"/>
      <c r="T24" s="5"/>
    </row>
    <row r="25" spans="1:20" hidden="1">
      <c r="A25" s="2" t="s">
        <v>971</v>
      </c>
      <c r="B25" s="2" t="s">
        <v>978</v>
      </c>
      <c r="C25" s="2" t="s">
        <v>18</v>
      </c>
      <c r="D25" s="16">
        <v>0</v>
      </c>
      <c r="E25" s="2" t="s">
        <v>971</v>
      </c>
      <c r="F25" s="2" t="s">
        <v>979</v>
      </c>
      <c r="G25" s="2" t="s">
        <v>980</v>
      </c>
      <c r="H25" s="17">
        <v>515828.54</v>
      </c>
      <c r="I25" s="2"/>
      <c r="J25" s="2"/>
      <c r="K25" s="17">
        <v>515828.54</v>
      </c>
      <c r="L25" s="17">
        <v>55267.34</v>
      </c>
      <c r="M25" s="17">
        <v>460561.2</v>
      </c>
      <c r="N25" s="17">
        <v>515828.54</v>
      </c>
      <c r="O25" s="2"/>
      <c r="P25" s="2"/>
      <c r="Q25" s="31" t="s">
        <v>270</v>
      </c>
      <c r="R25" s="61">
        <f>+K25+K26</f>
        <v>1467158.54</v>
      </c>
      <c r="S25" s="61">
        <f>+R25+R27+R30+R31+R35+R36+R38+R49+R50+R52+R53+R55+R56+R59+R60</f>
        <v>6078822.6799999997</v>
      </c>
      <c r="T25" s="5"/>
    </row>
    <row r="26" spans="1:20" hidden="1">
      <c r="A26" s="2" t="s">
        <v>971</v>
      </c>
      <c r="B26" s="2" t="s">
        <v>981</v>
      </c>
      <c r="C26" s="2" t="s">
        <v>18</v>
      </c>
      <c r="D26" s="16">
        <v>0</v>
      </c>
      <c r="E26" s="2" t="s">
        <v>971</v>
      </c>
      <c r="F26" s="2" t="s">
        <v>979</v>
      </c>
      <c r="G26" s="2" t="s">
        <v>982</v>
      </c>
      <c r="H26" s="17">
        <v>951330</v>
      </c>
      <c r="I26" s="2"/>
      <c r="J26" s="2"/>
      <c r="K26" s="17">
        <v>951330</v>
      </c>
      <c r="L26" s="17">
        <v>101928.21</v>
      </c>
      <c r="M26" s="17">
        <v>849401.79</v>
      </c>
      <c r="N26" s="17">
        <v>951330</v>
      </c>
      <c r="O26" s="2"/>
      <c r="P26" s="2"/>
      <c r="Q26" s="31" t="s">
        <v>270</v>
      </c>
      <c r="R26" s="63"/>
      <c r="S26" s="62"/>
      <c r="T26" s="5"/>
    </row>
    <row r="27" spans="1:20" hidden="1">
      <c r="A27" s="2" t="s">
        <v>1117</v>
      </c>
      <c r="B27" s="2" t="s">
        <v>1116</v>
      </c>
      <c r="C27" s="2" t="s">
        <v>333</v>
      </c>
      <c r="D27" s="16">
        <v>30</v>
      </c>
      <c r="E27" s="2" t="s">
        <v>1118</v>
      </c>
      <c r="F27" s="2" t="s">
        <v>1119</v>
      </c>
      <c r="G27" s="2" t="s">
        <v>1120</v>
      </c>
      <c r="H27" s="17">
        <v>1585</v>
      </c>
      <c r="I27" s="2"/>
      <c r="J27" s="2"/>
      <c r="K27" s="17">
        <v>1585</v>
      </c>
      <c r="L27" s="18">
        <v>169.82</v>
      </c>
      <c r="M27" s="17">
        <v>1415.18</v>
      </c>
      <c r="N27" s="17">
        <v>1585</v>
      </c>
      <c r="O27" s="2"/>
      <c r="P27" s="2"/>
      <c r="Q27" s="31" t="s">
        <v>270</v>
      </c>
      <c r="R27" s="61">
        <f>+K27+K28+K29</f>
        <v>124411</v>
      </c>
      <c r="S27" s="62"/>
      <c r="T27" s="5"/>
    </row>
    <row r="28" spans="1:20" hidden="1">
      <c r="A28" s="2" t="s">
        <v>1117</v>
      </c>
      <c r="B28" s="2" t="s">
        <v>1124</v>
      </c>
      <c r="C28" s="2" t="s">
        <v>333</v>
      </c>
      <c r="D28" s="16">
        <v>30</v>
      </c>
      <c r="E28" s="2" t="s">
        <v>1118</v>
      </c>
      <c r="F28" s="2" t="s">
        <v>1119</v>
      </c>
      <c r="G28" s="2" t="s">
        <v>1125</v>
      </c>
      <c r="H28" s="17">
        <v>95426</v>
      </c>
      <c r="I28" s="2"/>
      <c r="J28" s="2"/>
      <c r="K28" s="17">
        <v>95426</v>
      </c>
      <c r="L28" s="17">
        <v>10224.209999999999</v>
      </c>
      <c r="M28" s="17">
        <v>85201.79</v>
      </c>
      <c r="N28" s="17">
        <v>95426</v>
      </c>
      <c r="O28" s="2"/>
      <c r="P28" s="2"/>
      <c r="Q28" s="31" t="s">
        <v>270</v>
      </c>
      <c r="R28" s="62"/>
      <c r="S28" s="62"/>
      <c r="T28" s="5"/>
    </row>
    <row r="29" spans="1:20" hidden="1">
      <c r="A29" s="2" t="s">
        <v>1117</v>
      </c>
      <c r="B29" s="2" t="s">
        <v>1132</v>
      </c>
      <c r="C29" s="2" t="s">
        <v>333</v>
      </c>
      <c r="D29" s="16">
        <v>30</v>
      </c>
      <c r="E29" s="2" t="s">
        <v>1118</v>
      </c>
      <c r="F29" s="2" t="s">
        <v>1119</v>
      </c>
      <c r="G29" s="2" t="s">
        <v>1133</v>
      </c>
      <c r="H29" s="17">
        <v>27400</v>
      </c>
      <c r="I29" s="2"/>
      <c r="J29" s="2"/>
      <c r="K29" s="17">
        <v>27400</v>
      </c>
      <c r="L29" s="17">
        <v>2935.71</v>
      </c>
      <c r="M29" s="17">
        <v>24464.29</v>
      </c>
      <c r="N29" s="17">
        <v>27400</v>
      </c>
      <c r="O29" s="2"/>
      <c r="P29" s="2"/>
      <c r="Q29" s="31" t="s">
        <v>270</v>
      </c>
      <c r="R29" s="63"/>
      <c r="S29" s="62"/>
      <c r="T29" s="5"/>
    </row>
    <row r="30" spans="1:20" hidden="1">
      <c r="A30" s="2" t="s">
        <v>866</v>
      </c>
      <c r="B30" s="2" t="s">
        <v>890</v>
      </c>
      <c r="C30" s="2" t="s">
        <v>73</v>
      </c>
      <c r="D30" s="16">
        <v>30</v>
      </c>
      <c r="E30" s="2" t="s">
        <v>880</v>
      </c>
      <c r="F30" s="2" t="s">
        <v>891</v>
      </c>
      <c r="G30" s="2" t="s">
        <v>892</v>
      </c>
      <c r="H30" s="17">
        <v>528502</v>
      </c>
      <c r="I30" s="2"/>
      <c r="J30" s="2"/>
      <c r="K30" s="17">
        <v>528502</v>
      </c>
      <c r="L30" s="17">
        <v>56625.21</v>
      </c>
      <c r="M30" s="17">
        <v>471876.79</v>
      </c>
      <c r="N30" s="17">
        <v>528502</v>
      </c>
      <c r="O30" s="2"/>
      <c r="P30" s="2"/>
      <c r="Q30" s="31" t="s">
        <v>270</v>
      </c>
      <c r="R30" s="32">
        <f>+K30</f>
        <v>528502</v>
      </c>
      <c r="S30" s="62"/>
      <c r="T30" s="5"/>
    </row>
    <row r="31" spans="1:20" hidden="1">
      <c r="A31" s="2" t="s">
        <v>1217</v>
      </c>
      <c r="B31" s="2" t="s">
        <v>1261</v>
      </c>
      <c r="C31" s="2" t="s">
        <v>333</v>
      </c>
      <c r="D31" s="16">
        <v>30</v>
      </c>
      <c r="E31" s="2" t="s">
        <v>1231</v>
      </c>
      <c r="F31" s="2" t="s">
        <v>1262</v>
      </c>
      <c r="G31" s="2" t="s">
        <v>1263</v>
      </c>
      <c r="H31" s="17">
        <v>261896</v>
      </c>
      <c r="I31" s="2"/>
      <c r="J31" s="2"/>
      <c r="K31" s="17">
        <v>261896</v>
      </c>
      <c r="L31" s="17">
        <v>28060.29</v>
      </c>
      <c r="M31" s="17">
        <v>233835.71</v>
      </c>
      <c r="N31" s="17">
        <v>261896</v>
      </c>
      <c r="O31" s="2"/>
      <c r="P31" s="2"/>
      <c r="Q31" s="31" t="s">
        <v>270</v>
      </c>
      <c r="R31" s="61">
        <f>+K31+K32+K33+K34</f>
        <v>948842</v>
      </c>
      <c r="S31" s="62"/>
      <c r="T31" s="5"/>
    </row>
    <row r="32" spans="1:20" hidden="1">
      <c r="A32" s="2" t="s">
        <v>1217</v>
      </c>
      <c r="B32" s="2" t="s">
        <v>1264</v>
      </c>
      <c r="C32" s="2" t="s">
        <v>333</v>
      </c>
      <c r="D32" s="16">
        <v>30</v>
      </c>
      <c r="E32" s="2" t="s">
        <v>1231</v>
      </c>
      <c r="F32" s="2" t="s">
        <v>1262</v>
      </c>
      <c r="G32" s="2" t="s">
        <v>1265</v>
      </c>
      <c r="H32" s="17">
        <v>212525</v>
      </c>
      <c r="I32" s="2"/>
      <c r="J32" s="2"/>
      <c r="K32" s="17">
        <v>212525</v>
      </c>
      <c r="L32" s="17">
        <v>22770.54</v>
      </c>
      <c r="M32" s="17">
        <v>189754.46</v>
      </c>
      <c r="N32" s="17">
        <v>212525</v>
      </c>
      <c r="O32" s="2"/>
      <c r="P32" s="2"/>
      <c r="Q32" s="31" t="s">
        <v>270</v>
      </c>
      <c r="R32" s="62"/>
      <c r="S32" s="62"/>
      <c r="T32" s="5"/>
    </row>
    <row r="33" spans="1:20" hidden="1">
      <c r="A33" s="2" t="s">
        <v>1372</v>
      </c>
      <c r="B33" s="2" t="s">
        <v>1388</v>
      </c>
      <c r="C33" s="2" t="s">
        <v>333</v>
      </c>
      <c r="D33" s="16">
        <v>30</v>
      </c>
      <c r="E33" s="2" t="s">
        <v>1389</v>
      </c>
      <c r="F33" s="2" t="s">
        <v>1262</v>
      </c>
      <c r="G33" s="2" t="s">
        <v>1263</v>
      </c>
      <c r="H33" s="17">
        <v>261896</v>
      </c>
      <c r="I33" s="2"/>
      <c r="J33" s="2"/>
      <c r="K33" s="17">
        <v>261896</v>
      </c>
      <c r="L33" s="17">
        <v>28060.29</v>
      </c>
      <c r="M33" s="17">
        <v>233835.71</v>
      </c>
      <c r="N33" s="17">
        <v>261896</v>
      </c>
      <c r="O33" s="2"/>
      <c r="P33" s="2"/>
      <c r="Q33" s="31" t="s">
        <v>270</v>
      </c>
      <c r="R33" s="62"/>
      <c r="S33" s="62"/>
      <c r="T33" s="5"/>
    </row>
    <row r="34" spans="1:20" hidden="1">
      <c r="A34" s="2" t="s">
        <v>1372</v>
      </c>
      <c r="B34" s="2" t="s">
        <v>1390</v>
      </c>
      <c r="C34" s="2" t="s">
        <v>333</v>
      </c>
      <c r="D34" s="16">
        <v>30</v>
      </c>
      <c r="E34" s="2" t="s">
        <v>1389</v>
      </c>
      <c r="F34" s="2" t="s">
        <v>1262</v>
      </c>
      <c r="G34" s="2" t="s">
        <v>1265</v>
      </c>
      <c r="H34" s="17">
        <v>212525</v>
      </c>
      <c r="I34" s="2"/>
      <c r="J34" s="2"/>
      <c r="K34" s="17">
        <v>212525</v>
      </c>
      <c r="L34" s="17">
        <v>22770.54</v>
      </c>
      <c r="M34" s="17">
        <v>189754.46</v>
      </c>
      <c r="N34" s="17">
        <v>212525</v>
      </c>
      <c r="O34" s="2"/>
      <c r="P34" s="2"/>
      <c r="Q34" s="31" t="s">
        <v>270</v>
      </c>
      <c r="R34" s="63"/>
      <c r="S34" s="62"/>
      <c r="T34" s="5"/>
    </row>
    <row r="35" spans="1:20" hidden="1">
      <c r="A35" s="2" t="s">
        <v>448</v>
      </c>
      <c r="B35" s="2" t="s">
        <v>486</v>
      </c>
      <c r="C35" s="2" t="s">
        <v>18</v>
      </c>
      <c r="D35" s="16">
        <v>0</v>
      </c>
      <c r="E35" s="2" t="s">
        <v>448</v>
      </c>
      <c r="F35" s="2" t="s">
        <v>487</v>
      </c>
      <c r="G35" s="2" t="s">
        <v>488</v>
      </c>
      <c r="H35" s="17">
        <v>272346.90000000002</v>
      </c>
      <c r="I35" s="2"/>
      <c r="J35" s="2"/>
      <c r="K35" s="17">
        <v>272346.90000000002</v>
      </c>
      <c r="L35" s="17">
        <v>29180.02</v>
      </c>
      <c r="M35" s="17">
        <v>243166.88</v>
      </c>
      <c r="N35" s="17">
        <v>272346.90000000002</v>
      </c>
      <c r="O35" s="2"/>
      <c r="P35" s="2"/>
      <c r="Q35" s="31" t="s">
        <v>270</v>
      </c>
      <c r="R35" s="32">
        <f>+K35</f>
        <v>272346.90000000002</v>
      </c>
      <c r="S35" s="62"/>
      <c r="T35" s="5"/>
    </row>
    <row r="36" spans="1:20" hidden="1">
      <c r="A36" s="2" t="s">
        <v>282</v>
      </c>
      <c r="B36" s="2" t="s">
        <v>332</v>
      </c>
      <c r="C36" s="2" t="s">
        <v>333</v>
      </c>
      <c r="D36" s="16">
        <v>30</v>
      </c>
      <c r="E36" s="2" t="s">
        <v>296</v>
      </c>
      <c r="F36" s="2" t="s">
        <v>334</v>
      </c>
      <c r="G36" s="2" t="s">
        <v>335</v>
      </c>
      <c r="H36" s="17">
        <v>88200</v>
      </c>
      <c r="I36" s="2"/>
      <c r="J36" s="2"/>
      <c r="K36" s="17">
        <v>88200</v>
      </c>
      <c r="L36" s="17">
        <v>9450</v>
      </c>
      <c r="M36" s="17">
        <v>78750</v>
      </c>
      <c r="N36" s="17">
        <v>88200</v>
      </c>
      <c r="O36" s="2"/>
      <c r="P36" s="2"/>
      <c r="Q36" s="31" t="s">
        <v>270</v>
      </c>
      <c r="R36" s="61">
        <f>+K36+K37</f>
        <v>294380</v>
      </c>
      <c r="S36" s="62"/>
      <c r="T36" s="5"/>
    </row>
    <row r="37" spans="1:20" hidden="1">
      <c r="A37" s="2" t="s">
        <v>1117</v>
      </c>
      <c r="B37" s="2" t="s">
        <v>1134</v>
      </c>
      <c r="C37" s="2" t="s">
        <v>333</v>
      </c>
      <c r="D37" s="16">
        <v>30</v>
      </c>
      <c r="E37" s="2" t="s">
        <v>1118</v>
      </c>
      <c r="F37" s="2" t="s">
        <v>334</v>
      </c>
      <c r="G37" s="2" t="s">
        <v>1135</v>
      </c>
      <c r="H37" s="17">
        <v>206180</v>
      </c>
      <c r="I37" s="2"/>
      <c r="J37" s="2"/>
      <c r="K37" s="17">
        <v>206180</v>
      </c>
      <c r="L37" s="17">
        <v>22090.71</v>
      </c>
      <c r="M37" s="17">
        <v>184089.29</v>
      </c>
      <c r="N37" s="17">
        <v>206180</v>
      </c>
      <c r="O37" s="2"/>
      <c r="P37" s="2"/>
      <c r="Q37" s="31" t="s">
        <v>270</v>
      </c>
      <c r="R37" s="63"/>
      <c r="S37" s="62"/>
      <c r="T37" s="5"/>
    </row>
    <row r="38" spans="1:20" hidden="1">
      <c r="A38" s="2" t="s">
        <v>199</v>
      </c>
      <c r="B38" s="2" t="s">
        <v>269</v>
      </c>
      <c r="C38" s="2" t="s">
        <v>73</v>
      </c>
      <c r="D38" s="16">
        <v>30</v>
      </c>
      <c r="E38" s="2" t="s">
        <v>223</v>
      </c>
      <c r="F38" s="2" t="s">
        <v>271</v>
      </c>
      <c r="G38" s="2" t="s">
        <v>272</v>
      </c>
      <c r="H38" s="17">
        <v>220750</v>
      </c>
      <c r="I38" s="2"/>
      <c r="J38" s="2"/>
      <c r="K38" s="17">
        <v>220750</v>
      </c>
      <c r="L38" s="2"/>
      <c r="M38" s="17">
        <v>220750</v>
      </c>
      <c r="N38" s="17">
        <v>220750</v>
      </c>
      <c r="O38" s="2"/>
      <c r="P38" s="2"/>
      <c r="Q38" s="31" t="s">
        <v>270</v>
      </c>
      <c r="R38" s="61">
        <f>+K38+K39+K40+K41+K42+K43+K44+K45+K46+K47+K48</f>
        <v>547668</v>
      </c>
      <c r="S38" s="62"/>
      <c r="T38" s="5"/>
    </row>
    <row r="39" spans="1:20" hidden="1">
      <c r="A39" s="2" t="s">
        <v>368</v>
      </c>
      <c r="B39" s="2" t="s">
        <v>432</v>
      </c>
      <c r="C39" s="2" t="s">
        <v>73</v>
      </c>
      <c r="D39" s="16">
        <v>30</v>
      </c>
      <c r="E39" s="2" t="s">
        <v>370</v>
      </c>
      <c r="F39" s="2" t="s">
        <v>271</v>
      </c>
      <c r="G39" s="2" t="s">
        <v>433</v>
      </c>
      <c r="H39" s="17">
        <v>55288</v>
      </c>
      <c r="I39" s="2"/>
      <c r="J39" s="2"/>
      <c r="K39" s="17">
        <v>55288</v>
      </c>
      <c r="L39" s="2"/>
      <c r="M39" s="17">
        <v>55288</v>
      </c>
      <c r="N39" s="17">
        <v>55288</v>
      </c>
      <c r="O39" s="2"/>
      <c r="P39" s="2"/>
      <c r="Q39" s="31" t="s">
        <v>270</v>
      </c>
      <c r="R39" s="62"/>
      <c r="S39" s="62"/>
      <c r="T39" s="5"/>
    </row>
    <row r="40" spans="1:20" hidden="1">
      <c r="A40" s="2" t="s">
        <v>368</v>
      </c>
      <c r="B40" s="2" t="s">
        <v>434</v>
      </c>
      <c r="C40" s="2" t="s">
        <v>73</v>
      </c>
      <c r="D40" s="16">
        <v>30</v>
      </c>
      <c r="E40" s="2" t="s">
        <v>370</v>
      </c>
      <c r="F40" s="2" t="s">
        <v>271</v>
      </c>
      <c r="G40" s="2" t="s">
        <v>435</v>
      </c>
      <c r="H40" s="17">
        <v>35234</v>
      </c>
      <c r="I40" s="2"/>
      <c r="J40" s="2"/>
      <c r="K40" s="17">
        <v>35234</v>
      </c>
      <c r="L40" s="2"/>
      <c r="M40" s="17">
        <v>35234</v>
      </c>
      <c r="N40" s="17">
        <v>35234</v>
      </c>
      <c r="O40" s="2"/>
      <c r="P40" s="2"/>
      <c r="Q40" s="31" t="s">
        <v>270</v>
      </c>
      <c r="R40" s="62"/>
      <c r="S40" s="62"/>
      <c r="T40" s="5"/>
    </row>
    <row r="41" spans="1:20" hidden="1">
      <c r="A41" s="2" t="s">
        <v>368</v>
      </c>
      <c r="B41" s="2" t="s">
        <v>436</v>
      </c>
      <c r="C41" s="2" t="s">
        <v>73</v>
      </c>
      <c r="D41" s="16">
        <v>30</v>
      </c>
      <c r="E41" s="2" t="s">
        <v>370</v>
      </c>
      <c r="F41" s="2" t="s">
        <v>271</v>
      </c>
      <c r="G41" s="2" t="s">
        <v>437</v>
      </c>
      <c r="H41" s="17">
        <v>55100</v>
      </c>
      <c r="I41" s="2"/>
      <c r="J41" s="2"/>
      <c r="K41" s="17">
        <v>55100</v>
      </c>
      <c r="L41" s="2"/>
      <c r="M41" s="17">
        <v>55100</v>
      </c>
      <c r="N41" s="17">
        <v>55100</v>
      </c>
      <c r="O41" s="2"/>
      <c r="P41" s="2"/>
      <c r="Q41" s="31" t="s">
        <v>270</v>
      </c>
      <c r="R41" s="62"/>
      <c r="S41" s="62"/>
      <c r="T41" s="5"/>
    </row>
    <row r="42" spans="1:20" hidden="1">
      <c r="A42" s="2" t="s">
        <v>368</v>
      </c>
      <c r="B42" s="2" t="s">
        <v>438</v>
      </c>
      <c r="C42" s="2" t="s">
        <v>73</v>
      </c>
      <c r="D42" s="16">
        <v>30</v>
      </c>
      <c r="E42" s="2" t="s">
        <v>370</v>
      </c>
      <c r="F42" s="2" t="s">
        <v>271</v>
      </c>
      <c r="G42" s="2" t="s">
        <v>439</v>
      </c>
      <c r="H42" s="17">
        <v>40975</v>
      </c>
      <c r="I42" s="2"/>
      <c r="J42" s="2"/>
      <c r="K42" s="17">
        <v>40975</v>
      </c>
      <c r="L42" s="2"/>
      <c r="M42" s="17">
        <v>40975</v>
      </c>
      <c r="N42" s="17">
        <v>40975</v>
      </c>
      <c r="O42" s="2"/>
      <c r="P42" s="2"/>
      <c r="Q42" s="31" t="s">
        <v>270</v>
      </c>
      <c r="R42" s="62"/>
      <c r="S42" s="62"/>
      <c r="T42" s="5"/>
    </row>
    <row r="43" spans="1:20" hidden="1">
      <c r="A43" s="2" t="s">
        <v>1372</v>
      </c>
      <c r="B43" s="2" t="s">
        <v>1438</v>
      </c>
      <c r="C43" s="2" t="s">
        <v>73</v>
      </c>
      <c r="D43" s="16">
        <v>30</v>
      </c>
      <c r="E43" s="2" t="s">
        <v>1389</v>
      </c>
      <c r="F43" s="2" t="s">
        <v>271</v>
      </c>
      <c r="G43" s="2" t="s">
        <v>1439</v>
      </c>
      <c r="H43" s="17">
        <v>33500</v>
      </c>
      <c r="I43" s="2"/>
      <c r="J43" s="2"/>
      <c r="K43" s="17">
        <v>33500</v>
      </c>
      <c r="L43" s="2"/>
      <c r="M43" s="17">
        <v>33500</v>
      </c>
      <c r="N43" s="17">
        <v>33500</v>
      </c>
      <c r="O43" s="2"/>
      <c r="P43" s="2"/>
      <c r="Q43" s="31" t="s">
        <v>270</v>
      </c>
      <c r="R43" s="62"/>
      <c r="S43" s="62"/>
      <c r="T43" s="5"/>
    </row>
    <row r="44" spans="1:20" hidden="1">
      <c r="A44" s="2" t="s">
        <v>1372</v>
      </c>
      <c r="B44" s="2" t="s">
        <v>1440</v>
      </c>
      <c r="C44" s="2" t="s">
        <v>73</v>
      </c>
      <c r="D44" s="16">
        <v>30</v>
      </c>
      <c r="E44" s="2" t="s">
        <v>1389</v>
      </c>
      <c r="F44" s="2" t="s">
        <v>271</v>
      </c>
      <c r="G44" s="2" t="s">
        <v>1441</v>
      </c>
      <c r="H44" s="17">
        <v>20460</v>
      </c>
      <c r="I44" s="2"/>
      <c r="J44" s="2"/>
      <c r="K44" s="17">
        <v>20460</v>
      </c>
      <c r="L44" s="2"/>
      <c r="M44" s="17">
        <v>20460</v>
      </c>
      <c r="N44" s="17">
        <v>20460</v>
      </c>
      <c r="O44" s="2"/>
      <c r="P44" s="2"/>
      <c r="Q44" s="31" t="s">
        <v>270</v>
      </c>
      <c r="R44" s="62"/>
      <c r="S44" s="62"/>
      <c r="T44" s="5"/>
    </row>
    <row r="45" spans="1:20" hidden="1">
      <c r="A45" s="2" t="s">
        <v>1372</v>
      </c>
      <c r="B45" s="2" t="s">
        <v>1442</v>
      </c>
      <c r="C45" s="2" t="s">
        <v>73</v>
      </c>
      <c r="D45" s="16">
        <v>30</v>
      </c>
      <c r="E45" s="2" t="s">
        <v>1389</v>
      </c>
      <c r="F45" s="2" t="s">
        <v>271</v>
      </c>
      <c r="G45" s="2" t="s">
        <v>1443</v>
      </c>
      <c r="H45" s="17">
        <v>1492</v>
      </c>
      <c r="I45" s="2"/>
      <c r="J45" s="2"/>
      <c r="K45" s="17">
        <v>1492</v>
      </c>
      <c r="L45" s="2"/>
      <c r="M45" s="17">
        <v>1492</v>
      </c>
      <c r="N45" s="17">
        <v>1492</v>
      </c>
      <c r="O45" s="2"/>
      <c r="P45" s="2"/>
      <c r="Q45" s="31" t="s">
        <v>270</v>
      </c>
      <c r="R45" s="62"/>
      <c r="S45" s="62"/>
      <c r="T45" s="5"/>
    </row>
    <row r="46" spans="1:20" hidden="1">
      <c r="A46" s="2" t="s">
        <v>1372</v>
      </c>
      <c r="B46" s="2" t="s">
        <v>1444</v>
      </c>
      <c r="C46" s="2" t="s">
        <v>73</v>
      </c>
      <c r="D46" s="16">
        <v>30</v>
      </c>
      <c r="E46" s="2" t="s">
        <v>1389</v>
      </c>
      <c r="F46" s="2" t="s">
        <v>271</v>
      </c>
      <c r="G46" s="2" t="s">
        <v>1445</v>
      </c>
      <c r="H46" s="17">
        <v>67230</v>
      </c>
      <c r="I46" s="2"/>
      <c r="J46" s="2"/>
      <c r="K46" s="17">
        <v>67230</v>
      </c>
      <c r="L46" s="2"/>
      <c r="M46" s="17">
        <v>67230</v>
      </c>
      <c r="N46" s="17">
        <v>67230</v>
      </c>
      <c r="O46" s="2"/>
      <c r="P46" s="2"/>
      <c r="Q46" s="31" t="s">
        <v>270</v>
      </c>
      <c r="R46" s="62"/>
      <c r="S46" s="62"/>
      <c r="T46" s="5"/>
    </row>
    <row r="47" spans="1:20" hidden="1">
      <c r="A47" s="2" t="s">
        <v>1372</v>
      </c>
      <c r="B47" s="2" t="s">
        <v>1446</v>
      </c>
      <c r="C47" s="2" t="s">
        <v>73</v>
      </c>
      <c r="D47" s="16">
        <v>30</v>
      </c>
      <c r="E47" s="2" t="s">
        <v>1389</v>
      </c>
      <c r="F47" s="2" t="s">
        <v>271</v>
      </c>
      <c r="G47" s="2" t="s">
        <v>1447</v>
      </c>
      <c r="H47" s="17">
        <v>14655</v>
      </c>
      <c r="I47" s="2"/>
      <c r="J47" s="2"/>
      <c r="K47" s="17">
        <v>14655</v>
      </c>
      <c r="L47" s="2"/>
      <c r="M47" s="17">
        <v>14655</v>
      </c>
      <c r="N47" s="17">
        <v>14655</v>
      </c>
      <c r="O47" s="2"/>
      <c r="P47" s="2"/>
      <c r="Q47" s="31" t="s">
        <v>270</v>
      </c>
      <c r="R47" s="62"/>
      <c r="S47" s="62"/>
      <c r="T47" s="5"/>
    </row>
    <row r="48" spans="1:20" hidden="1">
      <c r="A48" s="2" t="s">
        <v>1372</v>
      </c>
      <c r="B48" s="2" t="s">
        <v>1448</v>
      </c>
      <c r="C48" s="2" t="s">
        <v>73</v>
      </c>
      <c r="D48" s="16">
        <v>30</v>
      </c>
      <c r="E48" s="2" t="s">
        <v>1389</v>
      </c>
      <c r="F48" s="2" t="s">
        <v>271</v>
      </c>
      <c r="G48" s="2" t="s">
        <v>1449</v>
      </c>
      <c r="H48" s="17">
        <v>2984</v>
      </c>
      <c r="I48" s="2"/>
      <c r="J48" s="2"/>
      <c r="K48" s="17">
        <v>2984</v>
      </c>
      <c r="L48" s="2"/>
      <c r="M48" s="17">
        <v>2984</v>
      </c>
      <c r="N48" s="17">
        <v>2984</v>
      </c>
      <c r="O48" s="2"/>
      <c r="P48" s="2"/>
      <c r="Q48" s="31" t="s">
        <v>270</v>
      </c>
      <c r="R48" s="63"/>
      <c r="S48" s="62"/>
      <c r="T48" s="5"/>
    </row>
    <row r="49" spans="1:20" hidden="1">
      <c r="A49" s="2" t="s">
        <v>689</v>
      </c>
      <c r="B49" s="2" t="s">
        <v>703</v>
      </c>
      <c r="C49" s="2" t="s">
        <v>73</v>
      </c>
      <c r="D49" s="16">
        <v>30</v>
      </c>
      <c r="E49" s="2" t="s">
        <v>704</v>
      </c>
      <c r="F49" s="2" t="s">
        <v>705</v>
      </c>
      <c r="G49" s="2" t="s">
        <v>706</v>
      </c>
      <c r="H49" s="17">
        <v>88200</v>
      </c>
      <c r="I49" s="2"/>
      <c r="J49" s="2"/>
      <c r="K49" s="17">
        <v>88200</v>
      </c>
      <c r="L49" s="17">
        <v>9450</v>
      </c>
      <c r="M49" s="17">
        <v>78750</v>
      </c>
      <c r="N49" s="17">
        <v>88200</v>
      </c>
      <c r="O49" s="2"/>
      <c r="P49" s="2"/>
      <c r="Q49" s="31" t="s">
        <v>270</v>
      </c>
      <c r="R49" s="32">
        <f>+K49</f>
        <v>88200</v>
      </c>
      <c r="S49" s="62"/>
      <c r="T49" s="5"/>
    </row>
    <row r="50" spans="1:20" hidden="1">
      <c r="A50" s="2" t="s">
        <v>1217</v>
      </c>
      <c r="B50" s="2" t="s">
        <v>1216</v>
      </c>
      <c r="C50" s="2" t="s">
        <v>60</v>
      </c>
      <c r="D50" s="16">
        <v>0</v>
      </c>
      <c r="E50" s="2" t="s">
        <v>1217</v>
      </c>
      <c r="F50" s="2" t="s">
        <v>1218</v>
      </c>
      <c r="G50" s="2" t="s">
        <v>1219</v>
      </c>
      <c r="H50" s="17">
        <v>37000</v>
      </c>
      <c r="I50" s="2"/>
      <c r="J50" s="2"/>
      <c r="K50" s="17">
        <v>37000</v>
      </c>
      <c r="L50" s="17">
        <v>3964.29</v>
      </c>
      <c r="M50" s="17">
        <v>33035.71</v>
      </c>
      <c r="N50" s="17">
        <v>37000</v>
      </c>
      <c r="O50" s="2"/>
      <c r="P50" s="2"/>
      <c r="Q50" s="31" t="s">
        <v>270</v>
      </c>
      <c r="R50" s="61">
        <f>+K50+K51</f>
        <v>59200</v>
      </c>
      <c r="S50" s="62"/>
      <c r="T50" s="5"/>
    </row>
    <row r="51" spans="1:20" hidden="1">
      <c r="A51" s="2" t="s">
        <v>1217</v>
      </c>
      <c r="B51" s="2" t="s">
        <v>1228</v>
      </c>
      <c r="C51" s="2" t="s">
        <v>60</v>
      </c>
      <c r="D51" s="16">
        <v>0</v>
      </c>
      <c r="E51" s="2" t="s">
        <v>1217</v>
      </c>
      <c r="F51" s="2" t="s">
        <v>1218</v>
      </c>
      <c r="G51" s="2" t="s">
        <v>1229</v>
      </c>
      <c r="H51" s="17">
        <v>22200</v>
      </c>
      <c r="I51" s="2"/>
      <c r="J51" s="2"/>
      <c r="K51" s="17">
        <v>22200</v>
      </c>
      <c r="L51" s="17">
        <v>2378.5700000000002</v>
      </c>
      <c r="M51" s="17">
        <v>19821.43</v>
      </c>
      <c r="N51" s="17">
        <v>22200</v>
      </c>
      <c r="O51" s="2"/>
      <c r="P51" s="2"/>
      <c r="Q51" s="31" t="s">
        <v>270</v>
      </c>
      <c r="R51" s="63"/>
      <c r="S51" s="62"/>
      <c r="T51" s="5"/>
    </row>
    <row r="52" spans="1:20" hidden="1">
      <c r="A52" s="2" t="s">
        <v>282</v>
      </c>
      <c r="B52" s="2" t="s">
        <v>299</v>
      </c>
      <c r="C52" s="2" t="s">
        <v>60</v>
      </c>
      <c r="D52" s="16">
        <v>0</v>
      </c>
      <c r="E52" s="2" t="s">
        <v>282</v>
      </c>
      <c r="F52" s="2" t="s">
        <v>300</v>
      </c>
      <c r="G52" s="2" t="s">
        <v>301</v>
      </c>
      <c r="H52" s="17">
        <v>67461.240000000005</v>
      </c>
      <c r="I52" s="2"/>
      <c r="J52" s="2"/>
      <c r="K52" s="17">
        <v>67461.240000000005</v>
      </c>
      <c r="L52" s="17">
        <v>7227.99</v>
      </c>
      <c r="M52" s="17">
        <v>60233.25</v>
      </c>
      <c r="N52" s="17">
        <v>67461.240000000005</v>
      </c>
      <c r="O52" s="2"/>
      <c r="P52" s="2"/>
      <c r="Q52" s="31" t="s">
        <v>270</v>
      </c>
      <c r="R52" s="32">
        <f>+K52</f>
        <v>67461.240000000005</v>
      </c>
      <c r="S52" s="62"/>
      <c r="T52" s="5"/>
    </row>
    <row r="53" spans="1:20" hidden="1">
      <c r="A53" s="2" t="s">
        <v>282</v>
      </c>
      <c r="B53" s="2" t="s">
        <v>339</v>
      </c>
      <c r="C53" s="2" t="s">
        <v>333</v>
      </c>
      <c r="D53" s="16">
        <v>30</v>
      </c>
      <c r="E53" s="2" t="s">
        <v>296</v>
      </c>
      <c r="F53" s="2" t="s">
        <v>340</v>
      </c>
      <c r="G53" s="2" t="s">
        <v>341</v>
      </c>
      <c r="H53" s="17">
        <v>309050</v>
      </c>
      <c r="I53" s="2"/>
      <c r="J53" s="2"/>
      <c r="K53" s="17">
        <v>309050</v>
      </c>
      <c r="L53" s="17">
        <v>33112.5</v>
      </c>
      <c r="M53" s="17">
        <v>275937.5</v>
      </c>
      <c r="N53" s="17">
        <v>309050</v>
      </c>
      <c r="O53" s="2"/>
      <c r="P53" s="2"/>
      <c r="Q53" s="31" t="s">
        <v>270</v>
      </c>
      <c r="R53" s="61">
        <f>+K53+K54</f>
        <v>505162</v>
      </c>
      <c r="S53" s="62"/>
      <c r="T53" s="5"/>
    </row>
    <row r="54" spans="1:20" hidden="1">
      <c r="A54" s="2" t="s">
        <v>282</v>
      </c>
      <c r="B54" s="2" t="s">
        <v>342</v>
      </c>
      <c r="C54" s="2" t="s">
        <v>333</v>
      </c>
      <c r="D54" s="16">
        <v>30</v>
      </c>
      <c r="E54" s="2" t="s">
        <v>296</v>
      </c>
      <c r="F54" s="2" t="s">
        <v>340</v>
      </c>
      <c r="G54" s="2" t="s">
        <v>343</v>
      </c>
      <c r="H54" s="17">
        <v>196112</v>
      </c>
      <c r="I54" s="2"/>
      <c r="J54" s="2"/>
      <c r="K54" s="17">
        <v>196112</v>
      </c>
      <c r="L54" s="17">
        <v>21012</v>
      </c>
      <c r="M54" s="17">
        <v>175100</v>
      </c>
      <c r="N54" s="17">
        <v>196112</v>
      </c>
      <c r="O54" s="2"/>
      <c r="P54" s="2"/>
      <c r="Q54" s="31" t="s">
        <v>270</v>
      </c>
      <c r="R54" s="63"/>
      <c r="S54" s="62"/>
      <c r="T54" s="5"/>
    </row>
    <row r="55" spans="1:20" hidden="1">
      <c r="A55" s="2" t="s">
        <v>1372</v>
      </c>
      <c r="B55" s="2" t="s">
        <v>1383</v>
      </c>
      <c r="C55" s="2" t="s">
        <v>60</v>
      </c>
      <c r="D55" s="16">
        <v>0</v>
      </c>
      <c r="E55" s="2" t="s">
        <v>1372</v>
      </c>
      <c r="F55" s="2" t="s">
        <v>1384</v>
      </c>
      <c r="G55" s="2" t="s">
        <v>1385</v>
      </c>
      <c r="H55" s="17">
        <v>241920</v>
      </c>
      <c r="I55" s="2"/>
      <c r="J55" s="2"/>
      <c r="K55" s="17">
        <v>241920</v>
      </c>
      <c r="L55" s="17">
        <v>25920</v>
      </c>
      <c r="M55" s="17">
        <v>216000</v>
      </c>
      <c r="N55" s="17">
        <v>241920</v>
      </c>
      <c r="O55" s="2"/>
      <c r="P55" s="2"/>
      <c r="Q55" s="31" t="s">
        <v>270</v>
      </c>
      <c r="R55" s="32">
        <f>+K55</f>
        <v>241920</v>
      </c>
      <c r="S55" s="62"/>
      <c r="T55" s="5"/>
    </row>
    <row r="56" spans="1:20" hidden="1">
      <c r="A56" s="2" t="s">
        <v>282</v>
      </c>
      <c r="B56" s="2" t="s">
        <v>336</v>
      </c>
      <c r="C56" s="2" t="s">
        <v>237</v>
      </c>
      <c r="D56" s="16">
        <v>60</v>
      </c>
      <c r="E56" s="2" t="s">
        <v>286</v>
      </c>
      <c r="F56" s="2" t="s">
        <v>337</v>
      </c>
      <c r="G56" s="2" t="s">
        <v>338</v>
      </c>
      <c r="H56" s="17">
        <v>143215</v>
      </c>
      <c r="I56" s="2"/>
      <c r="J56" s="2"/>
      <c r="K56" s="17">
        <v>143215</v>
      </c>
      <c r="L56" s="17">
        <v>15344.46</v>
      </c>
      <c r="M56" s="17">
        <v>127870.54</v>
      </c>
      <c r="N56" s="17">
        <v>143215</v>
      </c>
      <c r="O56" s="2"/>
      <c r="P56" s="2"/>
      <c r="Q56" s="31" t="s">
        <v>270</v>
      </c>
      <c r="R56" s="61">
        <f>+K56+K57+K58</f>
        <v>855310</v>
      </c>
      <c r="S56" s="62"/>
      <c r="T56" s="5"/>
    </row>
    <row r="57" spans="1:20" hidden="1">
      <c r="A57" s="2" t="s">
        <v>1117</v>
      </c>
      <c r="B57" s="2" t="s">
        <v>1136</v>
      </c>
      <c r="C57" s="2" t="s">
        <v>333</v>
      </c>
      <c r="D57" s="16">
        <v>30</v>
      </c>
      <c r="E57" s="2" t="s">
        <v>1118</v>
      </c>
      <c r="F57" s="2" t="s">
        <v>337</v>
      </c>
      <c r="G57" s="2" t="s">
        <v>1137</v>
      </c>
      <c r="H57" s="17">
        <v>568880</v>
      </c>
      <c r="I57" s="2"/>
      <c r="J57" s="2"/>
      <c r="K57" s="17">
        <v>568880</v>
      </c>
      <c r="L57" s="17">
        <v>60951.43</v>
      </c>
      <c r="M57" s="17">
        <v>507928.57</v>
      </c>
      <c r="N57" s="17">
        <v>568880</v>
      </c>
      <c r="O57" s="2"/>
      <c r="P57" s="2"/>
      <c r="Q57" s="31" t="s">
        <v>270</v>
      </c>
      <c r="R57" s="62"/>
      <c r="S57" s="62"/>
      <c r="T57" s="5"/>
    </row>
    <row r="58" spans="1:20" hidden="1">
      <c r="A58" s="2" t="s">
        <v>1117</v>
      </c>
      <c r="B58" s="2" t="s">
        <v>1138</v>
      </c>
      <c r="C58" s="2" t="s">
        <v>237</v>
      </c>
      <c r="D58" s="16">
        <v>60</v>
      </c>
      <c r="E58" s="2" t="s">
        <v>1139</v>
      </c>
      <c r="F58" s="2" t="s">
        <v>337</v>
      </c>
      <c r="G58" s="2" t="s">
        <v>338</v>
      </c>
      <c r="H58" s="17">
        <v>143215</v>
      </c>
      <c r="I58" s="2"/>
      <c r="J58" s="2"/>
      <c r="K58" s="17">
        <v>143215</v>
      </c>
      <c r="L58" s="17">
        <v>15344.46</v>
      </c>
      <c r="M58" s="17">
        <v>127870.54</v>
      </c>
      <c r="N58" s="17">
        <v>143215</v>
      </c>
      <c r="O58" s="2"/>
      <c r="P58" s="2"/>
      <c r="Q58" s="31" t="s">
        <v>270</v>
      </c>
      <c r="R58" s="63"/>
      <c r="S58" s="62"/>
      <c r="T58" s="5"/>
    </row>
    <row r="59" spans="1:20" hidden="1">
      <c r="A59" s="2" t="s">
        <v>1553</v>
      </c>
      <c r="B59" s="2" t="s">
        <v>1573</v>
      </c>
      <c r="C59" s="2" t="s">
        <v>18</v>
      </c>
      <c r="D59" s="16">
        <v>0</v>
      </c>
      <c r="E59" s="2" t="s">
        <v>1553</v>
      </c>
      <c r="F59" s="2" t="s">
        <v>70</v>
      </c>
      <c r="G59" s="2" t="s">
        <v>1574</v>
      </c>
      <c r="H59" s="17">
        <v>24540</v>
      </c>
      <c r="I59" s="2"/>
      <c r="J59" s="2"/>
      <c r="K59" s="17">
        <v>24540</v>
      </c>
      <c r="L59" s="17">
        <v>2629.29</v>
      </c>
      <c r="M59" s="17">
        <v>21910.71</v>
      </c>
      <c r="N59" s="17">
        <v>24540</v>
      </c>
      <c r="O59" s="2"/>
      <c r="P59" s="2"/>
      <c r="Q59" s="31" t="s">
        <v>270</v>
      </c>
      <c r="R59" s="32">
        <f>+K59</f>
        <v>24540</v>
      </c>
      <c r="S59" s="62"/>
      <c r="T59" s="5"/>
    </row>
    <row r="60" spans="1:20" hidden="1">
      <c r="A60" s="2" t="s">
        <v>596</v>
      </c>
      <c r="B60" s="2" t="s">
        <v>595</v>
      </c>
      <c r="C60" s="2" t="s">
        <v>146</v>
      </c>
      <c r="D60" s="16">
        <v>90</v>
      </c>
      <c r="E60" s="2" t="s">
        <v>597</v>
      </c>
      <c r="F60" s="2" t="s">
        <v>598</v>
      </c>
      <c r="G60" s="2" t="s">
        <v>599</v>
      </c>
      <c r="H60" s="17">
        <v>53721</v>
      </c>
      <c r="I60" s="2"/>
      <c r="J60" s="2"/>
      <c r="K60" s="17">
        <v>53721</v>
      </c>
      <c r="L60" s="17">
        <v>5755.82</v>
      </c>
      <c r="M60" s="17">
        <v>47965.18</v>
      </c>
      <c r="N60" s="17">
        <v>53721</v>
      </c>
      <c r="O60" s="2"/>
      <c r="P60" s="2"/>
      <c r="Q60" s="31" t="s">
        <v>270</v>
      </c>
      <c r="R60" s="32">
        <f>+K60</f>
        <v>53721</v>
      </c>
      <c r="S60" s="63"/>
      <c r="T60" s="5"/>
    </row>
    <row r="61" spans="1:20" hidden="1">
      <c r="A61" s="2" t="s">
        <v>689</v>
      </c>
      <c r="B61" s="2" t="s">
        <v>726</v>
      </c>
      <c r="C61" s="2" t="s">
        <v>151</v>
      </c>
      <c r="D61" s="16">
        <v>60</v>
      </c>
      <c r="E61" s="2" t="s">
        <v>692</v>
      </c>
      <c r="F61" s="2" t="s">
        <v>728</v>
      </c>
      <c r="G61" s="2" t="s">
        <v>729</v>
      </c>
      <c r="H61" s="17">
        <v>113168</v>
      </c>
      <c r="I61" s="2"/>
      <c r="J61" s="2"/>
      <c r="K61" s="17">
        <v>113168</v>
      </c>
      <c r="L61" s="17">
        <v>12125.14</v>
      </c>
      <c r="M61" s="17">
        <v>101042.86</v>
      </c>
      <c r="N61" s="17">
        <v>113168</v>
      </c>
      <c r="O61" s="2"/>
      <c r="P61" s="2"/>
      <c r="Q61" s="31" t="s">
        <v>727</v>
      </c>
      <c r="R61" s="61">
        <f>+K61+K62+K63+K64+K65+K66+K67</f>
        <v>2195878</v>
      </c>
      <c r="S61" s="61">
        <f>+R61</f>
        <v>2195878</v>
      </c>
      <c r="T61" s="5"/>
    </row>
    <row r="62" spans="1:20" hidden="1">
      <c r="A62" s="2" t="s">
        <v>689</v>
      </c>
      <c r="B62" s="2" t="s">
        <v>730</v>
      </c>
      <c r="C62" s="2" t="s">
        <v>151</v>
      </c>
      <c r="D62" s="16">
        <v>60</v>
      </c>
      <c r="E62" s="2" t="s">
        <v>692</v>
      </c>
      <c r="F62" s="2" t="s">
        <v>728</v>
      </c>
      <c r="G62" s="2" t="s">
        <v>731</v>
      </c>
      <c r="H62" s="17">
        <v>686000</v>
      </c>
      <c r="I62" s="2"/>
      <c r="J62" s="2"/>
      <c r="K62" s="17">
        <v>686000</v>
      </c>
      <c r="L62" s="17">
        <v>73500</v>
      </c>
      <c r="M62" s="17">
        <v>612500</v>
      </c>
      <c r="N62" s="17">
        <v>686000</v>
      </c>
      <c r="O62" s="2"/>
      <c r="P62" s="2"/>
      <c r="Q62" s="31" t="s">
        <v>727</v>
      </c>
      <c r="R62" s="62"/>
      <c r="S62" s="62"/>
      <c r="T62" s="5"/>
    </row>
    <row r="63" spans="1:20" hidden="1">
      <c r="A63" s="2" t="s">
        <v>689</v>
      </c>
      <c r="B63" s="2" t="s">
        <v>732</v>
      </c>
      <c r="C63" s="2" t="s">
        <v>151</v>
      </c>
      <c r="D63" s="16">
        <v>60</v>
      </c>
      <c r="E63" s="2" t="s">
        <v>692</v>
      </c>
      <c r="F63" s="2" t="s">
        <v>728</v>
      </c>
      <c r="G63" s="2" t="s">
        <v>733</v>
      </c>
      <c r="H63" s="17">
        <v>313000</v>
      </c>
      <c r="I63" s="2"/>
      <c r="J63" s="2"/>
      <c r="K63" s="17">
        <v>313000</v>
      </c>
      <c r="L63" s="17">
        <v>33535.71</v>
      </c>
      <c r="M63" s="17">
        <v>279464.28999999998</v>
      </c>
      <c r="N63" s="17">
        <v>313000</v>
      </c>
      <c r="O63" s="2"/>
      <c r="P63" s="2"/>
      <c r="Q63" s="31" t="s">
        <v>727</v>
      </c>
      <c r="R63" s="62"/>
      <c r="S63" s="62"/>
      <c r="T63" s="5"/>
    </row>
    <row r="64" spans="1:20" hidden="1">
      <c r="A64" s="2" t="s">
        <v>689</v>
      </c>
      <c r="B64" s="2" t="s">
        <v>734</v>
      </c>
      <c r="C64" s="2" t="s">
        <v>151</v>
      </c>
      <c r="D64" s="16">
        <v>60</v>
      </c>
      <c r="E64" s="2" t="s">
        <v>692</v>
      </c>
      <c r="F64" s="2" t="s">
        <v>728</v>
      </c>
      <c r="G64" s="2" t="s">
        <v>735</v>
      </c>
      <c r="H64" s="17">
        <v>111830</v>
      </c>
      <c r="I64" s="2"/>
      <c r="J64" s="2"/>
      <c r="K64" s="17">
        <v>111830</v>
      </c>
      <c r="L64" s="17">
        <v>11981.79</v>
      </c>
      <c r="M64" s="17">
        <v>99848.21</v>
      </c>
      <c r="N64" s="17">
        <v>111830</v>
      </c>
      <c r="O64" s="2"/>
      <c r="P64" s="2"/>
      <c r="Q64" s="31" t="s">
        <v>727</v>
      </c>
      <c r="R64" s="62"/>
      <c r="S64" s="62"/>
      <c r="T64" s="5"/>
    </row>
    <row r="65" spans="1:20" hidden="1">
      <c r="A65" s="2" t="s">
        <v>689</v>
      </c>
      <c r="B65" s="2" t="s">
        <v>736</v>
      </c>
      <c r="C65" s="2" t="s">
        <v>151</v>
      </c>
      <c r="D65" s="16">
        <v>60</v>
      </c>
      <c r="E65" s="2" t="s">
        <v>692</v>
      </c>
      <c r="F65" s="2" t="s">
        <v>728</v>
      </c>
      <c r="G65" s="2" t="s">
        <v>737</v>
      </c>
      <c r="H65" s="17">
        <v>313000</v>
      </c>
      <c r="I65" s="2"/>
      <c r="J65" s="2"/>
      <c r="K65" s="17">
        <v>313000</v>
      </c>
      <c r="L65" s="17">
        <v>33535.71</v>
      </c>
      <c r="M65" s="17">
        <v>279464.28999999998</v>
      </c>
      <c r="N65" s="17">
        <v>313000</v>
      </c>
      <c r="O65" s="2"/>
      <c r="P65" s="2"/>
      <c r="Q65" s="31" t="s">
        <v>727</v>
      </c>
      <c r="R65" s="62"/>
      <c r="S65" s="62"/>
      <c r="T65" s="5"/>
    </row>
    <row r="66" spans="1:20" hidden="1">
      <c r="A66" s="2" t="s">
        <v>689</v>
      </c>
      <c r="B66" s="2" t="s">
        <v>746</v>
      </c>
      <c r="C66" s="2" t="s">
        <v>151</v>
      </c>
      <c r="D66" s="16">
        <v>60</v>
      </c>
      <c r="E66" s="2" t="s">
        <v>692</v>
      </c>
      <c r="F66" s="2" t="s">
        <v>728</v>
      </c>
      <c r="G66" s="2" t="s">
        <v>747</v>
      </c>
      <c r="H66" s="17">
        <v>408480</v>
      </c>
      <c r="I66" s="2"/>
      <c r="J66" s="2"/>
      <c r="K66" s="17">
        <v>408480</v>
      </c>
      <c r="L66" s="17">
        <v>43765.71</v>
      </c>
      <c r="M66" s="17">
        <v>364714.29</v>
      </c>
      <c r="N66" s="17">
        <v>408480</v>
      </c>
      <c r="O66" s="2"/>
      <c r="P66" s="2"/>
      <c r="Q66" s="31" t="s">
        <v>727</v>
      </c>
      <c r="R66" s="62"/>
      <c r="S66" s="62"/>
      <c r="T66" s="5"/>
    </row>
    <row r="67" spans="1:20" hidden="1">
      <c r="A67" s="2" t="s">
        <v>689</v>
      </c>
      <c r="B67" s="2" t="s">
        <v>748</v>
      </c>
      <c r="C67" s="2" t="s">
        <v>151</v>
      </c>
      <c r="D67" s="16">
        <v>60</v>
      </c>
      <c r="E67" s="2" t="s">
        <v>692</v>
      </c>
      <c r="F67" s="2" t="s">
        <v>728</v>
      </c>
      <c r="G67" s="2" t="s">
        <v>749</v>
      </c>
      <c r="H67" s="17">
        <v>250400</v>
      </c>
      <c r="I67" s="2"/>
      <c r="J67" s="2"/>
      <c r="K67" s="17">
        <v>250400</v>
      </c>
      <c r="L67" s="17">
        <v>26828.57</v>
      </c>
      <c r="M67" s="17">
        <v>223571.43</v>
      </c>
      <c r="N67" s="17">
        <v>250400</v>
      </c>
      <c r="O67" s="2"/>
      <c r="P67" s="2"/>
      <c r="Q67" s="31" t="s">
        <v>727</v>
      </c>
      <c r="R67" s="63"/>
      <c r="S67" s="63"/>
      <c r="T67" s="5"/>
    </row>
    <row r="68" spans="1:20" s="33" customFormat="1">
      <c r="A68" s="2"/>
      <c r="B68" s="2"/>
      <c r="C68" s="2"/>
      <c r="D68" s="16"/>
      <c r="E68" s="2"/>
      <c r="F68" s="2"/>
      <c r="G68" s="2"/>
      <c r="H68" s="17"/>
      <c r="I68" s="2"/>
      <c r="J68" s="2"/>
      <c r="K68" s="17"/>
      <c r="L68" s="17"/>
      <c r="M68" s="17"/>
      <c r="N68" s="17"/>
      <c r="O68" s="2"/>
      <c r="P68" s="2"/>
      <c r="Q68" s="31"/>
      <c r="R68" s="34"/>
      <c r="S68" s="40"/>
      <c r="T68" s="5"/>
    </row>
    <row r="69" spans="1:20" hidden="1">
      <c r="A69" s="2" t="s">
        <v>1467</v>
      </c>
      <c r="B69" s="2" t="s">
        <v>1469</v>
      </c>
      <c r="C69" s="2" t="s">
        <v>18</v>
      </c>
      <c r="D69" s="16">
        <v>0</v>
      </c>
      <c r="E69" s="2" t="s">
        <v>1467</v>
      </c>
      <c r="F69" s="2" t="s">
        <v>1470</v>
      </c>
      <c r="G69" s="2" t="s">
        <v>1471</v>
      </c>
      <c r="H69" s="17">
        <v>107922</v>
      </c>
      <c r="I69" s="2"/>
      <c r="J69" s="17">
        <v>7500</v>
      </c>
      <c r="K69" s="17">
        <f>115422-J69</f>
        <v>107922</v>
      </c>
      <c r="L69" s="17">
        <v>12366.64</v>
      </c>
      <c r="M69" s="17">
        <v>103055.36</v>
      </c>
      <c r="N69" s="17">
        <v>115422</v>
      </c>
      <c r="O69" s="2" t="s">
        <v>1783</v>
      </c>
      <c r="P69" s="2"/>
      <c r="Q69" s="31" t="s">
        <v>25</v>
      </c>
      <c r="R69" s="32">
        <f>+K69</f>
        <v>107922</v>
      </c>
      <c r="S69" s="64">
        <f>+R69+R70+R71+R72+R73</f>
        <v>2849521</v>
      </c>
      <c r="T69" s="61">
        <f>+J69+J77+J78+J79</f>
        <v>85600</v>
      </c>
    </row>
    <row r="70" spans="1:20" ht="14.45" hidden="1" customHeight="1">
      <c r="A70" s="2" t="s">
        <v>1217</v>
      </c>
      <c r="B70" s="2" t="s">
        <v>1241</v>
      </c>
      <c r="C70" s="2" t="s">
        <v>34</v>
      </c>
      <c r="D70" s="16">
        <v>60</v>
      </c>
      <c r="E70" s="2" t="s">
        <v>1223</v>
      </c>
      <c r="F70" s="2" t="s">
        <v>1242</v>
      </c>
      <c r="G70" s="2" t="s">
        <v>1243</v>
      </c>
      <c r="H70" s="17">
        <v>126034</v>
      </c>
      <c r="I70" s="2"/>
      <c r="J70" s="2"/>
      <c r="K70" s="17">
        <v>126034</v>
      </c>
      <c r="L70" s="17">
        <v>13503.64</v>
      </c>
      <c r="M70" s="17">
        <v>112530.36</v>
      </c>
      <c r="N70" s="17">
        <v>126034</v>
      </c>
      <c r="O70" s="2"/>
      <c r="P70" s="2"/>
      <c r="Q70" s="31" t="s">
        <v>25</v>
      </c>
      <c r="R70" s="32">
        <f>+K70</f>
        <v>126034</v>
      </c>
      <c r="S70" s="66"/>
      <c r="T70" s="62"/>
    </row>
    <row r="71" spans="1:20" ht="14.45" hidden="1" customHeight="1">
      <c r="A71" s="2" t="s">
        <v>866</v>
      </c>
      <c r="B71" s="2" t="s">
        <v>906</v>
      </c>
      <c r="C71" s="2" t="s">
        <v>146</v>
      </c>
      <c r="D71" s="16">
        <v>90</v>
      </c>
      <c r="E71" s="2" t="s">
        <v>885</v>
      </c>
      <c r="F71" s="2" t="s">
        <v>907</v>
      </c>
      <c r="G71" s="2" t="s">
        <v>908</v>
      </c>
      <c r="H71" s="17">
        <v>133902</v>
      </c>
      <c r="I71" s="2"/>
      <c r="J71" s="2"/>
      <c r="K71" s="17">
        <v>133902</v>
      </c>
      <c r="L71" s="17">
        <v>14346.64</v>
      </c>
      <c r="M71" s="17">
        <v>119555.36</v>
      </c>
      <c r="N71" s="17">
        <v>133902</v>
      </c>
      <c r="O71" s="2"/>
      <c r="P71" s="2"/>
      <c r="Q71" s="31" t="s">
        <v>25</v>
      </c>
      <c r="R71" s="32">
        <f>+K71</f>
        <v>133902</v>
      </c>
      <c r="S71" s="66"/>
      <c r="T71" s="62"/>
    </row>
    <row r="72" spans="1:20" ht="14.45" hidden="1" customHeight="1">
      <c r="A72" s="2" t="s">
        <v>1117</v>
      </c>
      <c r="B72" s="2" t="s">
        <v>1129</v>
      </c>
      <c r="C72" s="2" t="s">
        <v>18</v>
      </c>
      <c r="D72" s="16">
        <v>0</v>
      </c>
      <c r="E72" s="2" t="s">
        <v>1117</v>
      </c>
      <c r="F72" s="2" t="s">
        <v>1130</v>
      </c>
      <c r="G72" s="2" t="s">
        <v>1131</v>
      </c>
      <c r="H72" s="17">
        <v>104800</v>
      </c>
      <c r="I72" s="2"/>
      <c r="J72" s="2"/>
      <c r="K72" s="17">
        <v>104800</v>
      </c>
      <c r="L72" s="17">
        <v>11228.57</v>
      </c>
      <c r="M72" s="17">
        <v>93571.43</v>
      </c>
      <c r="N72" s="17">
        <v>104800</v>
      </c>
      <c r="O72" s="2"/>
      <c r="P72" s="2"/>
      <c r="Q72" s="31" t="s">
        <v>25</v>
      </c>
      <c r="R72" s="32">
        <f>+K72</f>
        <v>104800</v>
      </c>
      <c r="S72" s="66"/>
      <c r="T72" s="62"/>
    </row>
    <row r="73" spans="1:20" ht="14.45" hidden="1" customHeight="1">
      <c r="A73" s="2" t="s">
        <v>17</v>
      </c>
      <c r="B73" s="2" t="s">
        <v>22</v>
      </c>
      <c r="C73" s="2" t="s">
        <v>23</v>
      </c>
      <c r="D73" s="16">
        <v>30</v>
      </c>
      <c r="E73" s="2" t="s">
        <v>24</v>
      </c>
      <c r="F73" s="2" t="s">
        <v>26</v>
      </c>
      <c r="G73" s="2" t="s">
        <v>27</v>
      </c>
      <c r="H73" s="17">
        <v>344364.5</v>
      </c>
      <c r="I73" s="2"/>
      <c r="J73" s="2"/>
      <c r="K73" s="17">
        <v>344364.5</v>
      </c>
      <c r="L73" s="17">
        <v>36896.199999999997</v>
      </c>
      <c r="M73" s="17">
        <v>307468.3</v>
      </c>
      <c r="N73" s="17">
        <v>344364.5</v>
      </c>
      <c r="O73" s="2"/>
      <c r="P73" s="2"/>
      <c r="Q73" s="31" t="s">
        <v>25</v>
      </c>
      <c r="R73" s="61">
        <f>+K73+K74+K75+K76+K77+K78</f>
        <v>2376863</v>
      </c>
      <c r="S73" s="66"/>
      <c r="T73" s="62"/>
    </row>
    <row r="74" spans="1:20" ht="14.45" hidden="1" customHeight="1">
      <c r="A74" s="2" t="s">
        <v>1372</v>
      </c>
      <c r="B74" s="2" t="s">
        <v>1413</v>
      </c>
      <c r="C74" s="2" t="s">
        <v>64</v>
      </c>
      <c r="D74" s="16">
        <v>30</v>
      </c>
      <c r="E74" s="2" t="s">
        <v>1389</v>
      </c>
      <c r="F74" s="2" t="s">
        <v>26</v>
      </c>
      <c r="G74" s="2" t="s">
        <v>1414</v>
      </c>
      <c r="H74" s="17">
        <v>352731.5</v>
      </c>
      <c r="I74" s="2"/>
      <c r="J74" s="2"/>
      <c r="K74" s="17">
        <v>352731.5</v>
      </c>
      <c r="L74" s="17">
        <v>37792.660000000003</v>
      </c>
      <c r="M74" s="17">
        <v>314938.84000000003</v>
      </c>
      <c r="N74" s="17">
        <v>352731.5</v>
      </c>
      <c r="O74" s="2"/>
      <c r="P74" s="2"/>
      <c r="Q74" s="31" t="s">
        <v>25</v>
      </c>
      <c r="R74" s="62"/>
      <c r="S74" s="66"/>
      <c r="T74" s="62"/>
    </row>
    <row r="75" spans="1:20" ht="14.45" hidden="1" customHeight="1">
      <c r="A75" s="2" t="s">
        <v>1372</v>
      </c>
      <c r="B75" s="2" t="s">
        <v>1415</v>
      </c>
      <c r="C75" s="2" t="s">
        <v>64</v>
      </c>
      <c r="D75" s="16">
        <v>30</v>
      </c>
      <c r="E75" s="2" t="s">
        <v>1389</v>
      </c>
      <c r="F75" s="2" t="s">
        <v>26</v>
      </c>
      <c r="G75" s="2" t="s">
        <v>1416</v>
      </c>
      <c r="H75" s="17">
        <v>278419</v>
      </c>
      <c r="I75" s="2"/>
      <c r="J75" s="2"/>
      <c r="K75" s="17">
        <v>278419</v>
      </c>
      <c r="L75" s="17">
        <v>29830.61</v>
      </c>
      <c r="M75" s="17">
        <v>248588.39</v>
      </c>
      <c r="N75" s="17">
        <v>278419</v>
      </c>
      <c r="O75" s="2"/>
      <c r="P75" s="2"/>
      <c r="Q75" s="31" t="s">
        <v>25</v>
      </c>
      <c r="R75" s="62"/>
      <c r="S75" s="66"/>
      <c r="T75" s="62"/>
    </row>
    <row r="76" spans="1:20" ht="14.45" hidden="1" customHeight="1">
      <c r="A76" s="2" t="s">
        <v>1372</v>
      </c>
      <c r="B76" s="2" t="s">
        <v>1417</v>
      </c>
      <c r="C76" s="2" t="s">
        <v>64</v>
      </c>
      <c r="D76" s="16">
        <v>30</v>
      </c>
      <c r="E76" s="2" t="s">
        <v>1389</v>
      </c>
      <c r="F76" s="2" t="s">
        <v>26</v>
      </c>
      <c r="G76" s="2" t="s">
        <v>1418</v>
      </c>
      <c r="H76" s="17">
        <v>872800</v>
      </c>
      <c r="I76" s="2"/>
      <c r="J76" s="2"/>
      <c r="K76" s="17">
        <v>872800</v>
      </c>
      <c r="L76" s="17">
        <v>93514.29</v>
      </c>
      <c r="M76" s="17">
        <v>779285.71</v>
      </c>
      <c r="N76" s="17">
        <v>872800</v>
      </c>
      <c r="O76" s="2"/>
      <c r="P76" s="2"/>
      <c r="Q76" s="31" t="s">
        <v>25</v>
      </c>
      <c r="R76" s="62"/>
      <c r="S76" s="66"/>
      <c r="T76" s="62"/>
    </row>
    <row r="77" spans="1:20" hidden="1">
      <c r="A77" s="2" t="s">
        <v>1372</v>
      </c>
      <c r="B77" s="2" t="s">
        <v>1419</v>
      </c>
      <c r="C77" s="2" t="s">
        <v>64</v>
      </c>
      <c r="D77" s="16">
        <v>30</v>
      </c>
      <c r="E77" s="2" t="s">
        <v>1389</v>
      </c>
      <c r="F77" s="2" t="s">
        <v>26</v>
      </c>
      <c r="G77" s="2" t="s">
        <v>1420</v>
      </c>
      <c r="H77" s="17">
        <v>264274</v>
      </c>
      <c r="I77" s="2"/>
      <c r="J77" s="17">
        <v>35300</v>
      </c>
      <c r="K77" s="17">
        <f>299574-J77</f>
        <v>264274</v>
      </c>
      <c r="L77" s="17">
        <v>32097.21</v>
      </c>
      <c r="M77" s="17">
        <v>267476.78999999998</v>
      </c>
      <c r="N77" s="17">
        <v>299574</v>
      </c>
      <c r="O77" s="2" t="s">
        <v>1783</v>
      </c>
      <c r="P77" s="2"/>
      <c r="Q77" s="31" t="s">
        <v>25</v>
      </c>
      <c r="R77" s="62"/>
      <c r="S77" s="66"/>
      <c r="T77" s="62"/>
    </row>
    <row r="78" spans="1:20" hidden="1">
      <c r="A78" s="2" t="s">
        <v>1553</v>
      </c>
      <c r="B78" s="2" t="s">
        <v>1586</v>
      </c>
      <c r="C78" s="2" t="s">
        <v>64</v>
      </c>
      <c r="D78" s="16">
        <v>30</v>
      </c>
      <c r="E78" s="2" t="s">
        <v>1569</v>
      </c>
      <c r="F78" s="2" t="s">
        <v>26</v>
      </c>
      <c r="G78" s="2" t="s">
        <v>1420</v>
      </c>
      <c r="H78" s="17">
        <v>264274</v>
      </c>
      <c r="I78" s="2"/>
      <c r="J78" s="17">
        <v>35300</v>
      </c>
      <c r="K78" s="17">
        <f>299574-J78</f>
        <v>264274</v>
      </c>
      <c r="L78" s="17">
        <v>32097.21</v>
      </c>
      <c r="M78" s="17">
        <v>267476.78999999998</v>
      </c>
      <c r="N78" s="17">
        <v>299574</v>
      </c>
      <c r="O78" s="2" t="s">
        <v>1783</v>
      </c>
      <c r="P78" s="2"/>
      <c r="Q78" s="31" t="s">
        <v>25</v>
      </c>
      <c r="R78" s="63"/>
      <c r="S78" s="65"/>
      <c r="T78" s="62"/>
    </row>
    <row r="79" spans="1:20" hidden="1">
      <c r="A79" s="2" t="s">
        <v>915</v>
      </c>
      <c r="B79" s="2" t="s">
        <v>942</v>
      </c>
      <c r="C79" s="2" t="s">
        <v>104</v>
      </c>
      <c r="D79" s="16">
        <v>0</v>
      </c>
      <c r="E79" s="2" t="s">
        <v>915</v>
      </c>
      <c r="F79" s="2" t="s">
        <v>943</v>
      </c>
      <c r="G79" s="2" t="s">
        <v>944</v>
      </c>
      <c r="H79" s="17">
        <v>7500</v>
      </c>
      <c r="I79" s="2"/>
      <c r="J79" s="17">
        <v>7500</v>
      </c>
      <c r="K79" s="2">
        <v>0</v>
      </c>
      <c r="L79" s="2"/>
      <c r="M79" s="17">
        <v>7500</v>
      </c>
      <c r="N79" s="17">
        <v>7500</v>
      </c>
      <c r="O79" s="2" t="s">
        <v>1783</v>
      </c>
      <c r="P79" s="2"/>
      <c r="Q79" s="31" t="s">
        <v>25</v>
      </c>
      <c r="R79" s="5"/>
      <c r="S79" s="5"/>
      <c r="T79" s="63"/>
    </row>
    <row r="80" spans="1:20" hidden="1">
      <c r="A80" s="2" t="s">
        <v>1048</v>
      </c>
      <c r="B80" s="2" t="s">
        <v>1092</v>
      </c>
      <c r="C80" s="2" t="s">
        <v>60</v>
      </c>
      <c r="D80" s="16">
        <v>0</v>
      </c>
      <c r="E80" s="2" t="s">
        <v>1048</v>
      </c>
      <c r="F80" s="2" t="s">
        <v>1094</v>
      </c>
      <c r="G80" s="2" t="s">
        <v>1095</v>
      </c>
      <c r="H80" s="17">
        <v>220540</v>
      </c>
      <c r="I80" s="2"/>
      <c r="J80" s="2"/>
      <c r="K80" s="17">
        <v>220540</v>
      </c>
      <c r="L80" s="17">
        <v>23629.29</v>
      </c>
      <c r="M80" s="17">
        <v>196910.71</v>
      </c>
      <c r="N80" s="17">
        <v>220540</v>
      </c>
      <c r="O80" s="2"/>
      <c r="P80" s="2"/>
      <c r="Q80" s="31" t="s">
        <v>1093</v>
      </c>
      <c r="R80" s="32">
        <f>+K80</f>
        <v>220540</v>
      </c>
      <c r="S80" s="32">
        <f>+R80</f>
        <v>220540</v>
      </c>
      <c r="T80" s="5"/>
    </row>
    <row r="81" spans="1:20" hidden="1">
      <c r="A81" s="2" t="s">
        <v>368</v>
      </c>
      <c r="B81" s="2" t="s">
        <v>398</v>
      </c>
      <c r="C81" s="2" t="s">
        <v>162</v>
      </c>
      <c r="D81" s="16">
        <v>90</v>
      </c>
      <c r="E81" s="2" t="s">
        <v>383</v>
      </c>
      <c r="F81" s="2" t="s">
        <v>399</v>
      </c>
      <c r="G81" s="2" t="s">
        <v>400</v>
      </c>
      <c r="H81" s="17">
        <v>73090</v>
      </c>
      <c r="I81" s="2"/>
      <c r="J81" s="2"/>
      <c r="K81" s="17">
        <v>73090</v>
      </c>
      <c r="L81" s="17">
        <v>7831.07</v>
      </c>
      <c r="M81" s="17">
        <v>65258.93</v>
      </c>
      <c r="N81" s="17">
        <v>73090</v>
      </c>
      <c r="O81" s="2"/>
      <c r="P81" s="2"/>
      <c r="Q81" s="31" t="s">
        <v>204</v>
      </c>
      <c r="R81" s="64">
        <f>+K81+K82+K83+K84+K85</f>
        <v>206356</v>
      </c>
      <c r="S81" s="61">
        <f>+R81+R86+R88+R89+R91+R93+R94</f>
        <v>1047008</v>
      </c>
      <c r="T81" s="5"/>
    </row>
    <row r="82" spans="1:20" hidden="1">
      <c r="A82" s="2" t="s">
        <v>596</v>
      </c>
      <c r="B82" s="2" t="s">
        <v>616</v>
      </c>
      <c r="C82" s="2" t="s">
        <v>162</v>
      </c>
      <c r="D82" s="16">
        <v>90</v>
      </c>
      <c r="E82" s="2" t="s">
        <v>597</v>
      </c>
      <c r="F82" s="2" t="s">
        <v>399</v>
      </c>
      <c r="G82" s="2" t="s">
        <v>617</v>
      </c>
      <c r="H82" s="17">
        <v>24500</v>
      </c>
      <c r="I82" s="2"/>
      <c r="J82" s="2"/>
      <c r="K82" s="17">
        <v>24500</v>
      </c>
      <c r="L82" s="17">
        <v>2625</v>
      </c>
      <c r="M82" s="17">
        <v>21875</v>
      </c>
      <c r="N82" s="17">
        <v>24500</v>
      </c>
      <c r="O82" s="2"/>
      <c r="P82" s="2"/>
      <c r="Q82" s="31" t="s">
        <v>204</v>
      </c>
      <c r="R82" s="66"/>
      <c r="S82" s="62"/>
      <c r="T82" s="5"/>
    </row>
    <row r="83" spans="1:20" hidden="1">
      <c r="A83" s="2" t="s">
        <v>1467</v>
      </c>
      <c r="B83" s="2" t="s">
        <v>1524</v>
      </c>
      <c r="C83" s="2" t="s">
        <v>162</v>
      </c>
      <c r="D83" s="16">
        <v>90</v>
      </c>
      <c r="E83" s="2" t="s">
        <v>1479</v>
      </c>
      <c r="F83" s="2" t="s">
        <v>399</v>
      </c>
      <c r="G83" s="2" t="s">
        <v>1525</v>
      </c>
      <c r="H83" s="17">
        <v>27447</v>
      </c>
      <c r="I83" s="2"/>
      <c r="J83" s="2"/>
      <c r="K83" s="17">
        <v>27447</v>
      </c>
      <c r="L83" s="17">
        <v>2940.75</v>
      </c>
      <c r="M83" s="17">
        <v>24506.25</v>
      </c>
      <c r="N83" s="17">
        <v>27447</v>
      </c>
      <c r="O83" s="2"/>
      <c r="P83" s="2"/>
      <c r="Q83" s="31" t="s">
        <v>204</v>
      </c>
      <c r="R83" s="66"/>
      <c r="S83" s="62"/>
      <c r="T83" s="5"/>
    </row>
    <row r="84" spans="1:20" hidden="1">
      <c r="A84" s="2" t="s">
        <v>1467</v>
      </c>
      <c r="B84" s="2" t="s">
        <v>1526</v>
      </c>
      <c r="C84" s="2" t="s">
        <v>162</v>
      </c>
      <c r="D84" s="16">
        <v>90</v>
      </c>
      <c r="E84" s="2" t="s">
        <v>1479</v>
      </c>
      <c r="F84" s="2" t="s">
        <v>399</v>
      </c>
      <c r="G84" s="2" t="s">
        <v>1527</v>
      </c>
      <c r="H84" s="17">
        <v>54544</v>
      </c>
      <c r="I84" s="2"/>
      <c r="J84" s="2"/>
      <c r="K84" s="17">
        <v>54544</v>
      </c>
      <c r="L84" s="17">
        <v>5844</v>
      </c>
      <c r="M84" s="17">
        <v>48700</v>
      </c>
      <c r="N84" s="17">
        <v>54544</v>
      </c>
      <c r="O84" s="2"/>
      <c r="P84" s="2"/>
      <c r="Q84" s="31" t="s">
        <v>204</v>
      </c>
      <c r="R84" s="66"/>
      <c r="S84" s="62"/>
      <c r="T84" s="5"/>
    </row>
    <row r="85" spans="1:20" hidden="1">
      <c r="A85" s="2" t="s">
        <v>1467</v>
      </c>
      <c r="B85" s="2" t="s">
        <v>1528</v>
      </c>
      <c r="C85" s="2" t="s">
        <v>162</v>
      </c>
      <c r="D85" s="16">
        <v>90</v>
      </c>
      <c r="E85" s="2" t="s">
        <v>1479</v>
      </c>
      <c r="F85" s="2" t="s">
        <v>399</v>
      </c>
      <c r="G85" s="2" t="s">
        <v>1529</v>
      </c>
      <c r="H85" s="17">
        <v>26775</v>
      </c>
      <c r="I85" s="2"/>
      <c r="J85" s="2"/>
      <c r="K85" s="17">
        <v>26775</v>
      </c>
      <c r="L85" s="17">
        <v>2868.75</v>
      </c>
      <c r="M85" s="17">
        <v>23906.25</v>
      </c>
      <c r="N85" s="17">
        <v>26775</v>
      </c>
      <c r="O85" s="2"/>
      <c r="P85" s="2"/>
      <c r="Q85" s="31" t="s">
        <v>204</v>
      </c>
      <c r="R85" s="65"/>
      <c r="S85" s="62"/>
      <c r="T85" s="5"/>
    </row>
    <row r="86" spans="1:20" hidden="1">
      <c r="A86" s="2" t="s">
        <v>1553</v>
      </c>
      <c r="B86" s="2" t="s">
        <v>1613</v>
      </c>
      <c r="C86" s="2" t="s">
        <v>1011</v>
      </c>
      <c r="D86" s="16">
        <v>60</v>
      </c>
      <c r="E86" s="2" t="s">
        <v>1557</v>
      </c>
      <c r="F86" s="2" t="s">
        <v>1614</v>
      </c>
      <c r="G86" s="2" t="s">
        <v>1615</v>
      </c>
      <c r="H86" s="17">
        <v>163920</v>
      </c>
      <c r="I86" s="2"/>
      <c r="J86" s="2"/>
      <c r="K86" s="17">
        <v>163920</v>
      </c>
      <c r="L86" s="17">
        <v>17562.86</v>
      </c>
      <c r="M86" s="17">
        <v>146357.14000000001</v>
      </c>
      <c r="N86" s="17">
        <v>163920</v>
      </c>
      <c r="O86" s="2"/>
      <c r="P86" s="2"/>
      <c r="Q86" s="31" t="s">
        <v>204</v>
      </c>
      <c r="R86" s="64">
        <f>+K86+K87</f>
        <v>444898</v>
      </c>
      <c r="S86" s="62"/>
      <c r="T86" s="5"/>
    </row>
    <row r="87" spans="1:20" hidden="1">
      <c r="A87" s="2" t="s">
        <v>1553</v>
      </c>
      <c r="B87" s="2" t="s">
        <v>1616</v>
      </c>
      <c r="C87" s="2" t="s">
        <v>1011</v>
      </c>
      <c r="D87" s="16">
        <v>60</v>
      </c>
      <c r="E87" s="2" t="s">
        <v>1557</v>
      </c>
      <c r="F87" s="2" t="s">
        <v>1614</v>
      </c>
      <c r="G87" s="2" t="s">
        <v>1617</v>
      </c>
      <c r="H87" s="17">
        <v>280978</v>
      </c>
      <c r="I87" s="2"/>
      <c r="J87" s="2"/>
      <c r="K87" s="17">
        <v>280978</v>
      </c>
      <c r="L87" s="17">
        <v>30104.79</v>
      </c>
      <c r="M87" s="17">
        <v>250873.21</v>
      </c>
      <c r="N87" s="17">
        <v>280978</v>
      </c>
      <c r="O87" s="2"/>
      <c r="P87" s="2"/>
      <c r="Q87" s="31" t="s">
        <v>204</v>
      </c>
      <c r="R87" s="65"/>
      <c r="S87" s="62"/>
      <c r="T87" s="5"/>
    </row>
    <row r="88" spans="1:20" hidden="1">
      <c r="A88" s="2" t="s">
        <v>199</v>
      </c>
      <c r="B88" s="2" t="s">
        <v>203</v>
      </c>
      <c r="C88" s="2" t="s">
        <v>34</v>
      </c>
      <c r="D88" s="16">
        <v>60</v>
      </c>
      <c r="E88" s="2" t="s">
        <v>200</v>
      </c>
      <c r="F88" s="2" t="s">
        <v>205</v>
      </c>
      <c r="G88" s="2" t="s">
        <v>206</v>
      </c>
      <c r="H88" s="17">
        <v>45500</v>
      </c>
      <c r="I88" s="2"/>
      <c r="J88" s="2"/>
      <c r="K88" s="17">
        <v>45500</v>
      </c>
      <c r="L88" s="17">
        <v>4875</v>
      </c>
      <c r="M88" s="17">
        <v>40625</v>
      </c>
      <c r="N88" s="17">
        <v>45500</v>
      </c>
      <c r="O88" s="2"/>
      <c r="P88" s="2"/>
      <c r="Q88" s="31" t="s">
        <v>204</v>
      </c>
      <c r="R88" s="41">
        <f>+K88</f>
        <v>45500</v>
      </c>
      <c r="S88" s="62"/>
      <c r="T88" s="5"/>
    </row>
    <row r="89" spans="1:20" hidden="1">
      <c r="A89" s="2" t="s">
        <v>1117</v>
      </c>
      <c r="B89" s="2" t="s">
        <v>1155</v>
      </c>
      <c r="C89" s="2" t="s">
        <v>162</v>
      </c>
      <c r="D89" s="16">
        <v>90</v>
      </c>
      <c r="E89" s="2" t="s">
        <v>1156</v>
      </c>
      <c r="F89" s="2" t="s">
        <v>1157</v>
      </c>
      <c r="G89" s="2" t="s">
        <v>1158</v>
      </c>
      <c r="H89" s="17">
        <v>58498</v>
      </c>
      <c r="I89" s="2"/>
      <c r="J89" s="2"/>
      <c r="K89" s="17">
        <v>58498</v>
      </c>
      <c r="L89" s="17">
        <v>6267.64</v>
      </c>
      <c r="M89" s="17">
        <v>52230.36</v>
      </c>
      <c r="N89" s="17">
        <v>58498</v>
      </c>
      <c r="O89" s="2"/>
      <c r="P89" s="2"/>
      <c r="Q89" s="31" t="s">
        <v>204</v>
      </c>
      <c r="R89" s="64">
        <f>+K89+K90</f>
        <v>66802</v>
      </c>
      <c r="S89" s="62"/>
      <c r="T89" s="5"/>
    </row>
    <row r="90" spans="1:20" hidden="1">
      <c r="A90" s="2" t="s">
        <v>1117</v>
      </c>
      <c r="B90" s="2" t="s">
        <v>1159</v>
      </c>
      <c r="C90" s="2" t="s">
        <v>162</v>
      </c>
      <c r="D90" s="16">
        <v>90</v>
      </c>
      <c r="E90" s="2" t="s">
        <v>1156</v>
      </c>
      <c r="F90" s="2" t="s">
        <v>1157</v>
      </c>
      <c r="G90" s="2" t="s">
        <v>1160</v>
      </c>
      <c r="H90" s="17">
        <v>8304</v>
      </c>
      <c r="I90" s="2"/>
      <c r="J90" s="2"/>
      <c r="K90" s="17">
        <v>8304</v>
      </c>
      <c r="L90" s="18">
        <v>889.71</v>
      </c>
      <c r="M90" s="17">
        <v>7414.29</v>
      </c>
      <c r="N90" s="17">
        <v>8304</v>
      </c>
      <c r="O90" s="2"/>
      <c r="P90" s="2"/>
      <c r="Q90" s="31" t="s">
        <v>204</v>
      </c>
      <c r="R90" s="65"/>
      <c r="S90" s="62"/>
      <c r="T90" s="5"/>
    </row>
    <row r="91" spans="1:20" hidden="1">
      <c r="A91" s="2" t="s">
        <v>866</v>
      </c>
      <c r="B91" s="2" t="s">
        <v>903</v>
      </c>
      <c r="C91" s="2" t="s">
        <v>162</v>
      </c>
      <c r="D91" s="16">
        <v>90</v>
      </c>
      <c r="E91" s="2" t="s">
        <v>885</v>
      </c>
      <c r="F91" s="2" t="s">
        <v>904</v>
      </c>
      <c r="G91" s="2" t="s">
        <v>905</v>
      </c>
      <c r="H91" s="17">
        <v>80432</v>
      </c>
      <c r="I91" s="2"/>
      <c r="J91" s="2"/>
      <c r="K91" s="17">
        <v>80432</v>
      </c>
      <c r="L91" s="17">
        <v>8617.7099999999991</v>
      </c>
      <c r="M91" s="17">
        <v>71814.289999999994</v>
      </c>
      <c r="N91" s="17">
        <v>80432</v>
      </c>
      <c r="O91" s="2"/>
      <c r="P91" s="2"/>
      <c r="Q91" s="31" t="s">
        <v>204</v>
      </c>
      <c r="R91" s="64">
        <f>+K91+K92</f>
        <v>121532</v>
      </c>
      <c r="S91" s="62"/>
      <c r="T91" s="5"/>
    </row>
    <row r="92" spans="1:20" hidden="1">
      <c r="A92" s="2" t="s">
        <v>915</v>
      </c>
      <c r="B92" s="2" t="s">
        <v>945</v>
      </c>
      <c r="C92" s="2" t="s">
        <v>162</v>
      </c>
      <c r="D92" s="16">
        <v>90</v>
      </c>
      <c r="E92" s="2" t="s">
        <v>924</v>
      </c>
      <c r="F92" s="2" t="s">
        <v>904</v>
      </c>
      <c r="G92" s="2" t="s">
        <v>946</v>
      </c>
      <c r="H92" s="17">
        <v>41100</v>
      </c>
      <c r="I92" s="2"/>
      <c r="J92" s="2"/>
      <c r="K92" s="17">
        <v>41100</v>
      </c>
      <c r="L92" s="17">
        <v>4403.57</v>
      </c>
      <c r="M92" s="17">
        <v>36696.43</v>
      </c>
      <c r="N92" s="17">
        <v>41100</v>
      </c>
      <c r="O92" s="2"/>
      <c r="P92" s="2"/>
      <c r="Q92" s="31" t="s">
        <v>204</v>
      </c>
      <c r="R92" s="65"/>
      <c r="S92" s="62"/>
      <c r="T92" s="5"/>
    </row>
    <row r="93" spans="1:20" hidden="1">
      <c r="A93" s="2" t="s">
        <v>1372</v>
      </c>
      <c r="B93" s="2" t="s">
        <v>1375</v>
      </c>
      <c r="C93" s="2" t="s">
        <v>162</v>
      </c>
      <c r="D93" s="16">
        <v>90</v>
      </c>
      <c r="E93" s="2" t="s">
        <v>1376</v>
      </c>
      <c r="F93" s="2" t="s">
        <v>1377</v>
      </c>
      <c r="G93" s="2" t="s">
        <v>1378</v>
      </c>
      <c r="H93" s="17">
        <v>116200</v>
      </c>
      <c r="I93" s="2"/>
      <c r="J93" s="2"/>
      <c r="K93" s="17">
        <v>116200</v>
      </c>
      <c r="L93" s="17">
        <v>12450</v>
      </c>
      <c r="M93" s="17">
        <v>103750</v>
      </c>
      <c r="N93" s="17">
        <v>116200</v>
      </c>
      <c r="O93" s="2"/>
      <c r="P93" s="2"/>
      <c r="Q93" s="31" t="s">
        <v>204</v>
      </c>
      <c r="R93" s="41">
        <f>+K93</f>
        <v>116200</v>
      </c>
      <c r="S93" s="62"/>
      <c r="T93" s="5"/>
    </row>
    <row r="94" spans="1:20" hidden="1">
      <c r="A94" s="2" t="s">
        <v>1287</v>
      </c>
      <c r="B94" s="2" t="s">
        <v>1314</v>
      </c>
      <c r="C94" s="2" t="s">
        <v>162</v>
      </c>
      <c r="D94" s="16">
        <v>90</v>
      </c>
      <c r="E94" s="2" t="s">
        <v>1315</v>
      </c>
      <c r="F94" s="2" t="s">
        <v>1316</v>
      </c>
      <c r="G94" s="2" t="s">
        <v>1317</v>
      </c>
      <c r="H94" s="17">
        <v>45720</v>
      </c>
      <c r="I94" s="2"/>
      <c r="J94" s="2"/>
      <c r="K94" s="17">
        <v>45720</v>
      </c>
      <c r="L94" s="17">
        <v>4898.57</v>
      </c>
      <c r="M94" s="17">
        <v>40821.43</v>
      </c>
      <c r="N94" s="17">
        <v>45720</v>
      </c>
      <c r="O94" s="2"/>
      <c r="P94" s="2"/>
      <c r="Q94" s="31" t="s">
        <v>204</v>
      </c>
      <c r="R94" s="39">
        <f>+K94</f>
        <v>45720</v>
      </c>
      <c r="S94" s="63"/>
      <c r="T94" s="5"/>
    </row>
    <row r="95" spans="1:20" hidden="1">
      <c r="A95" s="2" t="s">
        <v>1553</v>
      </c>
      <c r="B95" s="2" t="s">
        <v>1579</v>
      </c>
      <c r="C95" s="2" t="s">
        <v>146</v>
      </c>
      <c r="D95" s="16">
        <v>90</v>
      </c>
      <c r="E95" s="2" t="s">
        <v>1554</v>
      </c>
      <c r="F95" s="2" t="s">
        <v>1580</v>
      </c>
      <c r="G95" s="2" t="s">
        <v>1581</v>
      </c>
      <c r="H95" s="17">
        <v>2105000</v>
      </c>
      <c r="I95" s="2"/>
      <c r="J95" s="2"/>
      <c r="K95" s="17">
        <v>2105000</v>
      </c>
      <c r="L95" s="17">
        <v>225535.71</v>
      </c>
      <c r="M95" s="17">
        <v>1879464.29</v>
      </c>
      <c r="N95" s="17">
        <v>2105000</v>
      </c>
      <c r="O95" s="2"/>
      <c r="P95" s="2"/>
      <c r="Q95" s="31" t="s">
        <v>759</v>
      </c>
      <c r="R95" s="61">
        <f>+K95+K96</f>
        <v>3601900</v>
      </c>
      <c r="S95" s="61">
        <f>+R95+R97+R100+R101+R103</f>
        <v>8375219</v>
      </c>
      <c r="T95" s="5"/>
    </row>
    <row r="96" spans="1:20" hidden="1">
      <c r="A96" s="2" t="s">
        <v>1553</v>
      </c>
      <c r="B96" s="2" t="s">
        <v>1582</v>
      </c>
      <c r="C96" s="2" t="s">
        <v>146</v>
      </c>
      <c r="D96" s="16">
        <v>90</v>
      </c>
      <c r="E96" s="2" t="s">
        <v>1554</v>
      </c>
      <c r="F96" s="2" t="s">
        <v>1580</v>
      </c>
      <c r="G96" s="2" t="s">
        <v>1583</v>
      </c>
      <c r="H96" s="17">
        <v>1496900</v>
      </c>
      <c r="I96" s="2"/>
      <c r="J96" s="2"/>
      <c r="K96" s="17">
        <v>1496900</v>
      </c>
      <c r="L96" s="17">
        <v>160382.14000000001</v>
      </c>
      <c r="M96" s="17">
        <v>1336517.8600000001</v>
      </c>
      <c r="N96" s="17">
        <v>1496900</v>
      </c>
      <c r="O96" s="2"/>
      <c r="P96" s="2"/>
      <c r="Q96" s="31" t="s">
        <v>759</v>
      </c>
      <c r="R96" s="63"/>
      <c r="S96" s="62"/>
      <c r="T96" s="5"/>
    </row>
    <row r="97" spans="1:20" hidden="1">
      <c r="A97" s="2" t="s">
        <v>689</v>
      </c>
      <c r="B97" s="2" t="s">
        <v>758</v>
      </c>
      <c r="C97" s="2" t="s">
        <v>237</v>
      </c>
      <c r="D97" s="16">
        <v>60</v>
      </c>
      <c r="E97" s="2" t="s">
        <v>692</v>
      </c>
      <c r="F97" s="2" t="s">
        <v>760</v>
      </c>
      <c r="G97" s="2" t="s">
        <v>761</v>
      </c>
      <c r="H97" s="17">
        <v>89550</v>
      </c>
      <c r="I97" s="2"/>
      <c r="J97" s="2"/>
      <c r="K97" s="17">
        <v>89550</v>
      </c>
      <c r="L97" s="17">
        <v>9594.64</v>
      </c>
      <c r="M97" s="17">
        <v>79955.360000000001</v>
      </c>
      <c r="N97" s="17">
        <v>89550</v>
      </c>
      <c r="O97" s="2"/>
      <c r="P97" s="2"/>
      <c r="Q97" s="31" t="s">
        <v>759</v>
      </c>
      <c r="R97" s="61">
        <f>+K97+K98+K99</f>
        <v>574350</v>
      </c>
      <c r="S97" s="62"/>
      <c r="T97" s="5"/>
    </row>
    <row r="98" spans="1:20" hidden="1">
      <c r="A98" s="2" t="s">
        <v>1372</v>
      </c>
      <c r="B98" s="2" t="s">
        <v>1426</v>
      </c>
      <c r="C98" s="2" t="s">
        <v>237</v>
      </c>
      <c r="D98" s="16">
        <v>60</v>
      </c>
      <c r="E98" s="2" t="s">
        <v>1373</v>
      </c>
      <c r="F98" s="2" t="s">
        <v>760</v>
      </c>
      <c r="G98" s="2" t="s">
        <v>1427</v>
      </c>
      <c r="H98" s="17">
        <v>242400</v>
      </c>
      <c r="I98" s="2"/>
      <c r="J98" s="2"/>
      <c r="K98" s="17">
        <v>242400</v>
      </c>
      <c r="L98" s="17">
        <v>25971.43</v>
      </c>
      <c r="M98" s="17">
        <v>216428.57</v>
      </c>
      <c r="N98" s="17">
        <v>242400</v>
      </c>
      <c r="O98" s="2"/>
      <c r="P98" s="2"/>
      <c r="Q98" s="31" t="s">
        <v>759</v>
      </c>
      <c r="R98" s="62"/>
      <c r="S98" s="62"/>
      <c r="T98" s="5"/>
    </row>
    <row r="99" spans="1:20" hidden="1">
      <c r="A99" s="2" t="s">
        <v>1372</v>
      </c>
      <c r="B99" s="2" t="s">
        <v>1428</v>
      </c>
      <c r="C99" s="2" t="s">
        <v>237</v>
      </c>
      <c r="D99" s="16">
        <v>60</v>
      </c>
      <c r="E99" s="2" t="s">
        <v>1373</v>
      </c>
      <c r="F99" s="2" t="s">
        <v>760</v>
      </c>
      <c r="G99" s="2" t="s">
        <v>1429</v>
      </c>
      <c r="H99" s="17">
        <v>242400</v>
      </c>
      <c r="I99" s="2"/>
      <c r="J99" s="2"/>
      <c r="K99" s="17">
        <v>242400</v>
      </c>
      <c r="L99" s="17">
        <v>25971.43</v>
      </c>
      <c r="M99" s="17">
        <v>216428.57</v>
      </c>
      <c r="N99" s="17">
        <v>242400</v>
      </c>
      <c r="O99" s="2"/>
      <c r="P99" s="2"/>
      <c r="Q99" s="31" t="s">
        <v>759</v>
      </c>
      <c r="R99" s="63"/>
      <c r="S99" s="62"/>
      <c r="T99" s="5"/>
    </row>
    <row r="100" spans="1:20" hidden="1">
      <c r="A100" s="2" t="s">
        <v>1217</v>
      </c>
      <c r="B100" s="2" t="s">
        <v>1254</v>
      </c>
      <c r="C100" s="2" t="s">
        <v>146</v>
      </c>
      <c r="D100" s="16">
        <v>90</v>
      </c>
      <c r="E100" s="2" t="s">
        <v>1235</v>
      </c>
      <c r="F100" s="2" t="s">
        <v>1255</v>
      </c>
      <c r="G100" s="2" t="s">
        <v>1256</v>
      </c>
      <c r="H100" s="17">
        <v>2280000</v>
      </c>
      <c r="I100" s="2"/>
      <c r="J100" s="2"/>
      <c r="K100" s="17">
        <v>2280000</v>
      </c>
      <c r="L100" s="17">
        <v>244285.71</v>
      </c>
      <c r="M100" s="17">
        <v>2035714.29</v>
      </c>
      <c r="N100" s="17">
        <v>2280000</v>
      </c>
      <c r="O100" s="2"/>
      <c r="P100" s="2"/>
      <c r="Q100" s="31" t="s">
        <v>759</v>
      </c>
      <c r="R100" s="32">
        <f>+K100</f>
        <v>2280000</v>
      </c>
      <c r="S100" s="62"/>
      <c r="T100" s="5"/>
    </row>
    <row r="101" spans="1:20" hidden="1">
      <c r="A101" s="2" t="s">
        <v>689</v>
      </c>
      <c r="B101" s="2" t="s">
        <v>765</v>
      </c>
      <c r="C101" s="2" t="s">
        <v>146</v>
      </c>
      <c r="D101" s="16">
        <v>90</v>
      </c>
      <c r="E101" s="2" t="s">
        <v>751</v>
      </c>
      <c r="F101" s="2" t="s">
        <v>766</v>
      </c>
      <c r="G101" s="2" t="s">
        <v>767</v>
      </c>
      <c r="H101" s="17">
        <v>89550</v>
      </c>
      <c r="I101" s="2"/>
      <c r="J101" s="2"/>
      <c r="K101" s="17">
        <v>89550</v>
      </c>
      <c r="L101" s="17">
        <v>9594.64</v>
      </c>
      <c r="M101" s="17">
        <v>79955.360000000001</v>
      </c>
      <c r="N101" s="17">
        <v>89550</v>
      </c>
      <c r="O101" s="2"/>
      <c r="P101" s="2"/>
      <c r="Q101" s="31" t="s">
        <v>759</v>
      </c>
      <c r="R101" s="61">
        <f>+K101+K102</f>
        <v>331911</v>
      </c>
      <c r="S101" s="62"/>
      <c r="T101" s="5"/>
    </row>
    <row r="102" spans="1:20" hidden="1">
      <c r="A102" s="2" t="s">
        <v>915</v>
      </c>
      <c r="B102" s="2" t="s">
        <v>923</v>
      </c>
      <c r="C102" s="2" t="s">
        <v>146</v>
      </c>
      <c r="D102" s="16">
        <v>90</v>
      </c>
      <c r="E102" s="2" t="s">
        <v>924</v>
      </c>
      <c r="F102" s="2" t="s">
        <v>766</v>
      </c>
      <c r="G102" s="2" t="s">
        <v>925</v>
      </c>
      <c r="H102" s="17">
        <v>242361</v>
      </c>
      <c r="I102" s="2"/>
      <c r="J102" s="2"/>
      <c r="K102" s="17">
        <v>242361</v>
      </c>
      <c r="L102" s="17">
        <v>25967.25</v>
      </c>
      <c r="M102" s="17">
        <v>216393.75</v>
      </c>
      <c r="N102" s="17">
        <v>242361</v>
      </c>
      <c r="O102" s="2"/>
      <c r="P102" s="2"/>
      <c r="Q102" s="31" t="s">
        <v>759</v>
      </c>
      <c r="R102" s="63"/>
      <c r="S102" s="62"/>
      <c r="T102" s="5"/>
    </row>
    <row r="103" spans="1:20" hidden="1">
      <c r="A103" s="2" t="s">
        <v>689</v>
      </c>
      <c r="B103" s="2" t="s">
        <v>762</v>
      </c>
      <c r="C103" s="2" t="s">
        <v>146</v>
      </c>
      <c r="D103" s="16">
        <v>90</v>
      </c>
      <c r="E103" s="2" t="s">
        <v>751</v>
      </c>
      <c r="F103" s="2" t="s">
        <v>763</v>
      </c>
      <c r="G103" s="2" t="s">
        <v>764</v>
      </c>
      <c r="H103" s="17">
        <v>49500</v>
      </c>
      <c r="I103" s="2"/>
      <c r="J103" s="2"/>
      <c r="K103" s="17">
        <v>49500</v>
      </c>
      <c r="L103" s="17">
        <v>5303.57</v>
      </c>
      <c r="M103" s="17">
        <v>44196.43</v>
      </c>
      <c r="N103" s="17">
        <v>49500</v>
      </c>
      <c r="O103" s="2"/>
      <c r="P103" s="2"/>
      <c r="Q103" s="31" t="s">
        <v>759</v>
      </c>
      <c r="R103" s="61">
        <f>+K103+K104+K105+K106</f>
        <v>1587058</v>
      </c>
      <c r="S103" s="62"/>
      <c r="T103" s="5"/>
    </row>
    <row r="104" spans="1:20" hidden="1">
      <c r="A104" s="2" t="s">
        <v>971</v>
      </c>
      <c r="B104" s="2" t="s">
        <v>985</v>
      </c>
      <c r="C104" s="2" t="s">
        <v>162</v>
      </c>
      <c r="D104" s="16">
        <v>90</v>
      </c>
      <c r="E104" s="2" t="s">
        <v>986</v>
      </c>
      <c r="F104" s="2" t="s">
        <v>763</v>
      </c>
      <c r="G104" s="2" t="s">
        <v>987</v>
      </c>
      <c r="H104" s="17">
        <v>20070</v>
      </c>
      <c r="I104" s="2"/>
      <c r="J104" s="2"/>
      <c r="K104" s="17">
        <v>20070</v>
      </c>
      <c r="L104" s="17">
        <v>2150.36</v>
      </c>
      <c r="M104" s="17">
        <v>17919.64</v>
      </c>
      <c r="N104" s="17">
        <v>20070</v>
      </c>
      <c r="O104" s="2"/>
      <c r="P104" s="2"/>
      <c r="Q104" s="31" t="s">
        <v>759</v>
      </c>
      <c r="R104" s="62"/>
      <c r="S104" s="62"/>
      <c r="T104" s="5"/>
    </row>
    <row r="105" spans="1:20" hidden="1">
      <c r="A105" s="2" t="s">
        <v>971</v>
      </c>
      <c r="B105" s="2" t="s">
        <v>988</v>
      </c>
      <c r="C105" s="2" t="s">
        <v>162</v>
      </c>
      <c r="D105" s="16">
        <v>90</v>
      </c>
      <c r="E105" s="2" t="s">
        <v>986</v>
      </c>
      <c r="F105" s="2" t="s">
        <v>763</v>
      </c>
      <c r="G105" s="2" t="s">
        <v>989</v>
      </c>
      <c r="H105" s="17">
        <v>781060</v>
      </c>
      <c r="I105" s="2"/>
      <c r="J105" s="2"/>
      <c r="K105" s="17">
        <v>781060</v>
      </c>
      <c r="L105" s="17">
        <v>83685</v>
      </c>
      <c r="M105" s="17">
        <v>697375</v>
      </c>
      <c r="N105" s="17">
        <v>781060</v>
      </c>
      <c r="O105" s="2"/>
      <c r="P105" s="2"/>
      <c r="Q105" s="31" t="s">
        <v>759</v>
      </c>
      <c r="R105" s="62"/>
      <c r="S105" s="62"/>
      <c r="T105" s="5"/>
    </row>
    <row r="106" spans="1:20" hidden="1">
      <c r="A106" s="2" t="s">
        <v>1467</v>
      </c>
      <c r="B106" s="2" t="s">
        <v>1522</v>
      </c>
      <c r="C106" s="2" t="s">
        <v>162</v>
      </c>
      <c r="D106" s="16">
        <v>90</v>
      </c>
      <c r="E106" s="2" t="s">
        <v>1479</v>
      </c>
      <c r="F106" s="2" t="s">
        <v>763</v>
      </c>
      <c r="G106" s="2" t="s">
        <v>1523</v>
      </c>
      <c r="H106" s="17">
        <v>736428</v>
      </c>
      <c r="I106" s="2"/>
      <c r="J106" s="2"/>
      <c r="K106" s="17">
        <v>736428</v>
      </c>
      <c r="L106" s="17">
        <v>78903</v>
      </c>
      <c r="M106" s="17">
        <v>657525</v>
      </c>
      <c r="N106" s="17">
        <v>736428</v>
      </c>
      <c r="O106" s="2"/>
      <c r="P106" s="2"/>
      <c r="Q106" s="31" t="s">
        <v>759</v>
      </c>
      <c r="R106" s="63"/>
      <c r="S106" s="63"/>
      <c r="T106" s="5"/>
    </row>
    <row r="107" spans="1:20" hidden="1">
      <c r="A107" s="2" t="s">
        <v>368</v>
      </c>
      <c r="B107" s="2" t="s">
        <v>422</v>
      </c>
      <c r="C107" s="2" t="s">
        <v>162</v>
      </c>
      <c r="D107" s="16">
        <v>90</v>
      </c>
      <c r="E107" s="2" t="s">
        <v>383</v>
      </c>
      <c r="F107" s="2" t="s">
        <v>424</v>
      </c>
      <c r="G107" s="2" t="s">
        <v>425</v>
      </c>
      <c r="H107" s="17">
        <v>32000</v>
      </c>
      <c r="I107" s="2"/>
      <c r="J107" s="2"/>
      <c r="K107" s="17">
        <v>32000</v>
      </c>
      <c r="L107" s="17">
        <v>3428.57</v>
      </c>
      <c r="M107" s="17">
        <v>28571.43</v>
      </c>
      <c r="N107" s="17">
        <v>32000</v>
      </c>
      <c r="O107" s="2"/>
      <c r="P107" s="2"/>
      <c r="Q107" s="31" t="s">
        <v>423</v>
      </c>
      <c r="R107" s="61">
        <f>+K107+K108+K109</f>
        <v>137000</v>
      </c>
      <c r="S107" s="61">
        <f>+R107</f>
        <v>137000</v>
      </c>
      <c r="T107" s="5"/>
    </row>
    <row r="108" spans="1:20" hidden="1">
      <c r="A108" s="2" t="s">
        <v>637</v>
      </c>
      <c r="B108" s="2" t="s">
        <v>675</v>
      </c>
      <c r="C108" s="2" t="s">
        <v>162</v>
      </c>
      <c r="D108" s="16">
        <v>90</v>
      </c>
      <c r="E108" s="2" t="s">
        <v>655</v>
      </c>
      <c r="F108" s="2" t="s">
        <v>424</v>
      </c>
      <c r="G108" s="2" t="s">
        <v>676</v>
      </c>
      <c r="H108" s="17">
        <v>88200</v>
      </c>
      <c r="I108" s="2"/>
      <c r="J108" s="2"/>
      <c r="K108" s="17">
        <v>88200</v>
      </c>
      <c r="L108" s="17">
        <v>9450</v>
      </c>
      <c r="M108" s="17">
        <v>78750</v>
      </c>
      <c r="N108" s="17">
        <v>88200</v>
      </c>
      <c r="O108" s="2"/>
      <c r="P108" s="2"/>
      <c r="Q108" s="31" t="s">
        <v>423</v>
      </c>
      <c r="R108" s="62"/>
      <c r="S108" s="62"/>
      <c r="T108" s="5"/>
    </row>
    <row r="109" spans="1:20" hidden="1">
      <c r="A109" s="2" t="s">
        <v>1287</v>
      </c>
      <c r="B109" s="2" t="s">
        <v>1369</v>
      </c>
      <c r="C109" s="2" t="s">
        <v>162</v>
      </c>
      <c r="D109" s="16">
        <v>90</v>
      </c>
      <c r="E109" s="2" t="s">
        <v>1315</v>
      </c>
      <c r="F109" s="2" t="s">
        <v>424</v>
      </c>
      <c r="G109" s="2" t="s">
        <v>1370</v>
      </c>
      <c r="H109" s="17">
        <v>16800</v>
      </c>
      <c r="I109" s="2"/>
      <c r="J109" s="2"/>
      <c r="K109" s="17">
        <v>16800</v>
      </c>
      <c r="L109" s="17">
        <v>1800</v>
      </c>
      <c r="M109" s="17">
        <v>15000</v>
      </c>
      <c r="N109" s="17">
        <v>16800</v>
      </c>
      <c r="O109" s="2"/>
      <c r="P109" s="2"/>
      <c r="Q109" s="31" t="s">
        <v>423</v>
      </c>
      <c r="R109" s="63"/>
      <c r="S109" s="63"/>
      <c r="T109" s="5"/>
    </row>
    <row r="110" spans="1:20" hidden="1">
      <c r="A110" s="2" t="s">
        <v>368</v>
      </c>
      <c r="B110" s="2" t="s">
        <v>405</v>
      </c>
      <c r="C110" s="2" t="s">
        <v>60</v>
      </c>
      <c r="D110" s="16">
        <v>0</v>
      </c>
      <c r="E110" s="2" t="s">
        <v>368</v>
      </c>
      <c r="F110" s="2" t="s">
        <v>406</v>
      </c>
      <c r="G110" s="2" t="s">
        <v>407</v>
      </c>
      <c r="H110" s="17">
        <v>117600</v>
      </c>
      <c r="I110" s="19">
        <v>-3528</v>
      </c>
      <c r="J110" s="2"/>
      <c r="K110" s="17">
        <v>114072</v>
      </c>
      <c r="L110" s="17">
        <v>12222</v>
      </c>
      <c r="M110" s="17">
        <v>101850</v>
      </c>
      <c r="N110" s="17">
        <v>114072</v>
      </c>
      <c r="O110" s="2"/>
      <c r="P110" s="2"/>
      <c r="Q110" s="31" t="s">
        <v>30</v>
      </c>
      <c r="R110" s="64">
        <f>+K110+K111</f>
        <v>820232</v>
      </c>
      <c r="S110" s="61">
        <f>+R110+R112+R115+R116+R117+R119+R120+R121+R123+R126+R127+R133+R134+R135+R175+R177+R180+R184+R185+R196+R201</f>
        <v>16117059.59</v>
      </c>
      <c r="T110" s="5"/>
    </row>
    <row r="111" spans="1:20" hidden="1">
      <c r="A111" s="2" t="s">
        <v>1553</v>
      </c>
      <c r="B111" s="2" t="s">
        <v>1591</v>
      </c>
      <c r="C111" s="2" t="s">
        <v>60</v>
      </c>
      <c r="D111" s="16">
        <v>0</v>
      </c>
      <c r="E111" s="2" t="s">
        <v>1553</v>
      </c>
      <c r="F111" s="2" t="s">
        <v>406</v>
      </c>
      <c r="G111" s="2" t="s">
        <v>1592</v>
      </c>
      <c r="H111" s="17">
        <v>728000</v>
      </c>
      <c r="I111" s="19">
        <v>-21840</v>
      </c>
      <c r="J111" s="2"/>
      <c r="K111" s="17">
        <v>706160</v>
      </c>
      <c r="L111" s="17">
        <v>75660</v>
      </c>
      <c r="M111" s="17">
        <v>630500</v>
      </c>
      <c r="N111" s="17">
        <v>706160</v>
      </c>
      <c r="O111" s="2"/>
      <c r="P111" s="2"/>
      <c r="Q111" s="31" t="s">
        <v>30</v>
      </c>
      <c r="R111" s="65"/>
      <c r="S111" s="62"/>
      <c r="T111" s="5"/>
    </row>
    <row r="112" spans="1:20" hidden="1">
      <c r="A112" s="2" t="s">
        <v>448</v>
      </c>
      <c r="B112" s="2" t="s">
        <v>489</v>
      </c>
      <c r="C112" s="2" t="s">
        <v>104</v>
      </c>
      <c r="D112" s="16">
        <v>0</v>
      </c>
      <c r="E112" s="2" t="s">
        <v>448</v>
      </c>
      <c r="F112" s="2" t="s">
        <v>490</v>
      </c>
      <c r="G112" s="2" t="s">
        <v>491</v>
      </c>
      <c r="H112" s="17">
        <v>625460</v>
      </c>
      <c r="I112" s="2"/>
      <c r="J112" s="2"/>
      <c r="K112" s="17">
        <v>625460</v>
      </c>
      <c r="L112" s="17">
        <v>67013.570000000007</v>
      </c>
      <c r="M112" s="17">
        <v>558446.43000000005</v>
      </c>
      <c r="N112" s="17">
        <v>625460</v>
      </c>
      <c r="O112" s="2"/>
      <c r="P112" s="2"/>
      <c r="Q112" s="31" t="s">
        <v>30</v>
      </c>
      <c r="R112" s="64">
        <f>+K112+K113+K114</f>
        <v>1698032</v>
      </c>
      <c r="S112" s="62"/>
      <c r="T112" s="5"/>
    </row>
    <row r="113" spans="1:20" hidden="1">
      <c r="A113" s="2" t="s">
        <v>689</v>
      </c>
      <c r="B113" s="2" t="s">
        <v>740</v>
      </c>
      <c r="C113" s="2" t="s">
        <v>104</v>
      </c>
      <c r="D113" s="16">
        <v>0</v>
      </c>
      <c r="E113" s="2" t="s">
        <v>689</v>
      </c>
      <c r="F113" s="2" t="s">
        <v>490</v>
      </c>
      <c r="G113" s="2" t="s">
        <v>741</v>
      </c>
      <c r="H113" s="17">
        <v>770100</v>
      </c>
      <c r="I113" s="2"/>
      <c r="J113" s="2"/>
      <c r="K113" s="17">
        <v>770100</v>
      </c>
      <c r="L113" s="17">
        <v>82510.710000000006</v>
      </c>
      <c r="M113" s="17">
        <v>687589.29</v>
      </c>
      <c r="N113" s="17">
        <v>770100</v>
      </c>
      <c r="O113" s="2"/>
      <c r="P113" s="2"/>
      <c r="Q113" s="31" t="s">
        <v>30</v>
      </c>
      <c r="R113" s="66"/>
      <c r="S113" s="62"/>
      <c r="T113" s="5"/>
    </row>
    <row r="114" spans="1:20" hidden="1">
      <c r="A114" s="2" t="s">
        <v>769</v>
      </c>
      <c r="B114" s="2" t="s">
        <v>843</v>
      </c>
      <c r="C114" s="2" t="s">
        <v>104</v>
      </c>
      <c r="D114" s="16">
        <v>0</v>
      </c>
      <c r="E114" s="2" t="s">
        <v>769</v>
      </c>
      <c r="F114" s="2" t="s">
        <v>490</v>
      </c>
      <c r="G114" s="2" t="s">
        <v>844</v>
      </c>
      <c r="H114" s="17">
        <v>302472</v>
      </c>
      <c r="I114" s="2"/>
      <c r="J114" s="2"/>
      <c r="K114" s="17">
        <v>302472</v>
      </c>
      <c r="L114" s="17">
        <v>32407.71</v>
      </c>
      <c r="M114" s="17">
        <v>270064.28999999998</v>
      </c>
      <c r="N114" s="17">
        <v>302472</v>
      </c>
      <c r="O114" s="2"/>
      <c r="P114" s="2"/>
      <c r="Q114" s="31" t="s">
        <v>30</v>
      </c>
      <c r="R114" s="65"/>
      <c r="S114" s="62"/>
      <c r="T114" s="5"/>
    </row>
    <row r="115" spans="1:20" hidden="1">
      <c r="A115" s="2" t="s">
        <v>505</v>
      </c>
      <c r="B115" s="2" t="s">
        <v>585</v>
      </c>
      <c r="C115" s="2" t="s">
        <v>18</v>
      </c>
      <c r="D115" s="16">
        <v>0</v>
      </c>
      <c r="E115" s="2" t="s">
        <v>505</v>
      </c>
      <c r="F115" s="2" t="s">
        <v>586</v>
      </c>
      <c r="G115" s="2" t="s">
        <v>587</v>
      </c>
      <c r="H115" s="17">
        <v>140000</v>
      </c>
      <c r="I115" s="2"/>
      <c r="J115" s="2"/>
      <c r="K115" s="17">
        <v>140000</v>
      </c>
      <c r="L115" s="17">
        <v>15000</v>
      </c>
      <c r="M115" s="17">
        <v>125000</v>
      </c>
      <c r="N115" s="17">
        <v>140000</v>
      </c>
      <c r="O115" s="2"/>
      <c r="P115" s="2"/>
      <c r="Q115" s="31" t="s">
        <v>30</v>
      </c>
      <c r="R115" s="41">
        <f>+K115</f>
        <v>140000</v>
      </c>
      <c r="S115" s="62"/>
      <c r="T115" s="5"/>
    </row>
    <row r="116" spans="1:20" hidden="1">
      <c r="A116" s="2" t="s">
        <v>93</v>
      </c>
      <c r="B116" s="2" t="s">
        <v>131</v>
      </c>
      <c r="C116" s="2" t="s">
        <v>132</v>
      </c>
      <c r="D116" s="16">
        <v>0</v>
      </c>
      <c r="E116" s="2" t="s">
        <v>93</v>
      </c>
      <c r="F116" s="2" t="s">
        <v>133</v>
      </c>
      <c r="G116" s="2" t="s">
        <v>134</v>
      </c>
      <c r="H116" s="17">
        <v>55350</v>
      </c>
      <c r="I116" s="2"/>
      <c r="J116" s="2"/>
      <c r="K116" s="17">
        <v>55350</v>
      </c>
      <c r="L116" s="17">
        <v>5930.36</v>
      </c>
      <c r="M116" s="17">
        <v>49419.64</v>
      </c>
      <c r="N116" s="17">
        <v>55350</v>
      </c>
      <c r="O116" s="2"/>
      <c r="P116" s="2"/>
      <c r="Q116" s="31" t="s">
        <v>30</v>
      </c>
      <c r="R116" s="41">
        <f>+K116</f>
        <v>55350</v>
      </c>
      <c r="S116" s="62"/>
      <c r="T116" s="5"/>
    </row>
    <row r="117" spans="1:20" hidden="1">
      <c r="A117" s="2" t="s">
        <v>93</v>
      </c>
      <c r="B117" s="2" t="s">
        <v>183</v>
      </c>
      <c r="C117" s="2" t="s">
        <v>60</v>
      </c>
      <c r="D117" s="16">
        <v>0</v>
      </c>
      <c r="E117" s="2" t="s">
        <v>93</v>
      </c>
      <c r="F117" s="2" t="s">
        <v>184</v>
      </c>
      <c r="G117" s="2" t="s">
        <v>185</v>
      </c>
      <c r="H117" s="17">
        <v>110631.75</v>
      </c>
      <c r="I117" s="2"/>
      <c r="J117" s="2"/>
      <c r="K117" s="17">
        <v>110631.75</v>
      </c>
      <c r="L117" s="17">
        <v>11853.4</v>
      </c>
      <c r="M117" s="17">
        <v>98778.35</v>
      </c>
      <c r="N117" s="17">
        <v>110631.75</v>
      </c>
      <c r="O117" s="2"/>
      <c r="P117" s="2"/>
      <c r="Q117" s="31" t="s">
        <v>30</v>
      </c>
      <c r="R117" s="64">
        <f>+K117+K118</f>
        <v>315631.75</v>
      </c>
      <c r="S117" s="62"/>
      <c r="T117" s="5"/>
    </row>
    <row r="118" spans="1:20" hidden="1">
      <c r="A118" s="2" t="s">
        <v>769</v>
      </c>
      <c r="B118" s="2" t="s">
        <v>776</v>
      </c>
      <c r="C118" s="2" t="s">
        <v>60</v>
      </c>
      <c r="D118" s="16">
        <v>0</v>
      </c>
      <c r="E118" s="2" t="s">
        <v>769</v>
      </c>
      <c r="F118" s="2" t="s">
        <v>184</v>
      </c>
      <c r="G118" s="2" t="s">
        <v>777</v>
      </c>
      <c r="H118" s="17">
        <v>205000</v>
      </c>
      <c r="I118" s="2"/>
      <c r="J118" s="2"/>
      <c r="K118" s="17">
        <v>205000</v>
      </c>
      <c r="L118" s="17">
        <v>21964.29</v>
      </c>
      <c r="M118" s="17">
        <v>183035.71</v>
      </c>
      <c r="N118" s="17">
        <v>205000</v>
      </c>
      <c r="O118" s="2"/>
      <c r="P118" s="2"/>
      <c r="Q118" s="31" t="s">
        <v>30</v>
      </c>
      <c r="R118" s="65"/>
      <c r="S118" s="62"/>
      <c r="T118" s="5"/>
    </row>
    <row r="119" spans="1:20" hidden="1">
      <c r="A119" s="2" t="s">
        <v>971</v>
      </c>
      <c r="B119" s="2" t="s">
        <v>970</v>
      </c>
      <c r="C119" s="2" t="s">
        <v>972</v>
      </c>
      <c r="D119" s="16">
        <v>15</v>
      </c>
      <c r="E119" s="2" t="s">
        <v>296</v>
      </c>
      <c r="F119" s="2" t="s">
        <v>973</v>
      </c>
      <c r="G119" s="2" t="s">
        <v>974</v>
      </c>
      <c r="H119" s="17">
        <v>45600</v>
      </c>
      <c r="I119" s="2"/>
      <c r="J119" s="2"/>
      <c r="K119" s="17">
        <v>45600</v>
      </c>
      <c r="L119" s="17">
        <v>4885.71</v>
      </c>
      <c r="M119" s="17">
        <v>40714.29</v>
      </c>
      <c r="N119" s="17">
        <v>45600</v>
      </c>
      <c r="O119" s="2"/>
      <c r="P119" s="2"/>
      <c r="Q119" s="31" t="s">
        <v>30</v>
      </c>
      <c r="R119" s="41">
        <f>+K119</f>
        <v>45600</v>
      </c>
      <c r="S119" s="62"/>
      <c r="T119" s="5"/>
    </row>
    <row r="120" spans="1:20" hidden="1">
      <c r="A120" s="2" t="s">
        <v>1117</v>
      </c>
      <c r="B120" s="2" t="s">
        <v>1148</v>
      </c>
      <c r="C120" s="2" t="s">
        <v>23</v>
      </c>
      <c r="D120" s="16">
        <v>30</v>
      </c>
      <c r="E120" s="2" t="s">
        <v>1118</v>
      </c>
      <c r="F120" s="2" t="s">
        <v>1149</v>
      </c>
      <c r="G120" s="2" t="s">
        <v>1150</v>
      </c>
      <c r="H120" s="17">
        <v>77750</v>
      </c>
      <c r="I120" s="2"/>
      <c r="J120" s="2"/>
      <c r="K120" s="17">
        <v>77750</v>
      </c>
      <c r="L120" s="17">
        <v>8330.36</v>
      </c>
      <c r="M120" s="17">
        <v>69419.64</v>
      </c>
      <c r="N120" s="17">
        <v>77750</v>
      </c>
      <c r="O120" s="2"/>
      <c r="P120" s="2"/>
      <c r="Q120" s="31" t="s">
        <v>30</v>
      </c>
      <c r="R120" s="41">
        <f>+K120</f>
        <v>77750</v>
      </c>
      <c r="S120" s="62"/>
      <c r="T120" s="5"/>
    </row>
    <row r="121" spans="1:20" hidden="1">
      <c r="A121" s="2" t="s">
        <v>368</v>
      </c>
      <c r="B121" s="2" t="s">
        <v>382</v>
      </c>
      <c r="C121" s="2" t="s">
        <v>146</v>
      </c>
      <c r="D121" s="16">
        <v>90</v>
      </c>
      <c r="E121" s="2" t="s">
        <v>383</v>
      </c>
      <c r="F121" s="2" t="s">
        <v>384</v>
      </c>
      <c r="G121" s="2" t="s">
        <v>385</v>
      </c>
      <c r="H121" s="17">
        <v>723750</v>
      </c>
      <c r="I121" s="2"/>
      <c r="J121" s="2"/>
      <c r="K121" s="17">
        <v>723750</v>
      </c>
      <c r="L121" s="17">
        <v>77544.639999999999</v>
      </c>
      <c r="M121" s="17">
        <v>646205.36</v>
      </c>
      <c r="N121" s="17">
        <v>723750</v>
      </c>
      <c r="O121" s="2"/>
      <c r="P121" s="2"/>
      <c r="Q121" s="31" t="s">
        <v>30</v>
      </c>
      <c r="R121" s="64">
        <f>+K121+K122</f>
        <v>2039550</v>
      </c>
      <c r="S121" s="62"/>
      <c r="T121" s="5"/>
    </row>
    <row r="122" spans="1:20" hidden="1">
      <c r="A122" s="2" t="s">
        <v>866</v>
      </c>
      <c r="B122" s="2" t="s">
        <v>893</v>
      </c>
      <c r="C122" s="2" t="s">
        <v>146</v>
      </c>
      <c r="D122" s="16">
        <v>90</v>
      </c>
      <c r="E122" s="2" t="s">
        <v>885</v>
      </c>
      <c r="F122" s="2" t="s">
        <v>384</v>
      </c>
      <c r="G122" s="2" t="s">
        <v>894</v>
      </c>
      <c r="H122" s="17">
        <v>1315800</v>
      </c>
      <c r="I122" s="2"/>
      <c r="J122" s="2"/>
      <c r="K122" s="17">
        <v>1315800</v>
      </c>
      <c r="L122" s="17">
        <v>140978.57</v>
      </c>
      <c r="M122" s="17">
        <v>1174821.43</v>
      </c>
      <c r="N122" s="17">
        <v>1315800</v>
      </c>
      <c r="O122" s="2"/>
      <c r="P122" s="2"/>
      <c r="Q122" s="31" t="s">
        <v>30</v>
      </c>
      <c r="R122" s="65"/>
      <c r="S122" s="62"/>
      <c r="T122" s="5"/>
    </row>
    <row r="123" spans="1:20" hidden="1">
      <c r="A123" s="2" t="s">
        <v>596</v>
      </c>
      <c r="B123" s="2" t="s">
        <v>612</v>
      </c>
      <c r="C123" s="2" t="s">
        <v>151</v>
      </c>
      <c r="D123" s="16">
        <v>60</v>
      </c>
      <c r="E123" s="2" t="s">
        <v>613</v>
      </c>
      <c r="F123" s="2" t="s">
        <v>614</v>
      </c>
      <c r="G123" s="2" t="s">
        <v>615</v>
      </c>
      <c r="H123" s="17">
        <v>75600</v>
      </c>
      <c r="I123" s="2"/>
      <c r="J123" s="2"/>
      <c r="K123" s="17">
        <v>75600</v>
      </c>
      <c r="L123" s="17">
        <v>8100</v>
      </c>
      <c r="M123" s="17">
        <v>67500</v>
      </c>
      <c r="N123" s="17">
        <v>75600</v>
      </c>
      <c r="O123" s="2"/>
      <c r="P123" s="2"/>
      <c r="Q123" s="31" t="s">
        <v>30</v>
      </c>
      <c r="R123" s="64">
        <f>+K123+K124+K125</f>
        <v>156225</v>
      </c>
      <c r="S123" s="62"/>
      <c r="T123" s="5"/>
    </row>
    <row r="124" spans="1:20" hidden="1">
      <c r="A124" s="2" t="s">
        <v>915</v>
      </c>
      <c r="B124" s="2" t="s">
        <v>917</v>
      </c>
      <c r="C124" s="2" t="s">
        <v>151</v>
      </c>
      <c r="D124" s="16">
        <v>60</v>
      </c>
      <c r="E124" s="2" t="s">
        <v>918</v>
      </c>
      <c r="F124" s="2" t="s">
        <v>614</v>
      </c>
      <c r="G124" s="2" t="s">
        <v>919</v>
      </c>
      <c r="H124" s="17">
        <v>48720</v>
      </c>
      <c r="I124" s="2"/>
      <c r="J124" s="2"/>
      <c r="K124" s="17">
        <v>48720</v>
      </c>
      <c r="L124" s="17">
        <v>5220</v>
      </c>
      <c r="M124" s="17">
        <v>43500</v>
      </c>
      <c r="N124" s="17">
        <v>48720</v>
      </c>
      <c r="O124" s="2"/>
      <c r="P124" s="2"/>
      <c r="Q124" s="31" t="s">
        <v>30</v>
      </c>
      <c r="R124" s="66"/>
      <c r="S124" s="62"/>
      <c r="T124" s="5"/>
    </row>
    <row r="125" spans="1:20" hidden="1">
      <c r="A125" s="2" t="s">
        <v>1287</v>
      </c>
      <c r="B125" s="2" t="s">
        <v>1330</v>
      </c>
      <c r="C125" s="2" t="s">
        <v>151</v>
      </c>
      <c r="D125" s="16">
        <v>60</v>
      </c>
      <c r="E125" s="2" t="s">
        <v>1331</v>
      </c>
      <c r="F125" s="2" t="s">
        <v>614</v>
      </c>
      <c r="G125" s="2" t="s">
        <v>1332</v>
      </c>
      <c r="H125" s="17">
        <v>31905</v>
      </c>
      <c r="I125" s="2"/>
      <c r="J125" s="2"/>
      <c r="K125" s="17">
        <v>31905</v>
      </c>
      <c r="L125" s="17">
        <v>3418.39</v>
      </c>
      <c r="M125" s="17">
        <v>28486.61</v>
      </c>
      <c r="N125" s="17">
        <v>31905</v>
      </c>
      <c r="O125" s="2"/>
      <c r="P125" s="2"/>
      <c r="Q125" s="31" t="s">
        <v>30</v>
      </c>
      <c r="R125" s="65"/>
      <c r="S125" s="62"/>
      <c r="T125" s="5"/>
    </row>
    <row r="126" spans="1:20" hidden="1">
      <c r="A126" s="2" t="s">
        <v>1287</v>
      </c>
      <c r="B126" s="2" t="s">
        <v>1333</v>
      </c>
      <c r="C126" s="2" t="s">
        <v>104</v>
      </c>
      <c r="D126" s="16">
        <v>0</v>
      </c>
      <c r="E126" s="2" t="s">
        <v>1287</v>
      </c>
      <c r="F126" s="2" t="s">
        <v>1334</v>
      </c>
      <c r="G126" s="2" t="s">
        <v>1335</v>
      </c>
      <c r="H126" s="17">
        <v>1144800</v>
      </c>
      <c r="I126" s="19">
        <v>-34344</v>
      </c>
      <c r="J126" s="2"/>
      <c r="K126" s="17">
        <v>1110456</v>
      </c>
      <c r="L126" s="17">
        <v>118977.43</v>
      </c>
      <c r="M126" s="17">
        <v>991478.57</v>
      </c>
      <c r="N126" s="17">
        <v>1110456</v>
      </c>
      <c r="O126" s="2"/>
      <c r="P126" s="2"/>
      <c r="Q126" s="31" t="s">
        <v>30</v>
      </c>
      <c r="R126" s="41">
        <f>+K126</f>
        <v>1110456</v>
      </c>
      <c r="S126" s="62"/>
      <c r="T126" s="5"/>
    </row>
    <row r="127" spans="1:20" hidden="1">
      <c r="A127" s="2" t="s">
        <v>199</v>
      </c>
      <c r="B127" s="2" t="s">
        <v>198</v>
      </c>
      <c r="C127" s="2" t="s">
        <v>34</v>
      </c>
      <c r="D127" s="16">
        <v>60</v>
      </c>
      <c r="E127" s="2" t="s">
        <v>200</v>
      </c>
      <c r="F127" s="2" t="s">
        <v>201</v>
      </c>
      <c r="G127" s="2" t="s">
        <v>202</v>
      </c>
      <c r="H127" s="17">
        <v>7200</v>
      </c>
      <c r="I127" s="2"/>
      <c r="J127" s="2"/>
      <c r="K127" s="17">
        <v>7200</v>
      </c>
      <c r="L127" s="18">
        <v>771.43</v>
      </c>
      <c r="M127" s="17">
        <v>6428.57</v>
      </c>
      <c r="N127" s="17">
        <v>7200</v>
      </c>
      <c r="O127" s="2"/>
      <c r="P127" s="2"/>
      <c r="Q127" s="31" t="s">
        <v>30</v>
      </c>
      <c r="R127" s="64">
        <f>+K127+K128+K129+K130+K131+K132</f>
        <v>146340</v>
      </c>
      <c r="S127" s="62"/>
      <c r="T127" s="5"/>
    </row>
    <row r="128" spans="1:20" hidden="1">
      <c r="A128" s="2" t="s">
        <v>368</v>
      </c>
      <c r="B128" s="2" t="s">
        <v>375</v>
      </c>
      <c r="C128" s="2" t="s">
        <v>34</v>
      </c>
      <c r="D128" s="16">
        <v>60</v>
      </c>
      <c r="E128" s="2" t="s">
        <v>376</v>
      </c>
      <c r="F128" s="2" t="s">
        <v>201</v>
      </c>
      <c r="G128" s="2" t="s">
        <v>377</v>
      </c>
      <c r="H128" s="17">
        <v>48000</v>
      </c>
      <c r="I128" s="2"/>
      <c r="J128" s="2"/>
      <c r="K128" s="17">
        <v>48000</v>
      </c>
      <c r="L128" s="17">
        <v>5142.8599999999997</v>
      </c>
      <c r="M128" s="17">
        <v>42857.14</v>
      </c>
      <c r="N128" s="17">
        <v>48000</v>
      </c>
      <c r="O128" s="2"/>
      <c r="P128" s="2"/>
      <c r="Q128" s="31" t="s">
        <v>30</v>
      </c>
      <c r="R128" s="66"/>
      <c r="S128" s="62"/>
      <c r="T128" s="5"/>
    </row>
    <row r="129" spans="1:20" hidden="1">
      <c r="A129" s="2" t="s">
        <v>505</v>
      </c>
      <c r="B129" s="2" t="s">
        <v>508</v>
      </c>
      <c r="C129" s="2" t="s">
        <v>34</v>
      </c>
      <c r="D129" s="16">
        <v>60</v>
      </c>
      <c r="E129" s="2" t="s">
        <v>509</v>
      </c>
      <c r="F129" s="2" t="s">
        <v>201</v>
      </c>
      <c r="G129" s="2" t="s">
        <v>510</v>
      </c>
      <c r="H129" s="17">
        <v>60000</v>
      </c>
      <c r="I129" s="2"/>
      <c r="J129" s="2"/>
      <c r="K129" s="17">
        <v>60000</v>
      </c>
      <c r="L129" s="17">
        <v>6428.57</v>
      </c>
      <c r="M129" s="17">
        <v>53571.43</v>
      </c>
      <c r="N129" s="17">
        <v>60000</v>
      </c>
      <c r="O129" s="2"/>
      <c r="P129" s="2"/>
      <c r="Q129" s="31" t="s">
        <v>30</v>
      </c>
      <c r="R129" s="66"/>
      <c r="S129" s="62"/>
      <c r="T129" s="5"/>
    </row>
    <row r="130" spans="1:20" hidden="1">
      <c r="A130" s="2" t="s">
        <v>689</v>
      </c>
      <c r="B130" s="2" t="s">
        <v>709</v>
      </c>
      <c r="C130" s="2" t="s">
        <v>34</v>
      </c>
      <c r="D130" s="16">
        <v>60</v>
      </c>
      <c r="E130" s="2" t="s">
        <v>692</v>
      </c>
      <c r="F130" s="2" t="s">
        <v>201</v>
      </c>
      <c r="G130" s="2" t="s">
        <v>710</v>
      </c>
      <c r="H130" s="17">
        <v>9540</v>
      </c>
      <c r="I130" s="2"/>
      <c r="J130" s="2"/>
      <c r="K130" s="17">
        <v>9540</v>
      </c>
      <c r="L130" s="17">
        <v>1022.14</v>
      </c>
      <c r="M130" s="17">
        <v>8517.86</v>
      </c>
      <c r="N130" s="17">
        <v>9540</v>
      </c>
      <c r="O130" s="2"/>
      <c r="P130" s="2"/>
      <c r="Q130" s="31" t="s">
        <v>30</v>
      </c>
      <c r="R130" s="66"/>
      <c r="S130" s="62"/>
      <c r="T130" s="5"/>
    </row>
    <row r="131" spans="1:20" hidden="1">
      <c r="A131" s="2" t="s">
        <v>915</v>
      </c>
      <c r="B131" s="2" t="s">
        <v>947</v>
      </c>
      <c r="C131" s="2" t="s">
        <v>34</v>
      </c>
      <c r="D131" s="16">
        <v>60</v>
      </c>
      <c r="E131" s="2" t="s">
        <v>918</v>
      </c>
      <c r="F131" s="2" t="s">
        <v>201</v>
      </c>
      <c r="G131" s="2" t="s">
        <v>948</v>
      </c>
      <c r="H131" s="17">
        <v>14400</v>
      </c>
      <c r="I131" s="2"/>
      <c r="J131" s="2"/>
      <c r="K131" s="17">
        <v>14400</v>
      </c>
      <c r="L131" s="17">
        <v>1542.86</v>
      </c>
      <c r="M131" s="17">
        <v>12857.14</v>
      </c>
      <c r="N131" s="17">
        <v>14400</v>
      </c>
      <c r="O131" s="2"/>
      <c r="P131" s="2"/>
      <c r="Q131" s="31" t="s">
        <v>30</v>
      </c>
      <c r="R131" s="66"/>
      <c r="S131" s="62"/>
      <c r="T131" s="5"/>
    </row>
    <row r="132" spans="1:20" hidden="1">
      <c r="A132" s="2" t="s">
        <v>1217</v>
      </c>
      <c r="B132" s="2" t="s">
        <v>1222</v>
      </c>
      <c r="C132" s="2" t="s">
        <v>34</v>
      </c>
      <c r="D132" s="16">
        <v>60</v>
      </c>
      <c r="E132" s="2" t="s">
        <v>1223</v>
      </c>
      <c r="F132" s="2" t="s">
        <v>201</v>
      </c>
      <c r="G132" s="2" t="s">
        <v>1224</v>
      </c>
      <c r="H132" s="17">
        <v>7200</v>
      </c>
      <c r="I132" s="2"/>
      <c r="J132" s="2"/>
      <c r="K132" s="17">
        <v>7200</v>
      </c>
      <c r="L132" s="18">
        <v>771.43</v>
      </c>
      <c r="M132" s="17">
        <v>6428.57</v>
      </c>
      <c r="N132" s="17">
        <v>7200</v>
      </c>
      <c r="O132" s="2"/>
      <c r="P132" s="2"/>
      <c r="Q132" s="31" t="s">
        <v>30</v>
      </c>
      <c r="R132" s="65"/>
      <c r="S132" s="62"/>
      <c r="T132" s="5"/>
    </row>
    <row r="133" spans="1:20" hidden="1">
      <c r="A133" s="2" t="s">
        <v>1461</v>
      </c>
      <c r="B133" s="2" t="s">
        <v>1463</v>
      </c>
      <c r="C133" s="2" t="s">
        <v>681</v>
      </c>
      <c r="D133" s="16">
        <v>0</v>
      </c>
      <c r="E133" s="2" t="s">
        <v>1461</v>
      </c>
      <c r="F133" s="2" t="s">
        <v>1464</v>
      </c>
      <c r="G133" s="2" t="s">
        <v>1465</v>
      </c>
      <c r="H133" s="17">
        <v>31056</v>
      </c>
      <c r="I133" s="2"/>
      <c r="J133" s="2"/>
      <c r="K133" s="17">
        <v>31056</v>
      </c>
      <c r="L133" s="17">
        <v>3327.43</v>
      </c>
      <c r="M133" s="17">
        <v>27728.57</v>
      </c>
      <c r="N133" s="17">
        <v>31056</v>
      </c>
      <c r="O133" s="2"/>
      <c r="P133" s="2"/>
      <c r="Q133" s="31" t="s">
        <v>30</v>
      </c>
      <c r="R133" s="41">
        <f>+K133</f>
        <v>31056</v>
      </c>
      <c r="S133" s="62"/>
      <c r="T133" s="5"/>
    </row>
    <row r="134" spans="1:20" hidden="1">
      <c r="A134" s="2" t="s">
        <v>1287</v>
      </c>
      <c r="B134" s="2" t="s">
        <v>1348</v>
      </c>
      <c r="C134" s="2" t="s">
        <v>162</v>
      </c>
      <c r="D134" s="16">
        <v>90</v>
      </c>
      <c r="E134" s="2" t="s">
        <v>1315</v>
      </c>
      <c r="F134" s="2" t="s">
        <v>1349</v>
      </c>
      <c r="G134" s="2" t="s">
        <v>1350</v>
      </c>
      <c r="H134" s="17">
        <v>172200</v>
      </c>
      <c r="I134" s="2"/>
      <c r="J134" s="2"/>
      <c r="K134" s="17">
        <v>172200</v>
      </c>
      <c r="L134" s="17">
        <v>18450</v>
      </c>
      <c r="M134" s="17">
        <v>153750</v>
      </c>
      <c r="N134" s="17">
        <v>172200</v>
      </c>
      <c r="O134" s="2"/>
      <c r="P134" s="2"/>
      <c r="Q134" s="31" t="s">
        <v>30</v>
      </c>
      <c r="R134" s="41">
        <f>+K134</f>
        <v>172200</v>
      </c>
      <c r="S134" s="62"/>
      <c r="T134" s="5"/>
    </row>
    <row r="135" spans="1:20" ht="12.6" hidden="1" customHeight="1">
      <c r="A135" s="2" t="s">
        <v>17</v>
      </c>
      <c r="B135" s="2" t="s">
        <v>28</v>
      </c>
      <c r="C135" s="2" t="s">
        <v>29</v>
      </c>
      <c r="D135" s="16">
        <v>0</v>
      </c>
      <c r="E135" s="2" t="s">
        <v>17</v>
      </c>
      <c r="F135" s="2" t="s">
        <v>31</v>
      </c>
      <c r="G135" s="2" t="s">
        <v>32</v>
      </c>
      <c r="H135" s="17">
        <v>208698</v>
      </c>
      <c r="I135" s="2"/>
      <c r="J135" s="2"/>
      <c r="K135" s="17">
        <v>208698</v>
      </c>
      <c r="L135" s="17">
        <v>22360.5</v>
      </c>
      <c r="M135" s="17">
        <v>186337.5</v>
      </c>
      <c r="N135" s="17">
        <v>208698</v>
      </c>
      <c r="O135" s="2"/>
      <c r="P135" s="2"/>
      <c r="Q135" s="31" t="s">
        <v>30</v>
      </c>
      <c r="R135" s="64">
        <v>2832788</v>
      </c>
      <c r="S135" s="62"/>
      <c r="T135" s="5"/>
    </row>
    <row r="136" spans="1:20" hidden="1">
      <c r="A136" s="2" t="s">
        <v>199</v>
      </c>
      <c r="B136" s="2" t="s">
        <v>226</v>
      </c>
      <c r="C136" s="2" t="s">
        <v>29</v>
      </c>
      <c r="D136" s="16">
        <v>0</v>
      </c>
      <c r="E136" s="2" t="s">
        <v>199</v>
      </c>
      <c r="F136" s="2" t="s">
        <v>31</v>
      </c>
      <c r="G136" s="2" t="s">
        <v>227</v>
      </c>
      <c r="H136" s="17">
        <v>23901</v>
      </c>
      <c r="I136" s="2"/>
      <c r="J136" s="2"/>
      <c r="K136" s="17">
        <v>23901</v>
      </c>
      <c r="L136" s="17">
        <v>2560.8200000000002</v>
      </c>
      <c r="M136" s="17">
        <v>21340.18</v>
      </c>
      <c r="N136" s="17">
        <v>23901</v>
      </c>
      <c r="O136" s="2"/>
      <c r="P136" s="2"/>
      <c r="Q136" s="31" t="s">
        <v>30</v>
      </c>
      <c r="R136" s="66"/>
      <c r="S136" s="62"/>
      <c r="T136" s="5"/>
    </row>
    <row r="137" spans="1:20" hidden="1">
      <c r="A137" s="2" t="s">
        <v>199</v>
      </c>
      <c r="B137" s="2" t="s">
        <v>228</v>
      </c>
      <c r="C137" s="2" t="s">
        <v>29</v>
      </c>
      <c r="D137" s="16">
        <v>0</v>
      </c>
      <c r="E137" s="2" t="s">
        <v>199</v>
      </c>
      <c r="F137" s="2" t="s">
        <v>31</v>
      </c>
      <c r="G137" s="2" t="s">
        <v>229</v>
      </c>
      <c r="H137" s="17">
        <v>266668</v>
      </c>
      <c r="I137" s="2"/>
      <c r="J137" s="2"/>
      <c r="K137" s="17">
        <v>266668</v>
      </c>
      <c r="L137" s="17">
        <v>28571.57</v>
      </c>
      <c r="M137" s="17">
        <v>238096.43</v>
      </c>
      <c r="N137" s="17">
        <v>266668</v>
      </c>
      <c r="O137" s="2"/>
      <c r="P137" s="2"/>
      <c r="Q137" s="31" t="s">
        <v>30</v>
      </c>
      <c r="R137" s="66"/>
      <c r="S137" s="62"/>
      <c r="T137" s="5"/>
    </row>
    <row r="138" spans="1:20" hidden="1">
      <c r="A138" s="2" t="s">
        <v>368</v>
      </c>
      <c r="B138" s="2" t="s">
        <v>401</v>
      </c>
      <c r="C138" s="2" t="s">
        <v>29</v>
      </c>
      <c r="D138" s="16">
        <v>0</v>
      </c>
      <c r="E138" s="2" t="s">
        <v>368</v>
      </c>
      <c r="F138" s="2" t="s">
        <v>31</v>
      </c>
      <c r="G138" s="2" t="s">
        <v>402</v>
      </c>
      <c r="H138" s="17">
        <v>49593</v>
      </c>
      <c r="I138" s="2"/>
      <c r="J138" s="2"/>
      <c r="K138" s="17">
        <v>49593</v>
      </c>
      <c r="L138" s="17">
        <v>5313.54</v>
      </c>
      <c r="M138" s="17">
        <v>44279.46</v>
      </c>
      <c r="N138" s="17">
        <v>49593</v>
      </c>
      <c r="O138" s="2"/>
      <c r="P138" s="2"/>
      <c r="Q138" s="31" t="s">
        <v>30</v>
      </c>
      <c r="R138" s="66"/>
      <c r="S138" s="62"/>
      <c r="T138" s="5"/>
    </row>
    <row r="139" spans="1:20" hidden="1">
      <c r="A139" s="2" t="s">
        <v>368</v>
      </c>
      <c r="B139" s="2" t="s">
        <v>403</v>
      </c>
      <c r="C139" s="2" t="s">
        <v>29</v>
      </c>
      <c r="D139" s="16">
        <v>0</v>
      </c>
      <c r="E139" s="2" t="s">
        <v>368</v>
      </c>
      <c r="F139" s="2" t="s">
        <v>31</v>
      </c>
      <c r="G139" s="2" t="s">
        <v>404</v>
      </c>
      <c r="H139" s="17">
        <v>148779</v>
      </c>
      <c r="I139" s="2"/>
      <c r="J139" s="2"/>
      <c r="K139" s="17">
        <v>148779</v>
      </c>
      <c r="L139" s="17">
        <v>15940.61</v>
      </c>
      <c r="M139" s="17">
        <v>132838.39000000001</v>
      </c>
      <c r="N139" s="17">
        <v>148779</v>
      </c>
      <c r="O139" s="2"/>
      <c r="P139" s="2"/>
      <c r="Q139" s="31" t="s">
        <v>30</v>
      </c>
      <c r="R139" s="66"/>
      <c r="S139" s="62"/>
      <c r="T139" s="5"/>
    </row>
    <row r="140" spans="1:20" hidden="1">
      <c r="A140" s="2" t="s">
        <v>448</v>
      </c>
      <c r="B140" s="2" t="s">
        <v>464</v>
      </c>
      <c r="C140" s="2" t="s">
        <v>29</v>
      </c>
      <c r="D140" s="16">
        <v>0</v>
      </c>
      <c r="E140" s="2" t="s">
        <v>448</v>
      </c>
      <c r="F140" s="2" t="s">
        <v>31</v>
      </c>
      <c r="G140" s="2" t="s">
        <v>465</v>
      </c>
      <c r="H140" s="17">
        <v>22500</v>
      </c>
      <c r="I140" s="2"/>
      <c r="J140" s="2"/>
      <c r="K140" s="17">
        <v>22500</v>
      </c>
      <c r="L140" s="17">
        <v>2410.71</v>
      </c>
      <c r="M140" s="17">
        <v>20089.29</v>
      </c>
      <c r="N140" s="17">
        <v>22500</v>
      </c>
      <c r="O140" s="2"/>
      <c r="P140" s="2"/>
      <c r="Q140" s="31" t="s">
        <v>30</v>
      </c>
      <c r="R140" s="66"/>
      <c r="S140" s="62"/>
      <c r="T140" s="5"/>
    </row>
    <row r="141" spans="1:20" hidden="1">
      <c r="A141" s="2" t="s">
        <v>448</v>
      </c>
      <c r="B141" s="2" t="s">
        <v>466</v>
      </c>
      <c r="C141" s="2" t="s">
        <v>29</v>
      </c>
      <c r="D141" s="16">
        <v>0</v>
      </c>
      <c r="E141" s="2" t="s">
        <v>448</v>
      </c>
      <c r="F141" s="2" t="s">
        <v>31</v>
      </c>
      <c r="G141" s="2" t="s">
        <v>467</v>
      </c>
      <c r="H141" s="17">
        <v>17740</v>
      </c>
      <c r="I141" s="2"/>
      <c r="J141" s="2"/>
      <c r="K141" s="17">
        <v>17740</v>
      </c>
      <c r="L141" s="17">
        <v>1900.71</v>
      </c>
      <c r="M141" s="17">
        <v>15839.29</v>
      </c>
      <c r="N141" s="17">
        <v>17740</v>
      </c>
      <c r="O141" s="2"/>
      <c r="P141" s="2"/>
      <c r="Q141" s="31" t="s">
        <v>30</v>
      </c>
      <c r="R141" s="66"/>
      <c r="S141" s="62"/>
      <c r="T141" s="5"/>
    </row>
    <row r="142" spans="1:20" hidden="1">
      <c r="A142" s="2" t="s">
        <v>448</v>
      </c>
      <c r="B142" s="2" t="s">
        <v>468</v>
      </c>
      <c r="C142" s="2" t="s">
        <v>29</v>
      </c>
      <c r="D142" s="16">
        <v>0</v>
      </c>
      <c r="E142" s="2" t="s">
        <v>448</v>
      </c>
      <c r="F142" s="2" t="s">
        <v>31</v>
      </c>
      <c r="G142" s="2" t="s">
        <v>469</v>
      </c>
      <c r="H142" s="17">
        <v>28458</v>
      </c>
      <c r="I142" s="2"/>
      <c r="J142" s="2"/>
      <c r="K142" s="17">
        <v>28458</v>
      </c>
      <c r="L142" s="17">
        <v>3049.07</v>
      </c>
      <c r="M142" s="17">
        <v>25408.93</v>
      </c>
      <c r="N142" s="17">
        <v>28458</v>
      </c>
      <c r="O142" s="2"/>
      <c r="P142" s="2"/>
      <c r="Q142" s="31" t="s">
        <v>30</v>
      </c>
      <c r="R142" s="66"/>
      <c r="S142" s="62"/>
      <c r="T142" s="5"/>
    </row>
    <row r="143" spans="1:20" hidden="1">
      <c r="A143" s="2" t="s">
        <v>448</v>
      </c>
      <c r="B143" s="2" t="s">
        <v>472</v>
      </c>
      <c r="C143" s="2" t="s">
        <v>29</v>
      </c>
      <c r="D143" s="16">
        <v>0</v>
      </c>
      <c r="E143" s="2" t="s">
        <v>448</v>
      </c>
      <c r="F143" s="2" t="s">
        <v>31</v>
      </c>
      <c r="G143" s="2" t="s">
        <v>473</v>
      </c>
      <c r="H143" s="17">
        <v>152120</v>
      </c>
      <c r="I143" s="2"/>
      <c r="J143" s="2"/>
      <c r="K143" s="17">
        <v>152120</v>
      </c>
      <c r="L143" s="17">
        <v>16298.57</v>
      </c>
      <c r="M143" s="17">
        <v>135821.43</v>
      </c>
      <c r="N143" s="17">
        <v>152120</v>
      </c>
      <c r="O143" s="2"/>
      <c r="P143" s="2"/>
      <c r="Q143" s="31" t="s">
        <v>30</v>
      </c>
      <c r="R143" s="66"/>
      <c r="S143" s="62"/>
      <c r="T143" s="5"/>
    </row>
    <row r="144" spans="1:20" hidden="1">
      <c r="A144" s="2" t="s">
        <v>448</v>
      </c>
      <c r="B144" s="2" t="s">
        <v>474</v>
      </c>
      <c r="C144" s="2" t="s">
        <v>29</v>
      </c>
      <c r="D144" s="16">
        <v>0</v>
      </c>
      <c r="E144" s="2" t="s">
        <v>448</v>
      </c>
      <c r="F144" s="2" t="s">
        <v>31</v>
      </c>
      <c r="G144" s="2" t="s">
        <v>475</v>
      </c>
      <c r="H144" s="17">
        <v>121248</v>
      </c>
      <c r="I144" s="2"/>
      <c r="J144" s="2"/>
      <c r="K144" s="17">
        <v>121248</v>
      </c>
      <c r="L144" s="17">
        <v>12990.86</v>
      </c>
      <c r="M144" s="17">
        <v>108257.14</v>
      </c>
      <c r="N144" s="17">
        <v>121248</v>
      </c>
      <c r="O144" s="2"/>
      <c r="P144" s="2"/>
      <c r="Q144" s="31" t="s">
        <v>30</v>
      </c>
      <c r="R144" s="66"/>
      <c r="S144" s="62"/>
      <c r="T144" s="5"/>
    </row>
    <row r="145" spans="1:20" hidden="1">
      <c r="A145" s="2" t="s">
        <v>505</v>
      </c>
      <c r="B145" s="2" t="s">
        <v>565</v>
      </c>
      <c r="C145" s="2" t="s">
        <v>29</v>
      </c>
      <c r="D145" s="16">
        <v>0</v>
      </c>
      <c r="E145" s="2" t="s">
        <v>505</v>
      </c>
      <c r="F145" s="2" t="s">
        <v>31</v>
      </c>
      <c r="G145" s="2" t="s">
        <v>566</v>
      </c>
      <c r="H145" s="17">
        <v>41600</v>
      </c>
      <c r="I145" s="2"/>
      <c r="J145" s="2"/>
      <c r="K145" s="17">
        <v>41600</v>
      </c>
      <c r="L145" s="17">
        <v>4457.1400000000003</v>
      </c>
      <c r="M145" s="17">
        <v>37142.86</v>
      </c>
      <c r="N145" s="17">
        <v>41600</v>
      </c>
      <c r="O145" s="2"/>
      <c r="P145" s="2"/>
      <c r="Q145" s="31" t="s">
        <v>30</v>
      </c>
      <c r="R145" s="66"/>
      <c r="S145" s="62"/>
      <c r="T145" s="5"/>
    </row>
    <row r="146" spans="1:20" hidden="1">
      <c r="A146" s="2" t="s">
        <v>505</v>
      </c>
      <c r="B146" s="2" t="s">
        <v>569</v>
      </c>
      <c r="C146" s="2" t="s">
        <v>29</v>
      </c>
      <c r="D146" s="16">
        <v>0</v>
      </c>
      <c r="E146" s="2" t="s">
        <v>505</v>
      </c>
      <c r="F146" s="2" t="s">
        <v>31</v>
      </c>
      <c r="G146" s="2" t="s">
        <v>570</v>
      </c>
      <c r="H146" s="17">
        <v>99186</v>
      </c>
      <c r="I146" s="2"/>
      <c r="J146" s="2"/>
      <c r="K146" s="17">
        <v>99186</v>
      </c>
      <c r="L146" s="17">
        <v>10627.07</v>
      </c>
      <c r="M146" s="17">
        <v>88558.93</v>
      </c>
      <c r="N146" s="17">
        <v>99186</v>
      </c>
      <c r="O146" s="2"/>
      <c r="P146" s="2"/>
      <c r="Q146" s="31" t="s">
        <v>30</v>
      </c>
      <c r="R146" s="66"/>
      <c r="S146" s="62"/>
      <c r="T146" s="5"/>
    </row>
    <row r="147" spans="1:20" hidden="1">
      <c r="A147" s="2" t="s">
        <v>637</v>
      </c>
      <c r="B147" s="2" t="s">
        <v>644</v>
      </c>
      <c r="C147" s="2" t="s">
        <v>29</v>
      </c>
      <c r="D147" s="16">
        <v>0</v>
      </c>
      <c r="E147" s="2" t="s">
        <v>637</v>
      </c>
      <c r="F147" s="2" t="s">
        <v>31</v>
      </c>
      <c r="G147" s="2" t="s">
        <v>645</v>
      </c>
      <c r="H147" s="17">
        <v>62535</v>
      </c>
      <c r="I147" s="2"/>
      <c r="J147" s="2"/>
      <c r="K147" s="17">
        <v>62535</v>
      </c>
      <c r="L147" s="17">
        <v>6700.18</v>
      </c>
      <c r="M147" s="17">
        <v>55834.82</v>
      </c>
      <c r="N147" s="17">
        <v>62535</v>
      </c>
      <c r="O147" s="2"/>
      <c r="P147" s="2"/>
      <c r="Q147" s="31" t="s">
        <v>30</v>
      </c>
      <c r="R147" s="66"/>
      <c r="S147" s="62"/>
      <c r="T147" s="5"/>
    </row>
    <row r="148" spans="1:20" hidden="1">
      <c r="A148" s="2" t="s">
        <v>637</v>
      </c>
      <c r="B148" s="2" t="s">
        <v>646</v>
      </c>
      <c r="C148" s="2" t="s">
        <v>29</v>
      </c>
      <c r="D148" s="16">
        <v>0</v>
      </c>
      <c r="E148" s="2" t="s">
        <v>637</v>
      </c>
      <c r="F148" s="2" t="s">
        <v>31</v>
      </c>
      <c r="G148" s="2" t="s">
        <v>647</v>
      </c>
      <c r="H148" s="17">
        <v>31800</v>
      </c>
      <c r="I148" s="2"/>
      <c r="J148" s="2"/>
      <c r="K148" s="17">
        <v>31800</v>
      </c>
      <c r="L148" s="17">
        <v>3407.14</v>
      </c>
      <c r="M148" s="17">
        <v>28392.86</v>
      </c>
      <c r="N148" s="17">
        <v>31800</v>
      </c>
      <c r="O148" s="2"/>
      <c r="P148" s="2"/>
      <c r="Q148" s="31" t="s">
        <v>30</v>
      </c>
      <c r="R148" s="66"/>
      <c r="S148" s="62"/>
      <c r="T148" s="5"/>
    </row>
    <row r="149" spans="1:20" hidden="1">
      <c r="A149" s="2" t="s">
        <v>637</v>
      </c>
      <c r="B149" s="2" t="s">
        <v>648</v>
      </c>
      <c r="C149" s="2" t="s">
        <v>29</v>
      </c>
      <c r="D149" s="16">
        <v>0</v>
      </c>
      <c r="E149" s="2" t="s">
        <v>637</v>
      </c>
      <c r="F149" s="2" t="s">
        <v>31</v>
      </c>
      <c r="G149" s="2" t="s">
        <v>649</v>
      </c>
      <c r="H149" s="17">
        <v>6400</v>
      </c>
      <c r="I149" s="2"/>
      <c r="J149" s="2"/>
      <c r="K149" s="17">
        <v>6400</v>
      </c>
      <c r="L149" s="18">
        <v>685.71</v>
      </c>
      <c r="M149" s="17">
        <v>5714.29</v>
      </c>
      <c r="N149" s="17">
        <v>6400</v>
      </c>
      <c r="O149" s="2"/>
      <c r="P149" s="2"/>
      <c r="Q149" s="31" t="s">
        <v>30</v>
      </c>
      <c r="R149" s="66"/>
      <c r="S149" s="62"/>
      <c r="T149" s="5"/>
    </row>
    <row r="150" spans="1:20" hidden="1">
      <c r="A150" s="2" t="s">
        <v>637</v>
      </c>
      <c r="B150" s="2" t="s">
        <v>650</v>
      </c>
      <c r="C150" s="2" t="s">
        <v>29</v>
      </c>
      <c r="D150" s="16">
        <v>0</v>
      </c>
      <c r="E150" s="2" t="s">
        <v>637</v>
      </c>
      <c r="F150" s="2" t="s">
        <v>31</v>
      </c>
      <c r="G150" s="2" t="s">
        <v>651</v>
      </c>
      <c r="H150" s="17">
        <v>142800</v>
      </c>
      <c r="I150" s="2"/>
      <c r="J150" s="2"/>
      <c r="K150" s="17">
        <v>142800</v>
      </c>
      <c r="L150" s="17">
        <v>15300</v>
      </c>
      <c r="M150" s="17">
        <v>127500</v>
      </c>
      <c r="N150" s="17">
        <v>142800</v>
      </c>
      <c r="O150" s="2"/>
      <c r="P150" s="2"/>
      <c r="Q150" s="31" t="s">
        <v>30</v>
      </c>
      <c r="R150" s="66"/>
      <c r="S150" s="62"/>
      <c r="T150" s="5"/>
    </row>
    <row r="151" spans="1:20" hidden="1">
      <c r="A151" s="2" t="s">
        <v>769</v>
      </c>
      <c r="B151" s="2" t="s">
        <v>859</v>
      </c>
      <c r="C151" s="2" t="s">
        <v>29</v>
      </c>
      <c r="D151" s="16">
        <v>0</v>
      </c>
      <c r="E151" s="2" t="s">
        <v>769</v>
      </c>
      <c r="F151" s="2" t="s">
        <v>31</v>
      </c>
      <c r="G151" s="2" t="s">
        <v>860</v>
      </c>
      <c r="H151" s="17">
        <v>26190</v>
      </c>
      <c r="I151" s="2"/>
      <c r="J151" s="2"/>
      <c r="K151" s="17">
        <v>26190</v>
      </c>
      <c r="L151" s="17">
        <v>2806.07</v>
      </c>
      <c r="M151" s="17">
        <v>23383.93</v>
      </c>
      <c r="N151" s="17">
        <v>26190</v>
      </c>
      <c r="O151" s="2"/>
      <c r="P151" s="2"/>
      <c r="Q151" s="31" t="s">
        <v>30</v>
      </c>
      <c r="R151" s="66"/>
      <c r="S151" s="62"/>
      <c r="T151" s="5"/>
    </row>
    <row r="152" spans="1:20" hidden="1">
      <c r="A152" s="2" t="s">
        <v>769</v>
      </c>
      <c r="B152" s="2" t="s">
        <v>861</v>
      </c>
      <c r="C152" s="2" t="s">
        <v>29</v>
      </c>
      <c r="D152" s="16">
        <v>0</v>
      </c>
      <c r="E152" s="2" t="s">
        <v>769</v>
      </c>
      <c r="F152" s="2" t="s">
        <v>31</v>
      </c>
      <c r="G152" s="2" t="s">
        <v>862</v>
      </c>
      <c r="H152" s="17">
        <v>81120</v>
      </c>
      <c r="I152" s="2"/>
      <c r="J152" s="2"/>
      <c r="K152" s="17">
        <v>81120</v>
      </c>
      <c r="L152" s="17">
        <v>8691.43</v>
      </c>
      <c r="M152" s="17">
        <v>72428.570000000007</v>
      </c>
      <c r="N152" s="17">
        <v>81120</v>
      </c>
      <c r="O152" s="2"/>
      <c r="P152" s="2"/>
      <c r="Q152" s="31" t="s">
        <v>30</v>
      </c>
      <c r="R152" s="66"/>
      <c r="S152" s="62"/>
      <c r="T152" s="5"/>
    </row>
    <row r="153" spans="1:20" hidden="1">
      <c r="A153" s="2" t="s">
        <v>769</v>
      </c>
      <c r="B153" s="2" t="s">
        <v>863</v>
      </c>
      <c r="C153" s="2" t="s">
        <v>29</v>
      </c>
      <c r="D153" s="16">
        <v>0</v>
      </c>
      <c r="E153" s="2" t="s">
        <v>769</v>
      </c>
      <c r="F153" s="2" t="s">
        <v>31</v>
      </c>
      <c r="G153" s="2" t="s">
        <v>864</v>
      </c>
      <c r="H153" s="17">
        <v>13320</v>
      </c>
      <c r="I153" s="2"/>
      <c r="J153" s="2"/>
      <c r="K153" s="17">
        <v>13320</v>
      </c>
      <c r="L153" s="17">
        <v>1427.14</v>
      </c>
      <c r="M153" s="17">
        <v>11892.86</v>
      </c>
      <c r="N153" s="17">
        <v>13320</v>
      </c>
      <c r="O153" s="2"/>
      <c r="P153" s="2"/>
      <c r="Q153" s="31" t="s">
        <v>30</v>
      </c>
      <c r="R153" s="66"/>
      <c r="S153" s="62"/>
      <c r="T153" s="5"/>
    </row>
    <row r="154" spans="1:20" hidden="1">
      <c r="A154" s="2" t="s">
        <v>915</v>
      </c>
      <c r="B154" s="2" t="s">
        <v>953</v>
      </c>
      <c r="C154" s="2" t="s">
        <v>29</v>
      </c>
      <c r="D154" s="16">
        <v>0</v>
      </c>
      <c r="E154" s="2" t="s">
        <v>915</v>
      </c>
      <c r="F154" s="2" t="s">
        <v>31</v>
      </c>
      <c r="G154" s="2" t="s">
        <v>954</v>
      </c>
      <c r="H154" s="17">
        <v>5460</v>
      </c>
      <c r="I154" s="2"/>
      <c r="J154" s="2"/>
      <c r="K154" s="17">
        <v>5460</v>
      </c>
      <c r="L154" s="18">
        <v>585</v>
      </c>
      <c r="M154" s="17">
        <v>4875</v>
      </c>
      <c r="N154" s="17">
        <v>5460</v>
      </c>
      <c r="O154" s="2"/>
      <c r="P154" s="2"/>
      <c r="Q154" s="31" t="s">
        <v>30</v>
      </c>
      <c r="R154" s="66"/>
      <c r="S154" s="62"/>
      <c r="T154" s="5"/>
    </row>
    <row r="155" spans="1:20" hidden="1">
      <c r="A155" s="2" t="s">
        <v>915</v>
      </c>
      <c r="B155" s="2" t="s">
        <v>955</v>
      </c>
      <c r="C155" s="2" t="s">
        <v>29</v>
      </c>
      <c r="D155" s="16">
        <v>0</v>
      </c>
      <c r="E155" s="2" t="s">
        <v>915</v>
      </c>
      <c r="F155" s="2" t="s">
        <v>31</v>
      </c>
      <c r="G155" s="2" t="s">
        <v>956</v>
      </c>
      <c r="H155" s="17">
        <v>13144</v>
      </c>
      <c r="I155" s="2"/>
      <c r="J155" s="2"/>
      <c r="K155" s="17">
        <v>13144</v>
      </c>
      <c r="L155" s="17">
        <v>1408.29</v>
      </c>
      <c r="M155" s="17">
        <v>11735.71</v>
      </c>
      <c r="N155" s="17">
        <v>13144</v>
      </c>
      <c r="O155" s="2"/>
      <c r="P155" s="2"/>
      <c r="Q155" s="31" t="s">
        <v>30</v>
      </c>
      <c r="R155" s="66"/>
      <c r="S155" s="62"/>
      <c r="T155" s="5"/>
    </row>
    <row r="156" spans="1:20" hidden="1">
      <c r="A156" s="2" t="s">
        <v>1048</v>
      </c>
      <c r="B156" s="2" t="s">
        <v>1052</v>
      </c>
      <c r="C156" s="2" t="s">
        <v>29</v>
      </c>
      <c r="D156" s="16">
        <v>0</v>
      </c>
      <c r="E156" s="2" t="s">
        <v>1048</v>
      </c>
      <c r="F156" s="2" t="s">
        <v>31</v>
      </c>
      <c r="G156" s="2" t="s">
        <v>1053</v>
      </c>
      <c r="H156" s="17">
        <v>142620</v>
      </c>
      <c r="I156" s="2"/>
      <c r="J156" s="2"/>
      <c r="K156" s="17">
        <v>142620</v>
      </c>
      <c r="L156" s="17">
        <v>15280.71</v>
      </c>
      <c r="M156" s="17">
        <v>127339.29</v>
      </c>
      <c r="N156" s="17">
        <v>142620</v>
      </c>
      <c r="O156" s="2"/>
      <c r="P156" s="2"/>
      <c r="Q156" s="31" t="s">
        <v>30</v>
      </c>
      <c r="R156" s="66"/>
      <c r="S156" s="62"/>
      <c r="T156" s="5"/>
    </row>
    <row r="157" spans="1:20" hidden="1">
      <c r="A157" s="2" t="s">
        <v>1048</v>
      </c>
      <c r="B157" s="2" t="s">
        <v>1086</v>
      </c>
      <c r="C157" s="2" t="s">
        <v>29</v>
      </c>
      <c r="D157" s="16">
        <v>0</v>
      </c>
      <c r="E157" s="2" t="s">
        <v>1048</v>
      </c>
      <c r="F157" s="2" t="s">
        <v>31</v>
      </c>
      <c r="G157" s="2" t="s">
        <v>1087</v>
      </c>
      <c r="H157" s="17">
        <v>1840</v>
      </c>
      <c r="I157" s="2"/>
      <c r="J157" s="2"/>
      <c r="K157" s="17">
        <v>1840</v>
      </c>
      <c r="L157" s="18">
        <v>197.14</v>
      </c>
      <c r="M157" s="17">
        <v>1642.86</v>
      </c>
      <c r="N157" s="17">
        <v>1840</v>
      </c>
      <c r="O157" s="2"/>
      <c r="P157" s="2"/>
      <c r="Q157" s="31" t="s">
        <v>30</v>
      </c>
      <c r="R157" s="66"/>
      <c r="S157" s="62"/>
      <c r="T157" s="5"/>
    </row>
    <row r="158" spans="1:20" hidden="1">
      <c r="A158" s="2" t="s">
        <v>1048</v>
      </c>
      <c r="B158" s="2" t="s">
        <v>1090</v>
      </c>
      <c r="C158" s="2" t="s">
        <v>29</v>
      </c>
      <c r="D158" s="16">
        <v>0</v>
      </c>
      <c r="E158" s="2" t="s">
        <v>1048</v>
      </c>
      <c r="F158" s="2" t="s">
        <v>31</v>
      </c>
      <c r="G158" s="2" t="s">
        <v>1091</v>
      </c>
      <c r="H158" s="17">
        <v>244000</v>
      </c>
      <c r="I158" s="2"/>
      <c r="J158" s="2"/>
      <c r="K158" s="17">
        <v>244000</v>
      </c>
      <c r="L158" s="17">
        <v>26142.86</v>
      </c>
      <c r="M158" s="17">
        <v>217857.14</v>
      </c>
      <c r="N158" s="17">
        <v>244000</v>
      </c>
      <c r="O158" s="2"/>
      <c r="P158" s="2"/>
      <c r="Q158" s="31" t="s">
        <v>30</v>
      </c>
      <c r="R158" s="66"/>
      <c r="S158" s="62"/>
      <c r="T158" s="5"/>
    </row>
    <row r="159" spans="1:20" hidden="1">
      <c r="A159" s="2" t="s">
        <v>1117</v>
      </c>
      <c r="B159" s="2" t="s">
        <v>1161</v>
      </c>
      <c r="C159" s="2" t="s">
        <v>29</v>
      </c>
      <c r="D159" s="16">
        <v>0</v>
      </c>
      <c r="E159" s="2" t="s">
        <v>1117</v>
      </c>
      <c r="F159" s="2" t="s">
        <v>31</v>
      </c>
      <c r="G159" s="2" t="s">
        <v>1162</v>
      </c>
      <c r="H159" s="17">
        <v>294000</v>
      </c>
      <c r="I159" s="2"/>
      <c r="J159" s="2"/>
      <c r="K159" s="17">
        <v>294000</v>
      </c>
      <c r="L159" s="17">
        <v>31500</v>
      </c>
      <c r="M159" s="17">
        <v>262500</v>
      </c>
      <c r="N159" s="17">
        <v>294000</v>
      </c>
      <c r="O159" s="2"/>
      <c r="P159" s="2"/>
      <c r="Q159" s="31" t="s">
        <v>30</v>
      </c>
      <c r="R159" s="66"/>
      <c r="S159" s="62"/>
      <c r="T159" s="5"/>
    </row>
    <row r="160" spans="1:20" hidden="1">
      <c r="A160" s="2" t="s">
        <v>1372</v>
      </c>
      <c r="B160" s="2" t="s">
        <v>1432</v>
      </c>
      <c r="C160" s="2" t="s">
        <v>29</v>
      </c>
      <c r="D160" s="16">
        <v>0</v>
      </c>
      <c r="E160" s="2" t="s">
        <v>1372</v>
      </c>
      <c r="F160" s="2" t="s">
        <v>31</v>
      </c>
      <c r="G160" s="2" t="s">
        <v>1433</v>
      </c>
      <c r="H160" s="17">
        <v>40960</v>
      </c>
      <c r="I160" s="2"/>
      <c r="J160" s="2"/>
      <c r="K160" s="17">
        <v>40960</v>
      </c>
      <c r="L160" s="17">
        <v>4388.57</v>
      </c>
      <c r="M160" s="17">
        <v>36571.43</v>
      </c>
      <c r="N160" s="17">
        <v>40960</v>
      </c>
      <c r="O160" s="2"/>
      <c r="P160" s="2"/>
      <c r="Q160" s="31" t="s">
        <v>30</v>
      </c>
      <c r="R160" s="66"/>
      <c r="S160" s="62"/>
      <c r="T160" s="5"/>
    </row>
    <row r="161" spans="1:20" hidden="1">
      <c r="A161" s="2" t="s">
        <v>1372</v>
      </c>
      <c r="B161" s="2" t="s">
        <v>1434</v>
      </c>
      <c r="C161" s="2" t="s">
        <v>29</v>
      </c>
      <c r="D161" s="16">
        <v>0</v>
      </c>
      <c r="E161" s="2" t="s">
        <v>1372</v>
      </c>
      <c r="F161" s="2" t="s">
        <v>31</v>
      </c>
      <c r="G161" s="2" t="s">
        <v>1435</v>
      </c>
      <c r="H161" s="17">
        <v>3670</v>
      </c>
      <c r="I161" s="2"/>
      <c r="J161" s="2"/>
      <c r="K161" s="17">
        <v>3670</v>
      </c>
      <c r="L161" s="18">
        <v>393.21</v>
      </c>
      <c r="M161" s="17">
        <v>3276.79</v>
      </c>
      <c r="N161" s="17">
        <v>3670</v>
      </c>
      <c r="O161" s="2"/>
      <c r="P161" s="2"/>
      <c r="Q161" s="31" t="s">
        <v>30</v>
      </c>
      <c r="R161" s="66"/>
      <c r="S161" s="62"/>
      <c r="T161" s="5"/>
    </row>
    <row r="162" spans="1:20" hidden="1">
      <c r="A162" s="2" t="s">
        <v>1372</v>
      </c>
      <c r="B162" s="2" t="s">
        <v>1436</v>
      </c>
      <c r="C162" s="2" t="s">
        <v>29</v>
      </c>
      <c r="D162" s="16">
        <v>0</v>
      </c>
      <c r="E162" s="2" t="s">
        <v>1372</v>
      </c>
      <c r="F162" s="2" t="s">
        <v>31</v>
      </c>
      <c r="G162" s="2" t="s">
        <v>1437</v>
      </c>
      <c r="H162" s="17">
        <v>7250</v>
      </c>
      <c r="I162" s="2"/>
      <c r="J162" s="2"/>
      <c r="K162" s="17">
        <v>7250</v>
      </c>
      <c r="L162" s="18">
        <v>776.79</v>
      </c>
      <c r="M162" s="17">
        <v>6473.21</v>
      </c>
      <c r="N162" s="17">
        <v>7250</v>
      </c>
      <c r="O162" s="2"/>
      <c r="P162" s="2"/>
      <c r="Q162" s="31" t="s">
        <v>30</v>
      </c>
      <c r="R162" s="66"/>
      <c r="S162" s="62"/>
      <c r="T162" s="5"/>
    </row>
    <row r="163" spans="1:20" hidden="1">
      <c r="A163" s="2" t="s">
        <v>1467</v>
      </c>
      <c r="B163" s="2" t="s">
        <v>1485</v>
      </c>
      <c r="C163" s="2" t="s">
        <v>29</v>
      </c>
      <c r="D163" s="16">
        <v>0</v>
      </c>
      <c r="E163" s="2" t="s">
        <v>1467</v>
      </c>
      <c r="F163" s="2" t="s">
        <v>31</v>
      </c>
      <c r="G163" s="2" t="s">
        <v>1486</v>
      </c>
      <c r="H163" s="17">
        <v>93896</v>
      </c>
      <c r="I163" s="2"/>
      <c r="J163" s="2"/>
      <c r="K163" s="17">
        <v>93896</v>
      </c>
      <c r="L163" s="17">
        <v>10060.290000000001</v>
      </c>
      <c r="M163" s="17">
        <v>83835.710000000006</v>
      </c>
      <c r="N163" s="17">
        <v>93896</v>
      </c>
      <c r="O163" s="2"/>
      <c r="P163" s="2"/>
      <c r="Q163" s="31" t="s">
        <v>30</v>
      </c>
      <c r="R163" s="66"/>
      <c r="S163" s="62"/>
      <c r="T163" s="5"/>
    </row>
    <row r="164" spans="1:20" hidden="1">
      <c r="A164" s="2" t="s">
        <v>1467</v>
      </c>
      <c r="B164" s="2" t="s">
        <v>1487</v>
      </c>
      <c r="C164" s="2" t="s">
        <v>29</v>
      </c>
      <c r="D164" s="16">
        <v>0</v>
      </c>
      <c r="E164" s="2" t="s">
        <v>1467</v>
      </c>
      <c r="F164" s="2" t="s">
        <v>31</v>
      </c>
      <c r="G164" s="2" t="s">
        <v>1488</v>
      </c>
      <c r="H164" s="17">
        <v>3492</v>
      </c>
      <c r="I164" s="2"/>
      <c r="J164" s="2"/>
      <c r="K164" s="17">
        <v>3492</v>
      </c>
      <c r="L164" s="18">
        <v>374.14</v>
      </c>
      <c r="M164" s="17">
        <v>3117.86</v>
      </c>
      <c r="N164" s="17">
        <v>3492</v>
      </c>
      <c r="O164" s="2"/>
      <c r="P164" s="2"/>
      <c r="Q164" s="31" t="s">
        <v>30</v>
      </c>
      <c r="R164" s="66"/>
      <c r="S164" s="62"/>
      <c r="T164" s="5"/>
    </row>
    <row r="165" spans="1:20" hidden="1">
      <c r="A165" s="2" t="s">
        <v>1467</v>
      </c>
      <c r="B165" s="2" t="s">
        <v>1489</v>
      </c>
      <c r="C165" s="2" t="s">
        <v>29</v>
      </c>
      <c r="D165" s="16">
        <v>0</v>
      </c>
      <c r="E165" s="2" t="s">
        <v>1467</v>
      </c>
      <c r="F165" s="2" t="s">
        <v>31</v>
      </c>
      <c r="G165" s="2" t="s">
        <v>1490</v>
      </c>
      <c r="H165" s="17">
        <v>124548</v>
      </c>
      <c r="I165" s="2"/>
      <c r="J165" s="2"/>
      <c r="K165" s="17">
        <v>124548</v>
      </c>
      <c r="L165" s="17">
        <v>13344.43</v>
      </c>
      <c r="M165" s="17">
        <v>111203.57</v>
      </c>
      <c r="N165" s="17">
        <v>124548</v>
      </c>
      <c r="O165" s="2"/>
      <c r="P165" s="2"/>
      <c r="Q165" s="31" t="s">
        <v>30</v>
      </c>
      <c r="R165" s="66"/>
      <c r="S165" s="62"/>
      <c r="T165" s="5"/>
    </row>
    <row r="166" spans="1:20" hidden="1">
      <c r="A166" s="2" t="s">
        <v>1467</v>
      </c>
      <c r="B166" s="2" t="s">
        <v>1507</v>
      </c>
      <c r="C166" s="2" t="s">
        <v>29</v>
      </c>
      <c r="D166" s="16">
        <v>0</v>
      </c>
      <c r="E166" s="2" t="s">
        <v>1467</v>
      </c>
      <c r="F166" s="2" t="s">
        <v>31</v>
      </c>
      <c r="G166" s="2" t="s">
        <v>1508</v>
      </c>
      <c r="H166" s="17">
        <v>24000</v>
      </c>
      <c r="I166" s="2"/>
      <c r="J166" s="2"/>
      <c r="K166" s="17">
        <v>24000</v>
      </c>
      <c r="L166" s="17">
        <v>2571.4299999999998</v>
      </c>
      <c r="M166" s="17">
        <v>21428.57</v>
      </c>
      <c r="N166" s="17">
        <v>24000</v>
      </c>
      <c r="O166" s="2"/>
      <c r="P166" s="2"/>
      <c r="Q166" s="31" t="s">
        <v>30</v>
      </c>
      <c r="R166" s="66"/>
      <c r="S166" s="62"/>
      <c r="T166" s="5"/>
    </row>
    <row r="167" spans="1:20" hidden="1">
      <c r="A167" s="2" t="s">
        <v>1467</v>
      </c>
      <c r="B167" s="2" t="s">
        <v>1509</v>
      </c>
      <c r="C167" s="2" t="s">
        <v>29</v>
      </c>
      <c r="D167" s="16">
        <v>0</v>
      </c>
      <c r="E167" s="2" t="s">
        <v>1467</v>
      </c>
      <c r="F167" s="2" t="s">
        <v>31</v>
      </c>
      <c r="G167" s="2" t="s">
        <v>1510</v>
      </c>
      <c r="H167" s="17">
        <v>77690</v>
      </c>
      <c r="I167" s="2"/>
      <c r="J167" s="2"/>
      <c r="K167" s="17">
        <v>77690</v>
      </c>
      <c r="L167" s="17">
        <v>8323.93</v>
      </c>
      <c r="M167" s="17">
        <v>69366.070000000007</v>
      </c>
      <c r="N167" s="17">
        <v>77690</v>
      </c>
      <c r="O167" s="2"/>
      <c r="P167" s="2"/>
      <c r="Q167" s="31" t="s">
        <v>30</v>
      </c>
      <c r="R167" s="66"/>
      <c r="S167" s="62"/>
      <c r="T167" s="5"/>
    </row>
    <row r="168" spans="1:20" hidden="1">
      <c r="A168" s="2" t="s">
        <v>1467</v>
      </c>
      <c r="B168" s="2" t="s">
        <v>1511</v>
      </c>
      <c r="C168" s="2" t="s">
        <v>29</v>
      </c>
      <c r="D168" s="16">
        <v>0</v>
      </c>
      <c r="E168" s="2" t="s">
        <v>1467</v>
      </c>
      <c r="F168" s="2" t="s">
        <v>31</v>
      </c>
      <c r="G168" s="2" t="s">
        <v>1512</v>
      </c>
      <c r="H168" s="17">
        <v>2080</v>
      </c>
      <c r="I168" s="2"/>
      <c r="J168" s="2"/>
      <c r="K168" s="17">
        <v>2080</v>
      </c>
      <c r="L168" s="18">
        <v>222.86</v>
      </c>
      <c r="M168" s="17">
        <v>1857.14</v>
      </c>
      <c r="N168" s="17">
        <v>2080</v>
      </c>
      <c r="O168" s="2"/>
      <c r="P168" s="2"/>
      <c r="Q168" s="31" t="s">
        <v>30</v>
      </c>
      <c r="R168" s="66"/>
      <c r="S168" s="62"/>
      <c r="T168" s="5"/>
    </row>
    <row r="169" spans="1:20" hidden="1">
      <c r="A169" s="2" t="s">
        <v>1467</v>
      </c>
      <c r="B169" s="2" t="s">
        <v>1513</v>
      </c>
      <c r="C169" s="2" t="s">
        <v>29</v>
      </c>
      <c r="D169" s="16">
        <v>0</v>
      </c>
      <c r="E169" s="2" t="s">
        <v>1467</v>
      </c>
      <c r="F169" s="2" t="s">
        <v>31</v>
      </c>
      <c r="G169" s="2" t="s">
        <v>1514</v>
      </c>
      <c r="H169" s="17">
        <v>2400</v>
      </c>
      <c r="I169" s="2"/>
      <c r="J169" s="2"/>
      <c r="K169" s="17">
        <v>2400</v>
      </c>
      <c r="L169" s="18">
        <v>257.14</v>
      </c>
      <c r="M169" s="17">
        <v>2142.86</v>
      </c>
      <c r="N169" s="17">
        <v>2400</v>
      </c>
      <c r="O169" s="2"/>
      <c r="P169" s="2"/>
      <c r="Q169" s="31" t="s">
        <v>30</v>
      </c>
      <c r="R169" s="66"/>
      <c r="S169" s="62"/>
      <c r="T169" s="5"/>
    </row>
    <row r="170" spans="1:20" hidden="1">
      <c r="A170" s="2" t="s">
        <v>1467</v>
      </c>
      <c r="B170" s="2" t="s">
        <v>1536</v>
      </c>
      <c r="C170" s="2" t="s">
        <v>29</v>
      </c>
      <c r="D170" s="16">
        <v>0</v>
      </c>
      <c r="E170" s="2" t="s">
        <v>1467</v>
      </c>
      <c r="F170" s="2" t="s">
        <v>31</v>
      </c>
      <c r="G170" s="2" t="s">
        <v>1537</v>
      </c>
      <c r="H170" s="17">
        <v>112032</v>
      </c>
      <c r="I170" s="2"/>
      <c r="J170" s="2"/>
      <c r="K170" s="17">
        <v>112032</v>
      </c>
      <c r="L170" s="17">
        <v>12003.43</v>
      </c>
      <c r="M170" s="17">
        <v>100028.57</v>
      </c>
      <c r="N170" s="17">
        <v>112032</v>
      </c>
      <c r="O170" s="2"/>
      <c r="P170" s="2"/>
      <c r="Q170" s="31" t="s">
        <v>30</v>
      </c>
      <c r="R170" s="66"/>
      <c r="S170" s="62"/>
      <c r="T170" s="5"/>
    </row>
    <row r="171" spans="1:20" hidden="1">
      <c r="A171" s="2" t="s">
        <v>1467</v>
      </c>
      <c r="B171" s="2" t="s">
        <v>1540</v>
      </c>
      <c r="C171" s="2" t="s">
        <v>29</v>
      </c>
      <c r="D171" s="16">
        <v>0</v>
      </c>
      <c r="E171" s="2" t="s">
        <v>1467</v>
      </c>
      <c r="F171" s="2" t="s">
        <v>31</v>
      </c>
      <c r="G171" s="2" t="s">
        <v>1541</v>
      </c>
      <c r="H171" s="17">
        <v>47600</v>
      </c>
      <c r="I171" s="2"/>
      <c r="J171" s="2"/>
      <c r="K171" s="17">
        <v>47600</v>
      </c>
      <c r="L171" s="17">
        <v>5100</v>
      </c>
      <c r="M171" s="17">
        <v>42500</v>
      </c>
      <c r="N171" s="17">
        <v>47600</v>
      </c>
      <c r="O171" s="2"/>
      <c r="P171" s="2"/>
      <c r="Q171" s="31" t="s">
        <v>30</v>
      </c>
      <c r="R171" s="66"/>
      <c r="S171" s="62"/>
      <c r="T171" s="5"/>
    </row>
    <row r="172" spans="1:20" hidden="1">
      <c r="A172" s="2" t="s">
        <v>1467</v>
      </c>
      <c r="B172" s="2" t="s">
        <v>1544</v>
      </c>
      <c r="C172" s="2" t="s">
        <v>29</v>
      </c>
      <c r="D172" s="16">
        <v>0</v>
      </c>
      <c r="E172" s="2" t="s">
        <v>1467</v>
      </c>
      <c r="F172" s="2" t="s">
        <v>31</v>
      </c>
      <c r="G172" s="2" t="s">
        <v>1545</v>
      </c>
      <c r="H172" s="17">
        <v>12600</v>
      </c>
      <c r="I172" s="2"/>
      <c r="J172" s="2"/>
      <c r="K172" s="17">
        <v>12600</v>
      </c>
      <c r="L172" s="17">
        <v>1350</v>
      </c>
      <c r="M172" s="17">
        <v>11250</v>
      </c>
      <c r="N172" s="17">
        <v>12600</v>
      </c>
      <c r="O172" s="2"/>
      <c r="P172" s="2"/>
      <c r="Q172" s="31" t="s">
        <v>30</v>
      </c>
      <c r="R172" s="66"/>
      <c r="S172" s="62"/>
      <c r="T172" s="5"/>
    </row>
    <row r="173" spans="1:20" hidden="1">
      <c r="A173" s="2" t="s">
        <v>1467</v>
      </c>
      <c r="B173" s="2" t="s">
        <v>1546</v>
      </c>
      <c r="C173" s="2" t="s">
        <v>29</v>
      </c>
      <c r="D173" s="16">
        <v>0</v>
      </c>
      <c r="E173" s="2" t="s">
        <v>1467</v>
      </c>
      <c r="F173" s="2" t="s">
        <v>31</v>
      </c>
      <c r="G173" s="2" t="s">
        <v>1547</v>
      </c>
      <c r="H173" s="17">
        <v>2600</v>
      </c>
      <c r="I173" s="2"/>
      <c r="J173" s="2"/>
      <c r="K173" s="17">
        <v>2600</v>
      </c>
      <c r="L173" s="18">
        <v>278.57</v>
      </c>
      <c r="M173" s="17">
        <v>2321.4299999999998</v>
      </c>
      <c r="N173" s="17">
        <v>2600</v>
      </c>
      <c r="O173" s="2"/>
      <c r="P173" s="2"/>
      <c r="Q173" s="31" t="s">
        <v>30</v>
      </c>
      <c r="R173" s="66"/>
      <c r="S173" s="62"/>
      <c r="T173" s="5"/>
    </row>
    <row r="174" spans="1:20" hidden="1">
      <c r="A174" s="2" t="s">
        <v>1467</v>
      </c>
      <c r="B174" s="2" t="s">
        <v>1548</v>
      </c>
      <c r="C174" s="2" t="s">
        <v>29</v>
      </c>
      <c r="D174" s="16">
        <v>0</v>
      </c>
      <c r="E174" s="2" t="s">
        <v>1467</v>
      </c>
      <c r="F174" s="2" t="s">
        <v>31</v>
      </c>
      <c r="G174" s="2" t="s">
        <v>1549</v>
      </c>
      <c r="H174" s="17">
        <v>32250</v>
      </c>
      <c r="I174" s="2"/>
      <c r="J174" s="2"/>
      <c r="K174" s="17">
        <v>32250</v>
      </c>
      <c r="L174" s="17">
        <v>3455.36</v>
      </c>
      <c r="M174" s="17">
        <v>28794.639999999999</v>
      </c>
      <c r="N174" s="17">
        <v>32250</v>
      </c>
      <c r="O174" s="2"/>
      <c r="P174" s="2"/>
      <c r="Q174" s="31" t="s">
        <v>30</v>
      </c>
      <c r="R174" s="65"/>
      <c r="S174" s="62"/>
      <c r="T174" s="5"/>
    </row>
    <row r="175" spans="1:20" hidden="1">
      <c r="A175" s="2" t="s">
        <v>1217</v>
      </c>
      <c r="B175" s="2" t="s">
        <v>1247</v>
      </c>
      <c r="C175" s="2" t="s">
        <v>60</v>
      </c>
      <c r="D175" s="16">
        <v>0</v>
      </c>
      <c r="E175" s="2" t="s">
        <v>1217</v>
      </c>
      <c r="F175" s="2" t="s">
        <v>1248</v>
      </c>
      <c r="G175" s="2" t="s">
        <v>1249</v>
      </c>
      <c r="H175" s="17">
        <v>106715</v>
      </c>
      <c r="I175" s="2"/>
      <c r="J175" s="2"/>
      <c r="K175" s="17">
        <v>106715</v>
      </c>
      <c r="L175" s="17">
        <v>11433.75</v>
      </c>
      <c r="M175" s="17">
        <v>95281.25</v>
      </c>
      <c r="N175" s="17">
        <v>106715</v>
      </c>
      <c r="O175" s="2"/>
      <c r="P175" s="2"/>
      <c r="Q175" s="31" t="s">
        <v>30</v>
      </c>
      <c r="R175" s="61">
        <f>+K175+K176</f>
        <v>111045</v>
      </c>
      <c r="S175" s="62"/>
      <c r="T175" s="5"/>
    </row>
    <row r="176" spans="1:20" hidden="1">
      <c r="A176" s="2" t="s">
        <v>1287</v>
      </c>
      <c r="B176" s="2" t="s">
        <v>1318</v>
      </c>
      <c r="C176" s="2" t="s">
        <v>60</v>
      </c>
      <c r="D176" s="16">
        <v>0</v>
      </c>
      <c r="E176" s="2" t="s">
        <v>1287</v>
      </c>
      <c r="F176" s="2" t="s">
        <v>1248</v>
      </c>
      <c r="G176" s="2" t="s">
        <v>1319</v>
      </c>
      <c r="H176" s="17">
        <v>4330</v>
      </c>
      <c r="I176" s="2"/>
      <c r="J176" s="2"/>
      <c r="K176" s="17">
        <v>4330</v>
      </c>
      <c r="L176" s="18">
        <v>463.93</v>
      </c>
      <c r="M176" s="17">
        <v>3866.07</v>
      </c>
      <c r="N176" s="17">
        <v>4330</v>
      </c>
      <c r="O176" s="2"/>
      <c r="P176" s="2"/>
      <c r="Q176" s="31" t="s">
        <v>30</v>
      </c>
      <c r="R176" s="63"/>
      <c r="S176" s="62"/>
      <c r="T176" s="5"/>
    </row>
    <row r="177" spans="1:20" hidden="1">
      <c r="A177" s="2" t="s">
        <v>689</v>
      </c>
      <c r="B177" s="2" t="s">
        <v>711</v>
      </c>
      <c r="C177" s="2" t="s">
        <v>104</v>
      </c>
      <c r="D177" s="16">
        <v>0</v>
      </c>
      <c r="E177" s="2" t="s">
        <v>689</v>
      </c>
      <c r="F177" s="2" t="s">
        <v>712</v>
      </c>
      <c r="G177" s="2" t="s">
        <v>713</v>
      </c>
      <c r="H177" s="17">
        <v>397768</v>
      </c>
      <c r="I177" s="2"/>
      <c r="J177" s="2"/>
      <c r="K177" s="17">
        <v>397768</v>
      </c>
      <c r="L177" s="17">
        <v>42618</v>
      </c>
      <c r="M177" s="17">
        <v>355150</v>
      </c>
      <c r="N177" s="17">
        <v>397768</v>
      </c>
      <c r="O177" s="2"/>
      <c r="P177" s="2"/>
      <c r="Q177" s="31" t="s">
        <v>30</v>
      </c>
      <c r="R177" s="61">
        <f>+K177+K178+K179</f>
        <v>483656</v>
      </c>
      <c r="S177" s="62"/>
      <c r="T177" s="5"/>
    </row>
    <row r="178" spans="1:20" hidden="1">
      <c r="A178" s="2" t="s">
        <v>689</v>
      </c>
      <c r="B178" s="2" t="s">
        <v>714</v>
      </c>
      <c r="C178" s="2" t="s">
        <v>104</v>
      </c>
      <c r="D178" s="16">
        <v>0</v>
      </c>
      <c r="E178" s="2" t="s">
        <v>689</v>
      </c>
      <c r="F178" s="2" t="s">
        <v>712</v>
      </c>
      <c r="G178" s="2" t="s">
        <v>715</v>
      </c>
      <c r="H178" s="17">
        <v>38400</v>
      </c>
      <c r="I178" s="2"/>
      <c r="J178" s="2"/>
      <c r="K178" s="17">
        <v>38400</v>
      </c>
      <c r="L178" s="17">
        <v>4114.29</v>
      </c>
      <c r="M178" s="17">
        <v>34285.71</v>
      </c>
      <c r="N178" s="17">
        <v>38400</v>
      </c>
      <c r="O178" s="2"/>
      <c r="P178" s="2"/>
      <c r="Q178" s="31" t="s">
        <v>30</v>
      </c>
      <c r="R178" s="62"/>
      <c r="S178" s="62"/>
      <c r="T178" s="5"/>
    </row>
    <row r="179" spans="1:20" hidden="1">
      <c r="A179" s="2" t="s">
        <v>689</v>
      </c>
      <c r="B179" s="2" t="s">
        <v>716</v>
      </c>
      <c r="C179" s="2" t="s">
        <v>104</v>
      </c>
      <c r="D179" s="16">
        <v>0</v>
      </c>
      <c r="E179" s="2" t="s">
        <v>689</v>
      </c>
      <c r="F179" s="2" t="s">
        <v>712</v>
      </c>
      <c r="G179" s="2" t="s">
        <v>717</v>
      </c>
      <c r="H179" s="17">
        <v>47488</v>
      </c>
      <c r="I179" s="2"/>
      <c r="J179" s="2"/>
      <c r="K179" s="17">
        <v>47488</v>
      </c>
      <c r="L179" s="17">
        <v>5088</v>
      </c>
      <c r="M179" s="17">
        <v>42400</v>
      </c>
      <c r="N179" s="17">
        <v>47488</v>
      </c>
      <c r="O179" s="2"/>
      <c r="P179" s="2"/>
      <c r="Q179" s="31" t="s">
        <v>30</v>
      </c>
      <c r="R179" s="63"/>
      <c r="S179" s="62"/>
      <c r="T179" s="5"/>
    </row>
    <row r="180" spans="1:20" hidden="1">
      <c r="A180" s="2" t="s">
        <v>17</v>
      </c>
      <c r="B180" s="2" t="s">
        <v>39</v>
      </c>
      <c r="C180" s="2" t="s">
        <v>29</v>
      </c>
      <c r="D180" s="16">
        <v>0</v>
      </c>
      <c r="E180" s="2" t="s">
        <v>17</v>
      </c>
      <c r="F180" s="2" t="s">
        <v>40</v>
      </c>
      <c r="G180" s="2" t="s">
        <v>41</v>
      </c>
      <c r="H180" s="17">
        <v>186500</v>
      </c>
      <c r="I180" s="2"/>
      <c r="J180" s="2"/>
      <c r="K180" s="17">
        <v>186500</v>
      </c>
      <c r="L180" s="17">
        <v>19982.14</v>
      </c>
      <c r="M180" s="17">
        <v>166517.85999999999</v>
      </c>
      <c r="N180" s="17">
        <v>186500</v>
      </c>
      <c r="O180" s="2"/>
      <c r="P180" s="2"/>
      <c r="Q180" s="31" t="s">
        <v>30</v>
      </c>
      <c r="R180" s="61">
        <f>+K180+K181+K182+K183</f>
        <v>1339900</v>
      </c>
      <c r="S180" s="62"/>
      <c r="T180" s="5"/>
    </row>
    <row r="181" spans="1:20" hidden="1">
      <c r="A181" s="2" t="s">
        <v>17</v>
      </c>
      <c r="B181" s="2" t="s">
        <v>42</v>
      </c>
      <c r="C181" s="2" t="s">
        <v>29</v>
      </c>
      <c r="D181" s="16">
        <v>0</v>
      </c>
      <c r="E181" s="2" t="s">
        <v>17</v>
      </c>
      <c r="F181" s="2" t="s">
        <v>40</v>
      </c>
      <c r="G181" s="2" t="s">
        <v>43</v>
      </c>
      <c r="H181" s="17">
        <v>70000</v>
      </c>
      <c r="I181" s="2"/>
      <c r="J181" s="2"/>
      <c r="K181" s="17">
        <v>70000</v>
      </c>
      <c r="L181" s="17">
        <v>7500</v>
      </c>
      <c r="M181" s="17">
        <v>62500</v>
      </c>
      <c r="N181" s="17">
        <v>70000</v>
      </c>
      <c r="O181" s="2"/>
      <c r="P181" s="2"/>
      <c r="Q181" s="31" t="s">
        <v>30</v>
      </c>
      <c r="R181" s="62"/>
      <c r="S181" s="62"/>
      <c r="T181" s="5"/>
    </row>
    <row r="182" spans="1:20" hidden="1">
      <c r="A182" s="2" t="s">
        <v>17</v>
      </c>
      <c r="B182" s="2" t="s">
        <v>87</v>
      </c>
      <c r="C182" s="2" t="s">
        <v>29</v>
      </c>
      <c r="D182" s="16">
        <v>0</v>
      </c>
      <c r="E182" s="2" t="s">
        <v>17</v>
      </c>
      <c r="F182" s="2" t="s">
        <v>40</v>
      </c>
      <c r="G182" s="2" t="s">
        <v>88</v>
      </c>
      <c r="H182" s="17">
        <v>1008800</v>
      </c>
      <c r="I182" s="2"/>
      <c r="J182" s="2"/>
      <c r="K182" s="17">
        <v>1008800</v>
      </c>
      <c r="L182" s="17">
        <v>108085.71</v>
      </c>
      <c r="M182" s="17">
        <v>900714.29</v>
      </c>
      <c r="N182" s="17">
        <v>1008800</v>
      </c>
      <c r="O182" s="2"/>
      <c r="P182" s="2"/>
      <c r="Q182" s="31" t="s">
        <v>30</v>
      </c>
      <c r="R182" s="62"/>
      <c r="S182" s="62"/>
      <c r="T182" s="5"/>
    </row>
    <row r="183" spans="1:20" hidden="1">
      <c r="A183" s="2" t="s">
        <v>1217</v>
      </c>
      <c r="B183" s="2" t="s">
        <v>1284</v>
      </c>
      <c r="C183" s="2" t="s">
        <v>29</v>
      </c>
      <c r="D183" s="16">
        <v>0</v>
      </c>
      <c r="E183" s="2" t="s">
        <v>1217</v>
      </c>
      <c r="F183" s="2" t="s">
        <v>40</v>
      </c>
      <c r="G183" s="2" t="s">
        <v>1285</v>
      </c>
      <c r="H183" s="17">
        <v>74600</v>
      </c>
      <c r="I183" s="2"/>
      <c r="J183" s="2"/>
      <c r="K183" s="17">
        <v>74600</v>
      </c>
      <c r="L183" s="17">
        <v>7992.86</v>
      </c>
      <c r="M183" s="17">
        <v>66607.14</v>
      </c>
      <c r="N183" s="17">
        <v>74600</v>
      </c>
      <c r="O183" s="2"/>
      <c r="P183" s="2"/>
      <c r="Q183" s="31" t="s">
        <v>30</v>
      </c>
      <c r="R183" s="63"/>
      <c r="S183" s="62"/>
      <c r="T183" s="5"/>
    </row>
    <row r="184" spans="1:20" hidden="1">
      <c r="A184" s="2" t="s">
        <v>17</v>
      </c>
      <c r="B184" s="2" t="s">
        <v>84</v>
      </c>
      <c r="C184" s="2" t="s">
        <v>60</v>
      </c>
      <c r="D184" s="16">
        <v>0</v>
      </c>
      <c r="E184" s="2" t="s">
        <v>17</v>
      </c>
      <c r="F184" s="2" t="s">
        <v>85</v>
      </c>
      <c r="G184" s="2" t="s">
        <v>86</v>
      </c>
      <c r="H184" s="17">
        <v>266373</v>
      </c>
      <c r="I184" s="2"/>
      <c r="J184" s="2"/>
      <c r="K184" s="17">
        <v>266373</v>
      </c>
      <c r="L184" s="17">
        <v>28539.96</v>
      </c>
      <c r="M184" s="17">
        <v>237833.04</v>
      </c>
      <c r="N184" s="17">
        <v>266373</v>
      </c>
      <c r="O184" s="2"/>
      <c r="P184" s="2"/>
      <c r="Q184" s="31" t="s">
        <v>30</v>
      </c>
      <c r="R184" s="32">
        <f>+K184</f>
        <v>266373</v>
      </c>
      <c r="S184" s="62"/>
      <c r="T184" s="5"/>
    </row>
    <row r="185" spans="1:20" hidden="1">
      <c r="A185" s="2" t="s">
        <v>93</v>
      </c>
      <c r="B185" s="2" t="s">
        <v>154</v>
      </c>
      <c r="C185" s="2" t="s">
        <v>29</v>
      </c>
      <c r="D185" s="16">
        <v>0</v>
      </c>
      <c r="E185" s="2" t="s">
        <v>93</v>
      </c>
      <c r="F185" s="2" t="s">
        <v>155</v>
      </c>
      <c r="G185" s="2" t="s">
        <v>156</v>
      </c>
      <c r="H185" s="17">
        <v>168000</v>
      </c>
      <c r="I185" s="2"/>
      <c r="J185" s="2"/>
      <c r="K185" s="17">
        <v>168000</v>
      </c>
      <c r="L185" s="17">
        <v>18000</v>
      </c>
      <c r="M185" s="17">
        <v>150000</v>
      </c>
      <c r="N185" s="17">
        <v>168000</v>
      </c>
      <c r="O185" s="2"/>
      <c r="P185" s="2"/>
      <c r="Q185" s="31" t="s">
        <v>30</v>
      </c>
      <c r="R185" s="61">
        <f>+K185+K186+K187+K188+K189+K190+K191+K192+K193+K194+K195</f>
        <v>705028</v>
      </c>
      <c r="S185" s="62"/>
      <c r="T185" s="5"/>
    </row>
    <row r="186" spans="1:20" hidden="1">
      <c r="A186" s="2" t="s">
        <v>93</v>
      </c>
      <c r="B186" s="2" t="s">
        <v>157</v>
      </c>
      <c r="C186" s="2" t="s">
        <v>29</v>
      </c>
      <c r="D186" s="16">
        <v>0</v>
      </c>
      <c r="E186" s="2" t="s">
        <v>93</v>
      </c>
      <c r="F186" s="2" t="s">
        <v>155</v>
      </c>
      <c r="G186" s="2" t="s">
        <v>158</v>
      </c>
      <c r="H186" s="17">
        <v>13800</v>
      </c>
      <c r="I186" s="2"/>
      <c r="J186" s="2"/>
      <c r="K186" s="17">
        <v>13800</v>
      </c>
      <c r="L186" s="17">
        <v>1478.57</v>
      </c>
      <c r="M186" s="17">
        <v>12321.43</v>
      </c>
      <c r="N186" s="17">
        <v>13800</v>
      </c>
      <c r="O186" s="2"/>
      <c r="P186" s="2"/>
      <c r="Q186" s="31" t="s">
        <v>30</v>
      </c>
      <c r="R186" s="62"/>
      <c r="S186" s="62"/>
      <c r="T186" s="5"/>
    </row>
    <row r="187" spans="1:20" hidden="1">
      <c r="A187" s="2" t="s">
        <v>93</v>
      </c>
      <c r="B187" s="2" t="s">
        <v>159</v>
      </c>
      <c r="C187" s="2" t="s">
        <v>29</v>
      </c>
      <c r="D187" s="16">
        <v>0</v>
      </c>
      <c r="E187" s="2" t="s">
        <v>93</v>
      </c>
      <c r="F187" s="2" t="s">
        <v>155</v>
      </c>
      <c r="G187" s="2" t="s">
        <v>160</v>
      </c>
      <c r="H187" s="17">
        <v>109781</v>
      </c>
      <c r="I187" s="2"/>
      <c r="J187" s="2"/>
      <c r="K187" s="17">
        <v>109781</v>
      </c>
      <c r="L187" s="17">
        <v>11762.25</v>
      </c>
      <c r="M187" s="17">
        <v>98018.75</v>
      </c>
      <c r="N187" s="17">
        <v>109781</v>
      </c>
      <c r="O187" s="2"/>
      <c r="P187" s="2"/>
      <c r="Q187" s="31" t="s">
        <v>30</v>
      </c>
      <c r="R187" s="62"/>
      <c r="S187" s="62"/>
      <c r="T187" s="5"/>
    </row>
    <row r="188" spans="1:20" hidden="1">
      <c r="A188" s="2" t="s">
        <v>505</v>
      </c>
      <c r="B188" s="2" t="s">
        <v>567</v>
      </c>
      <c r="C188" s="2" t="s">
        <v>29</v>
      </c>
      <c r="D188" s="16">
        <v>0</v>
      </c>
      <c r="E188" s="2" t="s">
        <v>505</v>
      </c>
      <c r="F188" s="2" t="s">
        <v>155</v>
      </c>
      <c r="G188" s="2" t="s">
        <v>568</v>
      </c>
      <c r="H188" s="17">
        <v>100352</v>
      </c>
      <c r="I188" s="2"/>
      <c r="J188" s="2"/>
      <c r="K188" s="17">
        <v>100352</v>
      </c>
      <c r="L188" s="17">
        <v>10752</v>
      </c>
      <c r="M188" s="17">
        <v>89600</v>
      </c>
      <c r="N188" s="17">
        <v>100352</v>
      </c>
      <c r="O188" s="2"/>
      <c r="P188" s="2"/>
      <c r="Q188" s="31" t="s">
        <v>30</v>
      </c>
      <c r="R188" s="62"/>
      <c r="S188" s="62"/>
      <c r="T188" s="5"/>
    </row>
    <row r="189" spans="1:20" hidden="1">
      <c r="A189" s="2" t="s">
        <v>769</v>
      </c>
      <c r="B189" s="2" t="s">
        <v>798</v>
      </c>
      <c r="C189" s="2" t="s">
        <v>29</v>
      </c>
      <c r="D189" s="16">
        <v>0</v>
      </c>
      <c r="E189" s="2" t="s">
        <v>769</v>
      </c>
      <c r="F189" s="2" t="s">
        <v>155</v>
      </c>
      <c r="G189" s="2" t="s">
        <v>799</v>
      </c>
      <c r="H189" s="17">
        <v>103537</v>
      </c>
      <c r="I189" s="2"/>
      <c r="J189" s="2"/>
      <c r="K189" s="17">
        <v>103537</v>
      </c>
      <c r="L189" s="17">
        <v>11093.25</v>
      </c>
      <c r="M189" s="17">
        <v>92443.75</v>
      </c>
      <c r="N189" s="17">
        <v>103537</v>
      </c>
      <c r="O189" s="2"/>
      <c r="P189" s="2"/>
      <c r="Q189" s="31" t="s">
        <v>30</v>
      </c>
      <c r="R189" s="62"/>
      <c r="S189" s="62"/>
      <c r="T189" s="5"/>
    </row>
    <row r="190" spans="1:20" hidden="1">
      <c r="A190" s="2" t="s">
        <v>769</v>
      </c>
      <c r="B190" s="2" t="s">
        <v>800</v>
      </c>
      <c r="C190" s="2" t="s">
        <v>29</v>
      </c>
      <c r="D190" s="16">
        <v>0</v>
      </c>
      <c r="E190" s="2" t="s">
        <v>769</v>
      </c>
      <c r="F190" s="2" t="s">
        <v>155</v>
      </c>
      <c r="G190" s="2" t="s">
        <v>801</v>
      </c>
      <c r="H190" s="17">
        <v>58800</v>
      </c>
      <c r="I190" s="2"/>
      <c r="J190" s="2"/>
      <c r="K190" s="17">
        <v>58800</v>
      </c>
      <c r="L190" s="17">
        <v>6300</v>
      </c>
      <c r="M190" s="17">
        <v>52500</v>
      </c>
      <c r="N190" s="17">
        <v>58800</v>
      </c>
      <c r="O190" s="2"/>
      <c r="P190" s="2"/>
      <c r="Q190" s="31" t="s">
        <v>30</v>
      </c>
      <c r="R190" s="62"/>
      <c r="S190" s="62"/>
      <c r="T190" s="5"/>
    </row>
    <row r="191" spans="1:20" hidden="1">
      <c r="A191" s="2" t="s">
        <v>769</v>
      </c>
      <c r="B191" s="2" t="s">
        <v>802</v>
      </c>
      <c r="C191" s="2" t="s">
        <v>29</v>
      </c>
      <c r="D191" s="16">
        <v>0</v>
      </c>
      <c r="E191" s="2" t="s">
        <v>769</v>
      </c>
      <c r="F191" s="2" t="s">
        <v>155</v>
      </c>
      <c r="G191" s="2" t="s">
        <v>803</v>
      </c>
      <c r="H191" s="17">
        <v>8400</v>
      </c>
      <c r="I191" s="2"/>
      <c r="J191" s="2"/>
      <c r="K191" s="17">
        <v>8400</v>
      </c>
      <c r="L191" s="18">
        <v>900</v>
      </c>
      <c r="M191" s="17">
        <v>7500</v>
      </c>
      <c r="N191" s="17">
        <v>8400</v>
      </c>
      <c r="O191" s="2"/>
      <c r="P191" s="2"/>
      <c r="Q191" s="31" t="s">
        <v>30</v>
      </c>
      <c r="R191" s="62"/>
      <c r="S191" s="62"/>
      <c r="T191" s="5"/>
    </row>
    <row r="192" spans="1:20" hidden="1">
      <c r="A192" s="2" t="s">
        <v>1048</v>
      </c>
      <c r="B192" s="2" t="s">
        <v>1088</v>
      </c>
      <c r="C192" s="2" t="s">
        <v>29</v>
      </c>
      <c r="D192" s="16">
        <v>0</v>
      </c>
      <c r="E192" s="2" t="s">
        <v>1048</v>
      </c>
      <c r="F192" s="2" t="s">
        <v>155</v>
      </c>
      <c r="G192" s="2" t="s">
        <v>1089</v>
      </c>
      <c r="H192" s="17">
        <v>39208</v>
      </c>
      <c r="I192" s="2"/>
      <c r="J192" s="2"/>
      <c r="K192" s="17">
        <v>39208</v>
      </c>
      <c r="L192" s="17">
        <v>4200.8599999999997</v>
      </c>
      <c r="M192" s="17">
        <v>35007.14</v>
      </c>
      <c r="N192" s="17">
        <v>39208</v>
      </c>
      <c r="O192" s="2"/>
      <c r="P192" s="2"/>
      <c r="Q192" s="31" t="s">
        <v>30</v>
      </c>
      <c r="R192" s="62"/>
      <c r="S192" s="62"/>
      <c r="T192" s="5"/>
    </row>
    <row r="193" spans="1:20" hidden="1">
      <c r="A193" s="2" t="s">
        <v>1467</v>
      </c>
      <c r="B193" s="2" t="s">
        <v>1534</v>
      </c>
      <c r="C193" s="2" t="s">
        <v>29</v>
      </c>
      <c r="D193" s="16">
        <v>0</v>
      </c>
      <c r="E193" s="2" t="s">
        <v>1467</v>
      </c>
      <c r="F193" s="2" t="s">
        <v>155</v>
      </c>
      <c r="G193" s="2" t="s">
        <v>1535</v>
      </c>
      <c r="H193" s="17">
        <v>67200</v>
      </c>
      <c r="I193" s="2"/>
      <c r="J193" s="2"/>
      <c r="K193" s="17">
        <v>67200</v>
      </c>
      <c r="L193" s="17">
        <v>7200</v>
      </c>
      <c r="M193" s="17">
        <v>60000</v>
      </c>
      <c r="N193" s="17">
        <v>67200</v>
      </c>
      <c r="O193" s="2"/>
      <c r="P193" s="2"/>
      <c r="Q193" s="31" t="s">
        <v>30</v>
      </c>
      <c r="R193" s="62"/>
      <c r="S193" s="62"/>
      <c r="T193" s="5"/>
    </row>
    <row r="194" spans="1:20" hidden="1">
      <c r="A194" s="2" t="s">
        <v>1467</v>
      </c>
      <c r="B194" s="2" t="s">
        <v>1538</v>
      </c>
      <c r="C194" s="2" t="s">
        <v>29</v>
      </c>
      <c r="D194" s="16">
        <v>0</v>
      </c>
      <c r="E194" s="2" t="s">
        <v>1467</v>
      </c>
      <c r="F194" s="2" t="s">
        <v>155</v>
      </c>
      <c r="G194" s="2" t="s">
        <v>1539</v>
      </c>
      <c r="H194" s="17">
        <v>13775</v>
      </c>
      <c r="I194" s="2"/>
      <c r="J194" s="2"/>
      <c r="K194" s="17">
        <v>13775</v>
      </c>
      <c r="L194" s="17">
        <v>1475.89</v>
      </c>
      <c r="M194" s="17">
        <v>12299.11</v>
      </c>
      <c r="N194" s="17">
        <v>13775</v>
      </c>
      <c r="O194" s="2"/>
      <c r="P194" s="2"/>
      <c r="Q194" s="31" t="s">
        <v>30</v>
      </c>
      <c r="R194" s="62"/>
      <c r="S194" s="62"/>
      <c r="T194" s="5"/>
    </row>
    <row r="195" spans="1:20" hidden="1">
      <c r="A195" s="2" t="s">
        <v>1467</v>
      </c>
      <c r="B195" s="2" t="s">
        <v>1542</v>
      </c>
      <c r="C195" s="2" t="s">
        <v>29</v>
      </c>
      <c r="D195" s="16">
        <v>0</v>
      </c>
      <c r="E195" s="2" t="s">
        <v>1467</v>
      </c>
      <c r="F195" s="2" t="s">
        <v>155</v>
      </c>
      <c r="G195" s="2" t="s">
        <v>1543</v>
      </c>
      <c r="H195" s="17">
        <v>22175</v>
      </c>
      <c r="I195" s="2"/>
      <c r="J195" s="2"/>
      <c r="K195" s="17">
        <v>22175</v>
      </c>
      <c r="L195" s="17">
        <v>2375.89</v>
      </c>
      <c r="M195" s="17">
        <v>19799.11</v>
      </c>
      <c r="N195" s="17">
        <v>22175</v>
      </c>
      <c r="O195" s="2"/>
      <c r="P195" s="2"/>
      <c r="Q195" s="31" t="s">
        <v>30</v>
      </c>
      <c r="R195" s="63"/>
      <c r="S195" s="62"/>
      <c r="T195" s="5"/>
    </row>
    <row r="196" spans="1:20" hidden="1">
      <c r="A196" s="2" t="s">
        <v>505</v>
      </c>
      <c r="B196" s="2" t="s">
        <v>580</v>
      </c>
      <c r="C196" s="2" t="s">
        <v>18</v>
      </c>
      <c r="D196" s="16">
        <v>0</v>
      </c>
      <c r="E196" s="2" t="s">
        <v>505</v>
      </c>
      <c r="F196" s="2" t="s">
        <v>581</v>
      </c>
      <c r="G196" s="2" t="s">
        <v>582</v>
      </c>
      <c r="H196" s="17">
        <v>151200</v>
      </c>
      <c r="I196" s="2"/>
      <c r="J196" s="2"/>
      <c r="K196" s="17">
        <v>151200</v>
      </c>
      <c r="L196" s="17">
        <v>16200</v>
      </c>
      <c r="M196" s="17">
        <v>135000</v>
      </c>
      <c r="N196" s="17">
        <v>151200</v>
      </c>
      <c r="O196" s="2"/>
      <c r="P196" s="2"/>
      <c r="Q196" s="31" t="s">
        <v>30</v>
      </c>
      <c r="R196" s="61">
        <f>+K196+K197+K198+K199+K200</f>
        <v>1555960</v>
      </c>
      <c r="S196" s="62"/>
      <c r="T196" s="5"/>
    </row>
    <row r="197" spans="1:20" hidden="1">
      <c r="A197" s="2" t="s">
        <v>505</v>
      </c>
      <c r="B197" s="2" t="s">
        <v>583</v>
      </c>
      <c r="C197" s="2" t="s">
        <v>18</v>
      </c>
      <c r="D197" s="16">
        <v>0</v>
      </c>
      <c r="E197" s="2" t="s">
        <v>505</v>
      </c>
      <c r="F197" s="2" t="s">
        <v>581</v>
      </c>
      <c r="G197" s="2" t="s">
        <v>584</v>
      </c>
      <c r="H197" s="17">
        <v>23800</v>
      </c>
      <c r="I197" s="2"/>
      <c r="J197" s="2"/>
      <c r="K197" s="17">
        <v>23800</v>
      </c>
      <c r="L197" s="17">
        <v>2550</v>
      </c>
      <c r="M197" s="17">
        <v>21250</v>
      </c>
      <c r="N197" s="17">
        <v>23800</v>
      </c>
      <c r="O197" s="2"/>
      <c r="P197" s="2"/>
      <c r="Q197" s="31" t="s">
        <v>30</v>
      </c>
      <c r="R197" s="62"/>
      <c r="S197" s="62"/>
      <c r="T197" s="5"/>
    </row>
    <row r="198" spans="1:20" hidden="1">
      <c r="A198" s="2" t="s">
        <v>1553</v>
      </c>
      <c r="B198" s="2" t="s">
        <v>1605</v>
      </c>
      <c r="C198" s="2" t="s">
        <v>18</v>
      </c>
      <c r="D198" s="16">
        <v>0</v>
      </c>
      <c r="E198" s="2" t="s">
        <v>1553</v>
      </c>
      <c r="F198" s="2" t="s">
        <v>581</v>
      </c>
      <c r="G198" s="2" t="s">
        <v>1606</v>
      </c>
      <c r="H198" s="17">
        <v>353460</v>
      </c>
      <c r="I198" s="2"/>
      <c r="J198" s="2"/>
      <c r="K198" s="17">
        <v>353460</v>
      </c>
      <c r="L198" s="17">
        <v>37870.71</v>
      </c>
      <c r="M198" s="17">
        <v>315589.28999999998</v>
      </c>
      <c r="N198" s="17">
        <v>353460</v>
      </c>
      <c r="O198" s="2"/>
      <c r="P198" s="2"/>
      <c r="Q198" s="31" t="s">
        <v>30</v>
      </c>
      <c r="R198" s="62"/>
      <c r="S198" s="62"/>
      <c r="T198" s="5"/>
    </row>
    <row r="199" spans="1:20" hidden="1">
      <c r="A199" s="2" t="s">
        <v>1553</v>
      </c>
      <c r="B199" s="2" t="s">
        <v>1607</v>
      </c>
      <c r="C199" s="2" t="s">
        <v>18</v>
      </c>
      <c r="D199" s="16">
        <v>0</v>
      </c>
      <c r="E199" s="2" t="s">
        <v>1553</v>
      </c>
      <c r="F199" s="2" t="s">
        <v>581</v>
      </c>
      <c r="G199" s="2" t="s">
        <v>1608</v>
      </c>
      <c r="H199" s="17">
        <v>1011060</v>
      </c>
      <c r="I199" s="2"/>
      <c r="J199" s="2"/>
      <c r="K199" s="17">
        <v>1011060</v>
      </c>
      <c r="L199" s="17">
        <v>108327.86</v>
      </c>
      <c r="M199" s="17">
        <v>902732.14</v>
      </c>
      <c r="N199" s="17">
        <v>1011060</v>
      </c>
      <c r="O199" s="2"/>
      <c r="P199" s="2"/>
      <c r="Q199" s="31" t="s">
        <v>30</v>
      </c>
      <c r="R199" s="62"/>
      <c r="S199" s="62"/>
      <c r="T199" s="5"/>
    </row>
    <row r="200" spans="1:20" hidden="1">
      <c r="A200" s="2" t="s">
        <v>1553</v>
      </c>
      <c r="B200" s="2" t="s">
        <v>1609</v>
      </c>
      <c r="C200" s="2" t="s">
        <v>18</v>
      </c>
      <c r="D200" s="16">
        <v>0</v>
      </c>
      <c r="E200" s="2" t="s">
        <v>1553</v>
      </c>
      <c r="F200" s="2" t="s">
        <v>581</v>
      </c>
      <c r="G200" s="2" t="s">
        <v>1610</v>
      </c>
      <c r="H200" s="17">
        <v>16440</v>
      </c>
      <c r="I200" s="2"/>
      <c r="J200" s="2"/>
      <c r="K200" s="17">
        <v>16440</v>
      </c>
      <c r="L200" s="17">
        <v>1761.43</v>
      </c>
      <c r="M200" s="17">
        <v>14678.57</v>
      </c>
      <c r="N200" s="17">
        <v>16440</v>
      </c>
      <c r="O200" s="2"/>
      <c r="P200" s="2"/>
      <c r="Q200" s="31" t="s">
        <v>30</v>
      </c>
      <c r="R200" s="63"/>
      <c r="S200" s="62"/>
      <c r="T200" s="5"/>
    </row>
    <row r="201" spans="1:20" hidden="1">
      <c r="A201" s="2" t="s">
        <v>199</v>
      </c>
      <c r="B201" s="2" t="s">
        <v>217</v>
      </c>
      <c r="C201" s="2" t="s">
        <v>29</v>
      </c>
      <c r="D201" s="16">
        <v>0</v>
      </c>
      <c r="E201" s="2" t="s">
        <v>199</v>
      </c>
      <c r="F201" s="2" t="s">
        <v>218</v>
      </c>
      <c r="G201" s="2" t="s">
        <v>219</v>
      </c>
      <c r="H201" s="17">
        <v>1078560</v>
      </c>
      <c r="I201" s="19">
        <v>-32356.799999999999</v>
      </c>
      <c r="J201" s="2"/>
      <c r="K201" s="17">
        <v>1046203.2</v>
      </c>
      <c r="L201" s="17">
        <v>112093.2</v>
      </c>
      <c r="M201" s="17">
        <v>934110</v>
      </c>
      <c r="N201" s="17">
        <v>1046203.2</v>
      </c>
      <c r="O201" s="2"/>
      <c r="P201" s="2"/>
      <c r="Q201" s="31" t="s">
        <v>30</v>
      </c>
      <c r="R201" s="61">
        <f>+K201+K202+K203+K204+K205+K206+K207+K208+K209</f>
        <v>2013886.8399999999</v>
      </c>
      <c r="S201" s="62"/>
      <c r="T201" s="5"/>
    </row>
    <row r="202" spans="1:20" hidden="1">
      <c r="A202" s="2" t="s">
        <v>448</v>
      </c>
      <c r="B202" s="2" t="s">
        <v>470</v>
      </c>
      <c r="C202" s="2" t="s">
        <v>29</v>
      </c>
      <c r="D202" s="16">
        <v>0</v>
      </c>
      <c r="E202" s="2" t="s">
        <v>448</v>
      </c>
      <c r="F202" s="2" t="s">
        <v>218</v>
      </c>
      <c r="G202" s="2" t="s">
        <v>471</v>
      </c>
      <c r="H202" s="17">
        <v>3038</v>
      </c>
      <c r="I202" s="19">
        <v>-91.14</v>
      </c>
      <c r="J202" s="2"/>
      <c r="K202" s="17">
        <v>2946.86</v>
      </c>
      <c r="L202" s="18">
        <v>315.73</v>
      </c>
      <c r="M202" s="17">
        <v>2631.13</v>
      </c>
      <c r="N202" s="17">
        <v>2946.86</v>
      </c>
      <c r="O202" s="2"/>
      <c r="P202" s="2"/>
      <c r="Q202" s="31" t="s">
        <v>30</v>
      </c>
      <c r="R202" s="62"/>
      <c r="S202" s="62"/>
      <c r="T202" s="5"/>
    </row>
    <row r="203" spans="1:20" hidden="1">
      <c r="A203" s="2" t="s">
        <v>689</v>
      </c>
      <c r="B203" s="2" t="s">
        <v>742</v>
      </c>
      <c r="C203" s="2" t="s">
        <v>29</v>
      </c>
      <c r="D203" s="16">
        <v>0</v>
      </c>
      <c r="E203" s="2" t="s">
        <v>689</v>
      </c>
      <c r="F203" s="2" t="s">
        <v>218</v>
      </c>
      <c r="G203" s="2" t="s">
        <v>743</v>
      </c>
      <c r="H203" s="17">
        <v>22936</v>
      </c>
      <c r="I203" s="19">
        <v>-688.08</v>
      </c>
      <c r="J203" s="2"/>
      <c r="K203" s="17">
        <v>22247.919999999998</v>
      </c>
      <c r="L203" s="17">
        <v>2383.71</v>
      </c>
      <c r="M203" s="17">
        <v>19864.21</v>
      </c>
      <c r="N203" s="17">
        <v>22247.919999999998</v>
      </c>
      <c r="O203" s="2"/>
      <c r="P203" s="2"/>
      <c r="Q203" s="31" t="s">
        <v>30</v>
      </c>
      <c r="R203" s="62"/>
      <c r="S203" s="62"/>
      <c r="T203" s="5"/>
    </row>
    <row r="204" spans="1:20" hidden="1">
      <c r="A204" s="2" t="s">
        <v>689</v>
      </c>
      <c r="B204" s="2" t="s">
        <v>744</v>
      </c>
      <c r="C204" s="2" t="s">
        <v>29</v>
      </c>
      <c r="D204" s="16">
        <v>0</v>
      </c>
      <c r="E204" s="2" t="s">
        <v>689</v>
      </c>
      <c r="F204" s="2" t="s">
        <v>218</v>
      </c>
      <c r="G204" s="2" t="s">
        <v>745</v>
      </c>
      <c r="H204" s="17">
        <v>61692</v>
      </c>
      <c r="I204" s="19">
        <v>-1850.76</v>
      </c>
      <c r="J204" s="2"/>
      <c r="K204" s="17">
        <v>59841.24</v>
      </c>
      <c r="L204" s="17">
        <v>6411.56</v>
      </c>
      <c r="M204" s="17">
        <v>53429.68</v>
      </c>
      <c r="N204" s="17">
        <v>59841.24</v>
      </c>
      <c r="O204" s="2"/>
      <c r="P204" s="2"/>
      <c r="Q204" s="31" t="s">
        <v>30</v>
      </c>
      <c r="R204" s="62"/>
      <c r="S204" s="62"/>
      <c r="T204" s="5"/>
    </row>
    <row r="205" spans="1:20" hidden="1">
      <c r="A205" s="2" t="s">
        <v>866</v>
      </c>
      <c r="B205" s="2" t="s">
        <v>912</v>
      </c>
      <c r="C205" s="2" t="s">
        <v>29</v>
      </c>
      <c r="D205" s="16">
        <v>0</v>
      </c>
      <c r="E205" s="2" t="s">
        <v>866</v>
      </c>
      <c r="F205" s="2" t="s">
        <v>218</v>
      </c>
      <c r="G205" s="2" t="s">
        <v>913</v>
      </c>
      <c r="H205" s="17">
        <v>32004</v>
      </c>
      <c r="I205" s="19">
        <v>-960.12</v>
      </c>
      <c r="J205" s="2"/>
      <c r="K205" s="17">
        <v>31043.88</v>
      </c>
      <c r="L205" s="17">
        <v>3326.13</v>
      </c>
      <c r="M205" s="17">
        <v>27717.75</v>
      </c>
      <c r="N205" s="17">
        <v>31043.88</v>
      </c>
      <c r="O205" s="2"/>
      <c r="P205" s="2"/>
      <c r="Q205" s="31" t="s">
        <v>30</v>
      </c>
      <c r="R205" s="62"/>
      <c r="S205" s="62"/>
      <c r="T205" s="5"/>
    </row>
    <row r="206" spans="1:20" hidden="1">
      <c r="A206" s="2" t="s">
        <v>1467</v>
      </c>
      <c r="B206" s="2" t="s">
        <v>1474</v>
      </c>
      <c r="C206" s="2" t="s">
        <v>29</v>
      </c>
      <c r="D206" s="16">
        <v>0</v>
      </c>
      <c r="E206" s="2" t="s">
        <v>1467</v>
      </c>
      <c r="F206" s="2" t="s">
        <v>218</v>
      </c>
      <c r="G206" s="2" t="s">
        <v>1475</v>
      </c>
      <c r="H206" s="17">
        <v>166560</v>
      </c>
      <c r="I206" s="19">
        <v>-4996.8</v>
      </c>
      <c r="J206" s="2"/>
      <c r="K206" s="17">
        <v>161563.20000000001</v>
      </c>
      <c r="L206" s="17">
        <v>17310.34</v>
      </c>
      <c r="M206" s="17">
        <v>144252.85999999999</v>
      </c>
      <c r="N206" s="17">
        <v>161563.20000000001</v>
      </c>
      <c r="O206" s="2"/>
      <c r="P206" s="2"/>
      <c r="Q206" s="31" t="s">
        <v>30</v>
      </c>
      <c r="R206" s="62"/>
      <c r="S206" s="62"/>
      <c r="T206" s="5"/>
    </row>
    <row r="207" spans="1:20" hidden="1">
      <c r="A207" s="2" t="s">
        <v>1467</v>
      </c>
      <c r="B207" s="2" t="s">
        <v>1476</v>
      </c>
      <c r="C207" s="2" t="s">
        <v>29</v>
      </c>
      <c r="D207" s="16">
        <v>0</v>
      </c>
      <c r="E207" s="2" t="s">
        <v>1467</v>
      </c>
      <c r="F207" s="2" t="s">
        <v>218</v>
      </c>
      <c r="G207" s="2" t="s">
        <v>1477</v>
      </c>
      <c r="H207" s="17">
        <v>41756</v>
      </c>
      <c r="I207" s="19">
        <v>-1252.68</v>
      </c>
      <c r="J207" s="2"/>
      <c r="K207" s="17">
        <v>40503.32</v>
      </c>
      <c r="L207" s="17">
        <v>4339.6400000000003</v>
      </c>
      <c r="M207" s="17">
        <v>36163.68</v>
      </c>
      <c r="N207" s="17">
        <v>40503.32</v>
      </c>
      <c r="O207" s="2"/>
      <c r="P207" s="2"/>
      <c r="Q207" s="31" t="s">
        <v>30</v>
      </c>
      <c r="R207" s="62"/>
      <c r="S207" s="62"/>
      <c r="T207" s="5"/>
    </row>
    <row r="208" spans="1:20" hidden="1">
      <c r="A208" s="2" t="s">
        <v>1553</v>
      </c>
      <c r="B208" s="2" t="s">
        <v>1593</v>
      </c>
      <c r="C208" s="2" t="s">
        <v>29</v>
      </c>
      <c r="D208" s="16">
        <v>0</v>
      </c>
      <c r="E208" s="2" t="s">
        <v>1553</v>
      </c>
      <c r="F208" s="2" t="s">
        <v>218</v>
      </c>
      <c r="G208" s="2" t="s">
        <v>1594</v>
      </c>
      <c r="H208" s="17">
        <v>517172</v>
      </c>
      <c r="I208" s="19">
        <v>-15515.16</v>
      </c>
      <c r="J208" s="2"/>
      <c r="K208" s="17">
        <v>501656.84</v>
      </c>
      <c r="L208" s="17">
        <v>53748.95</v>
      </c>
      <c r="M208" s="17">
        <v>447907.89</v>
      </c>
      <c r="N208" s="17">
        <v>501656.84</v>
      </c>
      <c r="O208" s="2"/>
      <c r="P208" s="2"/>
      <c r="Q208" s="31" t="s">
        <v>30</v>
      </c>
      <c r="R208" s="62"/>
      <c r="S208" s="62"/>
      <c r="T208" s="5"/>
    </row>
    <row r="209" spans="1:20" hidden="1">
      <c r="A209" s="2" t="s">
        <v>1553</v>
      </c>
      <c r="B209" s="2" t="s">
        <v>1595</v>
      </c>
      <c r="C209" s="2" t="s">
        <v>29</v>
      </c>
      <c r="D209" s="16">
        <v>0</v>
      </c>
      <c r="E209" s="2" t="s">
        <v>1553</v>
      </c>
      <c r="F209" s="2" t="s">
        <v>218</v>
      </c>
      <c r="G209" s="2" t="s">
        <v>1596</v>
      </c>
      <c r="H209" s="17">
        <v>152454</v>
      </c>
      <c r="I209" s="19">
        <v>-4573.62</v>
      </c>
      <c r="J209" s="2"/>
      <c r="K209" s="17">
        <v>147880.38</v>
      </c>
      <c r="L209" s="17">
        <v>15844.33</v>
      </c>
      <c r="M209" s="17">
        <v>132036.04999999999</v>
      </c>
      <c r="N209" s="17">
        <v>147880.38</v>
      </c>
      <c r="O209" s="2"/>
      <c r="P209" s="2"/>
      <c r="Q209" s="31" t="s">
        <v>30</v>
      </c>
      <c r="R209" s="63"/>
      <c r="S209" s="63"/>
      <c r="T209" s="5"/>
    </row>
    <row r="210" spans="1:20" hidden="1">
      <c r="A210" s="2" t="s">
        <v>1048</v>
      </c>
      <c r="B210" s="2" t="s">
        <v>1113</v>
      </c>
      <c r="C210" s="2" t="s">
        <v>73</v>
      </c>
      <c r="D210" s="16">
        <v>30</v>
      </c>
      <c r="E210" s="2" t="s">
        <v>1056</v>
      </c>
      <c r="F210" s="2" t="s">
        <v>1114</v>
      </c>
      <c r="G210" s="2" t="s">
        <v>1115</v>
      </c>
      <c r="H210" s="17">
        <v>371089</v>
      </c>
      <c r="I210" s="2"/>
      <c r="J210" s="2"/>
      <c r="K210" s="17">
        <v>371089</v>
      </c>
      <c r="L210" s="17">
        <v>39759.54</v>
      </c>
      <c r="M210" s="17">
        <v>331329.46000000002</v>
      </c>
      <c r="N210" s="17">
        <v>371089</v>
      </c>
      <c r="O210" s="2"/>
      <c r="P210" s="2"/>
      <c r="Q210" s="31" t="s">
        <v>105</v>
      </c>
      <c r="R210" s="61">
        <f>+K210+K211+K212</f>
        <v>667016</v>
      </c>
      <c r="S210" s="61">
        <f>+R210+R213+R215+R217</f>
        <v>1239182.3999999999</v>
      </c>
      <c r="T210" s="5"/>
    </row>
    <row r="211" spans="1:20" hidden="1">
      <c r="A211" s="2" t="s">
        <v>1217</v>
      </c>
      <c r="B211" s="2" t="s">
        <v>1257</v>
      </c>
      <c r="C211" s="2" t="s">
        <v>73</v>
      </c>
      <c r="D211" s="16">
        <v>30</v>
      </c>
      <c r="E211" s="2" t="s">
        <v>1231</v>
      </c>
      <c r="F211" s="2" t="s">
        <v>1114</v>
      </c>
      <c r="G211" s="2" t="s">
        <v>1258</v>
      </c>
      <c r="H211" s="17">
        <v>80640</v>
      </c>
      <c r="I211" s="2"/>
      <c r="J211" s="2"/>
      <c r="K211" s="17">
        <v>80640</v>
      </c>
      <c r="L211" s="17">
        <v>8640</v>
      </c>
      <c r="M211" s="17">
        <v>72000</v>
      </c>
      <c r="N211" s="17">
        <v>80640</v>
      </c>
      <c r="O211" s="2"/>
      <c r="P211" s="2"/>
      <c r="Q211" s="31" t="s">
        <v>105</v>
      </c>
      <c r="R211" s="62"/>
      <c r="S211" s="62"/>
      <c r="T211" s="5"/>
    </row>
    <row r="212" spans="1:20" hidden="1">
      <c r="A212" s="2" t="s">
        <v>1217</v>
      </c>
      <c r="B212" s="2" t="s">
        <v>1259</v>
      </c>
      <c r="C212" s="2" t="s">
        <v>73</v>
      </c>
      <c r="D212" s="16">
        <v>30</v>
      </c>
      <c r="E212" s="2" t="s">
        <v>1231</v>
      </c>
      <c r="F212" s="2" t="s">
        <v>1114</v>
      </c>
      <c r="G212" s="2" t="s">
        <v>1260</v>
      </c>
      <c r="H212" s="17">
        <v>215287</v>
      </c>
      <c r="I212" s="2"/>
      <c r="J212" s="2"/>
      <c r="K212" s="17">
        <v>215287</v>
      </c>
      <c r="L212" s="17">
        <v>23066.46</v>
      </c>
      <c r="M212" s="17">
        <v>192220.54</v>
      </c>
      <c r="N212" s="17">
        <v>215287</v>
      </c>
      <c r="O212" s="2"/>
      <c r="P212" s="2"/>
      <c r="Q212" s="31" t="s">
        <v>105</v>
      </c>
      <c r="R212" s="63"/>
      <c r="S212" s="62"/>
      <c r="T212" s="5"/>
    </row>
    <row r="213" spans="1:20" hidden="1">
      <c r="A213" s="2" t="s">
        <v>199</v>
      </c>
      <c r="B213" s="2" t="s">
        <v>273</v>
      </c>
      <c r="C213" s="2" t="s">
        <v>104</v>
      </c>
      <c r="D213" s="16">
        <v>0</v>
      </c>
      <c r="E213" s="2" t="s">
        <v>199</v>
      </c>
      <c r="F213" s="2" t="s">
        <v>274</v>
      </c>
      <c r="G213" s="2" t="s">
        <v>275</v>
      </c>
      <c r="H213" s="17">
        <v>55933</v>
      </c>
      <c r="I213" s="19">
        <v>-1118.6600000000001</v>
      </c>
      <c r="J213" s="2"/>
      <c r="K213" s="17">
        <v>54814.34</v>
      </c>
      <c r="L213" s="17">
        <v>5872.97</v>
      </c>
      <c r="M213" s="17">
        <v>48941.37</v>
      </c>
      <c r="N213" s="17">
        <v>54814.34</v>
      </c>
      <c r="O213" s="2"/>
      <c r="P213" s="2"/>
      <c r="Q213" s="31" t="s">
        <v>105</v>
      </c>
      <c r="R213" s="61">
        <f>+K213+K214</f>
        <v>200586.4</v>
      </c>
      <c r="S213" s="62"/>
      <c r="T213" s="5"/>
    </row>
    <row r="214" spans="1:20" hidden="1">
      <c r="A214" s="2" t="s">
        <v>971</v>
      </c>
      <c r="B214" s="2" t="s">
        <v>1008</v>
      </c>
      <c r="C214" s="2" t="s">
        <v>104</v>
      </c>
      <c r="D214" s="16">
        <v>0</v>
      </c>
      <c r="E214" s="2" t="s">
        <v>971</v>
      </c>
      <c r="F214" s="2" t="s">
        <v>274</v>
      </c>
      <c r="G214" s="2" t="s">
        <v>1009</v>
      </c>
      <c r="H214" s="17">
        <v>148747</v>
      </c>
      <c r="I214" s="19">
        <v>-2974.94</v>
      </c>
      <c r="J214" s="2"/>
      <c r="K214" s="17">
        <v>145772.06</v>
      </c>
      <c r="L214" s="17">
        <v>15618.44</v>
      </c>
      <c r="M214" s="17">
        <v>130153.62</v>
      </c>
      <c r="N214" s="17">
        <v>145772.06</v>
      </c>
      <c r="O214" s="2"/>
      <c r="P214" s="2"/>
      <c r="Q214" s="31" t="s">
        <v>105</v>
      </c>
      <c r="R214" s="63"/>
      <c r="S214" s="62"/>
      <c r="T214" s="5"/>
    </row>
    <row r="215" spans="1:20" hidden="1">
      <c r="A215" s="2" t="s">
        <v>93</v>
      </c>
      <c r="B215" s="2" t="s">
        <v>103</v>
      </c>
      <c r="C215" s="2" t="s">
        <v>104</v>
      </c>
      <c r="D215" s="16">
        <v>0</v>
      </c>
      <c r="E215" s="2" t="s">
        <v>93</v>
      </c>
      <c r="F215" s="2" t="s">
        <v>106</v>
      </c>
      <c r="G215" s="2" t="s">
        <v>107</v>
      </c>
      <c r="H215" s="17">
        <v>114000</v>
      </c>
      <c r="I215" s="19">
        <v>-3420</v>
      </c>
      <c r="J215" s="2"/>
      <c r="K215" s="17">
        <v>110580</v>
      </c>
      <c r="L215" s="17">
        <v>11847.86</v>
      </c>
      <c r="M215" s="17">
        <v>98732.14</v>
      </c>
      <c r="N215" s="17">
        <v>110580</v>
      </c>
      <c r="O215" s="2"/>
      <c r="P215" s="2"/>
      <c r="Q215" s="31" t="s">
        <v>105</v>
      </c>
      <c r="R215" s="61">
        <f>+K215+K216</f>
        <v>362780</v>
      </c>
      <c r="S215" s="62"/>
      <c r="T215" s="5"/>
    </row>
    <row r="216" spans="1:20" hidden="1">
      <c r="A216" s="2" t="s">
        <v>93</v>
      </c>
      <c r="B216" s="2" t="s">
        <v>108</v>
      </c>
      <c r="C216" s="2" t="s">
        <v>104</v>
      </c>
      <c r="D216" s="16">
        <v>0</v>
      </c>
      <c r="E216" s="2" t="s">
        <v>93</v>
      </c>
      <c r="F216" s="2" t="s">
        <v>106</v>
      </c>
      <c r="G216" s="2" t="s">
        <v>109</v>
      </c>
      <c r="H216" s="17">
        <v>260000</v>
      </c>
      <c r="I216" s="19">
        <v>-7800</v>
      </c>
      <c r="J216" s="2"/>
      <c r="K216" s="17">
        <v>252200</v>
      </c>
      <c r="L216" s="17">
        <v>27021.43</v>
      </c>
      <c r="M216" s="17">
        <v>225178.57</v>
      </c>
      <c r="N216" s="17">
        <v>252200</v>
      </c>
      <c r="O216" s="2"/>
      <c r="P216" s="2"/>
      <c r="Q216" s="31" t="s">
        <v>105</v>
      </c>
      <c r="R216" s="63"/>
      <c r="S216" s="62"/>
      <c r="T216" s="5"/>
    </row>
    <row r="217" spans="1:20" hidden="1">
      <c r="A217" s="2" t="s">
        <v>866</v>
      </c>
      <c r="B217" s="2" t="s">
        <v>909</v>
      </c>
      <c r="C217" s="2" t="s">
        <v>60</v>
      </c>
      <c r="D217" s="16">
        <v>0</v>
      </c>
      <c r="E217" s="2" t="s">
        <v>866</v>
      </c>
      <c r="F217" s="2" t="s">
        <v>910</v>
      </c>
      <c r="G217" s="2" t="s">
        <v>911</v>
      </c>
      <c r="H217" s="17">
        <v>8800</v>
      </c>
      <c r="I217" s="2"/>
      <c r="J217" s="2"/>
      <c r="K217" s="17">
        <v>8800</v>
      </c>
      <c r="L217" s="18">
        <v>942.86</v>
      </c>
      <c r="M217" s="17">
        <v>7857.14</v>
      </c>
      <c r="N217" s="17">
        <v>8800</v>
      </c>
      <c r="O217" s="2"/>
      <c r="P217" s="2"/>
      <c r="Q217" s="31" t="s">
        <v>105</v>
      </c>
      <c r="R217" s="32">
        <f>+K217</f>
        <v>8800</v>
      </c>
      <c r="S217" s="62"/>
      <c r="T217" s="5"/>
    </row>
    <row r="218" spans="1:20" hidden="1">
      <c r="A218" s="2" t="s">
        <v>199</v>
      </c>
      <c r="B218" s="2" t="s">
        <v>249</v>
      </c>
      <c r="C218" s="2" t="s">
        <v>146</v>
      </c>
      <c r="D218" s="16">
        <v>90</v>
      </c>
      <c r="E218" s="2" t="s">
        <v>233</v>
      </c>
      <c r="F218" s="2" t="s">
        <v>250</v>
      </c>
      <c r="G218" s="2" t="s">
        <v>251</v>
      </c>
      <c r="H218" s="17">
        <v>101126</v>
      </c>
      <c r="I218" s="2"/>
      <c r="J218" s="2"/>
      <c r="K218" s="17">
        <v>101126</v>
      </c>
      <c r="L218" s="17">
        <v>10834.93</v>
      </c>
      <c r="M218" s="17">
        <v>90291.07</v>
      </c>
      <c r="N218" s="17">
        <v>101126</v>
      </c>
      <c r="O218" s="2"/>
      <c r="P218" s="2"/>
      <c r="Q218" s="31" t="s">
        <v>139</v>
      </c>
      <c r="R218" s="64">
        <f>+K218+K219+K220</f>
        <v>1106086</v>
      </c>
      <c r="S218" s="61">
        <f>+R218+R221+R222+R224+R225+R226+R228+R238+R239+R240+R253+R260+R261+R264+R265+R266+R267+R273+R274+R280+R281+R282</f>
        <v>10721069.899999999</v>
      </c>
      <c r="T218" s="5"/>
    </row>
    <row r="219" spans="1:20" hidden="1">
      <c r="A219" s="2" t="s">
        <v>448</v>
      </c>
      <c r="B219" s="2" t="s">
        <v>494</v>
      </c>
      <c r="C219" s="2" t="s">
        <v>146</v>
      </c>
      <c r="D219" s="16">
        <v>90</v>
      </c>
      <c r="E219" s="2" t="s">
        <v>479</v>
      </c>
      <c r="F219" s="2" t="s">
        <v>250</v>
      </c>
      <c r="G219" s="2" t="s">
        <v>495</v>
      </c>
      <c r="H219" s="17">
        <v>26528</v>
      </c>
      <c r="I219" s="2"/>
      <c r="J219" s="2"/>
      <c r="K219" s="17">
        <v>26528</v>
      </c>
      <c r="L219" s="17">
        <v>2842.29</v>
      </c>
      <c r="M219" s="17">
        <v>23685.71</v>
      </c>
      <c r="N219" s="17">
        <v>26528</v>
      </c>
      <c r="O219" s="2"/>
      <c r="P219" s="2"/>
      <c r="Q219" s="31" t="s">
        <v>139</v>
      </c>
      <c r="R219" s="66"/>
      <c r="S219" s="62"/>
      <c r="T219" s="5"/>
    </row>
    <row r="220" spans="1:20" hidden="1">
      <c r="A220" s="2" t="s">
        <v>448</v>
      </c>
      <c r="B220" s="2" t="s">
        <v>496</v>
      </c>
      <c r="C220" s="2" t="s">
        <v>146</v>
      </c>
      <c r="D220" s="16">
        <v>90</v>
      </c>
      <c r="E220" s="2" t="s">
        <v>479</v>
      </c>
      <c r="F220" s="2" t="s">
        <v>250</v>
      </c>
      <c r="G220" s="2" t="s">
        <v>497</v>
      </c>
      <c r="H220" s="17">
        <v>978432</v>
      </c>
      <c r="I220" s="2"/>
      <c r="J220" s="2"/>
      <c r="K220" s="17">
        <v>978432</v>
      </c>
      <c r="L220" s="17">
        <v>104832</v>
      </c>
      <c r="M220" s="17">
        <v>873600</v>
      </c>
      <c r="N220" s="17">
        <v>978432</v>
      </c>
      <c r="O220" s="2"/>
      <c r="P220" s="2"/>
      <c r="Q220" s="31" t="s">
        <v>139</v>
      </c>
      <c r="R220" s="65"/>
      <c r="S220" s="62"/>
      <c r="T220" s="5"/>
    </row>
    <row r="221" spans="1:20" hidden="1">
      <c r="A221" s="2" t="s">
        <v>368</v>
      </c>
      <c r="B221" s="2" t="s">
        <v>408</v>
      </c>
      <c r="C221" s="2" t="s">
        <v>146</v>
      </c>
      <c r="D221" s="16">
        <v>90</v>
      </c>
      <c r="E221" s="2" t="s">
        <v>383</v>
      </c>
      <c r="F221" s="2" t="s">
        <v>409</v>
      </c>
      <c r="G221" s="2" t="s">
        <v>410</v>
      </c>
      <c r="H221" s="17">
        <v>1485206</v>
      </c>
      <c r="I221" s="2"/>
      <c r="J221" s="2"/>
      <c r="K221" s="17">
        <v>1485206</v>
      </c>
      <c r="L221" s="17">
        <v>159129.21</v>
      </c>
      <c r="M221" s="17">
        <v>1326076.79</v>
      </c>
      <c r="N221" s="17">
        <v>1485206</v>
      </c>
      <c r="O221" s="2"/>
      <c r="P221" s="2"/>
      <c r="Q221" s="31" t="s">
        <v>139</v>
      </c>
      <c r="R221" s="41">
        <f>+K221</f>
        <v>1485206</v>
      </c>
      <c r="S221" s="62"/>
      <c r="T221" s="5"/>
    </row>
    <row r="222" spans="1:20" hidden="1">
      <c r="A222" s="2" t="s">
        <v>1048</v>
      </c>
      <c r="B222" s="2" t="s">
        <v>1096</v>
      </c>
      <c r="C222" s="2" t="s">
        <v>60</v>
      </c>
      <c r="D222" s="16">
        <v>0</v>
      </c>
      <c r="E222" s="2" t="s">
        <v>1048</v>
      </c>
      <c r="F222" s="2" t="s">
        <v>1097</v>
      </c>
      <c r="G222" s="2" t="s">
        <v>1098</v>
      </c>
      <c r="H222" s="17">
        <v>106000</v>
      </c>
      <c r="I222" s="2"/>
      <c r="J222" s="2"/>
      <c r="K222" s="17">
        <v>106000</v>
      </c>
      <c r="L222" s="17">
        <v>11357.14</v>
      </c>
      <c r="M222" s="17">
        <v>94642.86</v>
      </c>
      <c r="N222" s="17">
        <v>106000</v>
      </c>
      <c r="O222" s="2"/>
      <c r="P222" s="2"/>
      <c r="Q222" s="31" t="s">
        <v>139</v>
      </c>
      <c r="R222" s="64">
        <f>+K222+K223</f>
        <v>371000</v>
      </c>
      <c r="S222" s="62"/>
      <c r="T222" s="5"/>
    </row>
    <row r="223" spans="1:20" hidden="1">
      <c r="A223" s="2" t="s">
        <v>1048</v>
      </c>
      <c r="B223" s="2" t="s">
        <v>1099</v>
      </c>
      <c r="C223" s="2" t="s">
        <v>60</v>
      </c>
      <c r="D223" s="16">
        <v>0</v>
      </c>
      <c r="E223" s="2" t="s">
        <v>1048</v>
      </c>
      <c r="F223" s="2" t="s">
        <v>1097</v>
      </c>
      <c r="G223" s="2" t="s">
        <v>1100</v>
      </c>
      <c r="H223" s="17">
        <v>265000</v>
      </c>
      <c r="I223" s="2"/>
      <c r="J223" s="2"/>
      <c r="K223" s="17">
        <v>265000</v>
      </c>
      <c r="L223" s="17">
        <v>28392.86</v>
      </c>
      <c r="M223" s="17">
        <v>236607.14</v>
      </c>
      <c r="N223" s="17">
        <v>265000</v>
      </c>
      <c r="O223" s="2"/>
      <c r="P223" s="2"/>
      <c r="Q223" s="31" t="s">
        <v>139</v>
      </c>
      <c r="R223" s="65"/>
      <c r="S223" s="62"/>
      <c r="T223" s="5"/>
    </row>
    <row r="224" spans="1:20" hidden="1">
      <c r="A224" s="2" t="s">
        <v>282</v>
      </c>
      <c r="B224" s="2" t="s">
        <v>295</v>
      </c>
      <c r="C224" s="2" t="s">
        <v>23</v>
      </c>
      <c r="D224" s="16">
        <v>30</v>
      </c>
      <c r="E224" s="2" t="s">
        <v>296</v>
      </c>
      <c r="F224" s="2" t="s">
        <v>297</v>
      </c>
      <c r="G224" s="2" t="s">
        <v>298</v>
      </c>
      <c r="H224" s="17">
        <v>19604</v>
      </c>
      <c r="I224" s="2"/>
      <c r="J224" s="2"/>
      <c r="K224" s="17">
        <v>19604</v>
      </c>
      <c r="L224" s="17">
        <v>2100.4299999999998</v>
      </c>
      <c r="M224" s="17">
        <v>17503.57</v>
      </c>
      <c r="N224" s="17">
        <v>19604</v>
      </c>
      <c r="O224" s="2"/>
      <c r="P224" s="2"/>
      <c r="Q224" s="31" t="s">
        <v>139</v>
      </c>
      <c r="R224" s="41">
        <f>+K224</f>
        <v>19604</v>
      </c>
      <c r="S224" s="62"/>
      <c r="T224" s="5"/>
    </row>
    <row r="225" spans="1:20" hidden="1">
      <c r="A225" s="2" t="s">
        <v>596</v>
      </c>
      <c r="B225" s="2" t="s">
        <v>618</v>
      </c>
      <c r="C225" s="2" t="s">
        <v>243</v>
      </c>
      <c r="D225" s="16">
        <v>30</v>
      </c>
      <c r="E225" s="2" t="s">
        <v>619</v>
      </c>
      <c r="F225" s="2" t="s">
        <v>620</v>
      </c>
      <c r="G225" s="2" t="s">
        <v>621</v>
      </c>
      <c r="H225" s="17">
        <v>91230</v>
      </c>
      <c r="I225" s="2"/>
      <c r="J225" s="2"/>
      <c r="K225" s="17">
        <v>91230</v>
      </c>
      <c r="L225" s="17">
        <v>9774.64</v>
      </c>
      <c r="M225" s="17">
        <v>81455.360000000001</v>
      </c>
      <c r="N225" s="17">
        <v>91230</v>
      </c>
      <c r="O225" s="2"/>
      <c r="P225" s="2"/>
      <c r="Q225" s="31" t="s">
        <v>139</v>
      </c>
      <c r="R225" s="41">
        <f>+K225</f>
        <v>91230</v>
      </c>
      <c r="S225" s="62"/>
      <c r="T225" s="5"/>
    </row>
    <row r="226" spans="1:20" hidden="1">
      <c r="A226" s="2" t="s">
        <v>915</v>
      </c>
      <c r="B226" s="2" t="s">
        <v>957</v>
      </c>
      <c r="C226" s="2" t="s">
        <v>60</v>
      </c>
      <c r="D226" s="16">
        <v>0</v>
      </c>
      <c r="E226" s="2" t="s">
        <v>915</v>
      </c>
      <c r="F226" s="2" t="s">
        <v>958</v>
      </c>
      <c r="G226" s="2" t="s">
        <v>959</v>
      </c>
      <c r="H226" s="17">
        <v>588000</v>
      </c>
      <c r="I226" s="19">
        <v>-17640</v>
      </c>
      <c r="J226" s="2"/>
      <c r="K226" s="17">
        <v>570360</v>
      </c>
      <c r="L226" s="17">
        <v>61110</v>
      </c>
      <c r="M226" s="17">
        <v>509250</v>
      </c>
      <c r="N226" s="17">
        <v>570360</v>
      </c>
      <c r="O226" s="2"/>
      <c r="P226" s="2"/>
      <c r="Q226" s="31" t="s">
        <v>139</v>
      </c>
      <c r="R226" s="64">
        <f>+K226+K227</f>
        <v>953640.95</v>
      </c>
      <c r="S226" s="62"/>
      <c r="T226" s="5"/>
    </row>
    <row r="227" spans="1:20" hidden="1">
      <c r="A227" s="2" t="s">
        <v>915</v>
      </c>
      <c r="B227" s="2" t="s">
        <v>960</v>
      </c>
      <c r="C227" s="2" t="s">
        <v>60</v>
      </c>
      <c r="D227" s="16">
        <v>0</v>
      </c>
      <c r="E227" s="2" t="s">
        <v>915</v>
      </c>
      <c r="F227" s="2" t="s">
        <v>958</v>
      </c>
      <c r="G227" s="2" t="s">
        <v>961</v>
      </c>
      <c r="H227" s="17">
        <v>395135</v>
      </c>
      <c r="I227" s="19">
        <v>-11854.05</v>
      </c>
      <c r="J227" s="2"/>
      <c r="K227" s="17">
        <v>383280.95</v>
      </c>
      <c r="L227" s="17">
        <v>41065.82</v>
      </c>
      <c r="M227" s="17">
        <v>342215.13</v>
      </c>
      <c r="N227" s="17">
        <v>383280.95</v>
      </c>
      <c r="O227" s="2"/>
      <c r="P227" s="2"/>
      <c r="Q227" s="31" t="s">
        <v>139</v>
      </c>
      <c r="R227" s="65"/>
      <c r="S227" s="62"/>
      <c r="T227" s="5"/>
    </row>
    <row r="228" spans="1:20" hidden="1">
      <c r="A228" s="2" t="s">
        <v>971</v>
      </c>
      <c r="B228" s="2" t="s">
        <v>1037</v>
      </c>
      <c r="C228" s="2" t="s">
        <v>146</v>
      </c>
      <c r="D228" s="16">
        <v>90</v>
      </c>
      <c r="E228" s="2" t="s">
        <v>986</v>
      </c>
      <c r="F228" s="2" t="s">
        <v>1038</v>
      </c>
      <c r="G228" s="2" t="s">
        <v>1039</v>
      </c>
      <c r="H228" s="17">
        <v>297555</v>
      </c>
      <c r="I228" s="2"/>
      <c r="J228" s="2"/>
      <c r="K228" s="17">
        <v>297555</v>
      </c>
      <c r="L228" s="17">
        <v>31880.89</v>
      </c>
      <c r="M228" s="17">
        <v>265674.11</v>
      </c>
      <c r="N228" s="17">
        <v>297555</v>
      </c>
      <c r="O228" s="2"/>
      <c r="P228" s="2"/>
      <c r="Q228" s="31" t="s">
        <v>139</v>
      </c>
      <c r="R228" s="64">
        <f>+K228+K229+K230+K231+K232+K233+K234+K235+K236+K237</f>
        <v>2924588</v>
      </c>
      <c r="S228" s="62"/>
      <c r="T228" s="5"/>
    </row>
    <row r="229" spans="1:20" hidden="1">
      <c r="A229" s="2" t="s">
        <v>971</v>
      </c>
      <c r="B229" s="2" t="s">
        <v>1040</v>
      </c>
      <c r="C229" s="2" t="s">
        <v>146</v>
      </c>
      <c r="D229" s="16">
        <v>90</v>
      </c>
      <c r="E229" s="2" t="s">
        <v>986</v>
      </c>
      <c r="F229" s="2" t="s">
        <v>1038</v>
      </c>
      <c r="G229" s="2" t="s">
        <v>1041</v>
      </c>
      <c r="H229" s="17">
        <v>768251</v>
      </c>
      <c r="I229" s="2"/>
      <c r="J229" s="2"/>
      <c r="K229" s="17">
        <v>768251</v>
      </c>
      <c r="L229" s="17">
        <v>82312.61</v>
      </c>
      <c r="M229" s="17">
        <v>685938.39</v>
      </c>
      <c r="N229" s="17">
        <v>768251</v>
      </c>
      <c r="O229" s="2"/>
      <c r="P229" s="2"/>
      <c r="Q229" s="31" t="s">
        <v>139</v>
      </c>
      <c r="R229" s="66"/>
      <c r="S229" s="62"/>
      <c r="T229" s="5"/>
    </row>
    <row r="230" spans="1:20" hidden="1">
      <c r="A230" s="2" t="s">
        <v>1287</v>
      </c>
      <c r="B230" s="2" t="s">
        <v>1357</v>
      </c>
      <c r="C230" s="2" t="s">
        <v>146</v>
      </c>
      <c r="D230" s="16">
        <v>90</v>
      </c>
      <c r="E230" s="2" t="s">
        <v>1315</v>
      </c>
      <c r="F230" s="2" t="s">
        <v>1038</v>
      </c>
      <c r="G230" s="2" t="s">
        <v>1358</v>
      </c>
      <c r="H230" s="17">
        <v>59512</v>
      </c>
      <c r="I230" s="2"/>
      <c r="J230" s="2"/>
      <c r="K230" s="17">
        <v>59512</v>
      </c>
      <c r="L230" s="17">
        <v>6376.29</v>
      </c>
      <c r="M230" s="17">
        <v>53135.71</v>
      </c>
      <c r="N230" s="17">
        <v>59512</v>
      </c>
      <c r="O230" s="2"/>
      <c r="P230" s="2"/>
      <c r="Q230" s="31" t="s">
        <v>139</v>
      </c>
      <c r="R230" s="66"/>
      <c r="S230" s="62"/>
      <c r="T230" s="5"/>
    </row>
    <row r="231" spans="1:20" hidden="1">
      <c r="A231" s="2" t="s">
        <v>1287</v>
      </c>
      <c r="B231" s="2" t="s">
        <v>1359</v>
      </c>
      <c r="C231" s="2" t="s">
        <v>146</v>
      </c>
      <c r="D231" s="16">
        <v>90</v>
      </c>
      <c r="E231" s="2" t="s">
        <v>1315</v>
      </c>
      <c r="F231" s="2" t="s">
        <v>1038</v>
      </c>
      <c r="G231" s="2" t="s">
        <v>1360</v>
      </c>
      <c r="H231" s="17">
        <v>178256</v>
      </c>
      <c r="I231" s="2"/>
      <c r="J231" s="2"/>
      <c r="K231" s="17">
        <v>178256</v>
      </c>
      <c r="L231" s="17">
        <v>19098.86</v>
      </c>
      <c r="M231" s="17">
        <v>159157.14000000001</v>
      </c>
      <c r="N231" s="17">
        <v>178256</v>
      </c>
      <c r="O231" s="2"/>
      <c r="P231" s="2"/>
      <c r="Q231" s="31" t="s">
        <v>139</v>
      </c>
      <c r="R231" s="66"/>
      <c r="S231" s="62"/>
      <c r="T231" s="5"/>
    </row>
    <row r="232" spans="1:20" hidden="1">
      <c r="A232" s="2" t="s">
        <v>1287</v>
      </c>
      <c r="B232" s="2" t="s">
        <v>1361</v>
      </c>
      <c r="C232" s="2" t="s">
        <v>146</v>
      </c>
      <c r="D232" s="16">
        <v>90</v>
      </c>
      <c r="E232" s="2" t="s">
        <v>1315</v>
      </c>
      <c r="F232" s="2" t="s">
        <v>1038</v>
      </c>
      <c r="G232" s="2" t="s">
        <v>1362</v>
      </c>
      <c r="H232" s="17">
        <v>989368</v>
      </c>
      <c r="I232" s="2"/>
      <c r="J232" s="2"/>
      <c r="K232" s="17">
        <v>989368</v>
      </c>
      <c r="L232" s="17">
        <v>106003.71</v>
      </c>
      <c r="M232" s="17">
        <v>883364.29</v>
      </c>
      <c r="N232" s="17">
        <v>989368</v>
      </c>
      <c r="O232" s="2"/>
      <c r="P232" s="2"/>
      <c r="Q232" s="31" t="s">
        <v>139</v>
      </c>
      <c r="R232" s="66"/>
      <c r="S232" s="62"/>
      <c r="T232" s="5"/>
    </row>
    <row r="233" spans="1:20" hidden="1">
      <c r="A233" s="2" t="s">
        <v>1287</v>
      </c>
      <c r="B233" s="2" t="s">
        <v>1363</v>
      </c>
      <c r="C233" s="2" t="s">
        <v>146</v>
      </c>
      <c r="D233" s="16">
        <v>90</v>
      </c>
      <c r="E233" s="2" t="s">
        <v>1315</v>
      </c>
      <c r="F233" s="2" t="s">
        <v>1038</v>
      </c>
      <c r="G233" s="2" t="s">
        <v>1364</v>
      </c>
      <c r="H233" s="17">
        <v>118334</v>
      </c>
      <c r="I233" s="2"/>
      <c r="J233" s="2"/>
      <c r="K233" s="17">
        <v>118334</v>
      </c>
      <c r="L233" s="17">
        <v>12678.64</v>
      </c>
      <c r="M233" s="17">
        <v>105655.36</v>
      </c>
      <c r="N233" s="17">
        <v>118334</v>
      </c>
      <c r="O233" s="2"/>
      <c r="P233" s="2"/>
      <c r="Q233" s="31" t="s">
        <v>139</v>
      </c>
      <c r="R233" s="66"/>
      <c r="S233" s="62"/>
      <c r="T233" s="5"/>
    </row>
    <row r="234" spans="1:20" hidden="1">
      <c r="A234" s="2" t="s">
        <v>1287</v>
      </c>
      <c r="B234" s="2" t="s">
        <v>1365</v>
      </c>
      <c r="C234" s="2" t="s">
        <v>146</v>
      </c>
      <c r="D234" s="16">
        <v>90</v>
      </c>
      <c r="E234" s="2" t="s">
        <v>1315</v>
      </c>
      <c r="F234" s="2" t="s">
        <v>1038</v>
      </c>
      <c r="G234" s="2" t="s">
        <v>1366</v>
      </c>
      <c r="H234" s="17">
        <v>35532</v>
      </c>
      <c r="I234" s="2"/>
      <c r="J234" s="2"/>
      <c r="K234" s="17">
        <v>35532</v>
      </c>
      <c r="L234" s="17">
        <v>3807</v>
      </c>
      <c r="M234" s="17">
        <v>31725</v>
      </c>
      <c r="N234" s="17">
        <v>35532</v>
      </c>
      <c r="O234" s="2"/>
      <c r="P234" s="2"/>
      <c r="Q234" s="31" t="s">
        <v>139</v>
      </c>
      <c r="R234" s="66"/>
      <c r="S234" s="62"/>
      <c r="T234" s="5"/>
    </row>
    <row r="235" spans="1:20" hidden="1">
      <c r="A235" s="2" t="s">
        <v>1287</v>
      </c>
      <c r="B235" s="2" t="s">
        <v>1367</v>
      </c>
      <c r="C235" s="2" t="s">
        <v>146</v>
      </c>
      <c r="D235" s="16">
        <v>90</v>
      </c>
      <c r="E235" s="2" t="s">
        <v>1315</v>
      </c>
      <c r="F235" s="2" t="s">
        <v>1038</v>
      </c>
      <c r="G235" s="2" t="s">
        <v>1368</v>
      </c>
      <c r="H235" s="17">
        <v>175028</v>
      </c>
      <c r="I235" s="2"/>
      <c r="J235" s="2"/>
      <c r="K235" s="17">
        <v>175028</v>
      </c>
      <c r="L235" s="17">
        <v>18753</v>
      </c>
      <c r="M235" s="17">
        <v>156275</v>
      </c>
      <c r="N235" s="17">
        <v>175028</v>
      </c>
      <c r="O235" s="2"/>
      <c r="P235" s="2"/>
      <c r="Q235" s="31" t="s">
        <v>139</v>
      </c>
      <c r="R235" s="66"/>
      <c r="S235" s="62"/>
      <c r="T235" s="5"/>
    </row>
    <row r="236" spans="1:20" hidden="1">
      <c r="A236" s="2" t="s">
        <v>1372</v>
      </c>
      <c r="B236" s="2" t="s">
        <v>1400</v>
      </c>
      <c r="C236" s="2" t="s">
        <v>146</v>
      </c>
      <c r="D236" s="16">
        <v>90</v>
      </c>
      <c r="E236" s="2" t="s">
        <v>1376</v>
      </c>
      <c r="F236" s="2" t="s">
        <v>1038</v>
      </c>
      <c r="G236" s="2" t="s">
        <v>1401</v>
      </c>
      <c r="H236" s="17">
        <v>208288</v>
      </c>
      <c r="I236" s="2"/>
      <c r="J236" s="2"/>
      <c r="K236" s="17">
        <v>208288</v>
      </c>
      <c r="L236" s="17">
        <v>22316.57</v>
      </c>
      <c r="M236" s="17">
        <v>185971.43</v>
      </c>
      <c r="N236" s="17">
        <v>208288</v>
      </c>
      <c r="O236" s="2"/>
      <c r="P236" s="2"/>
      <c r="Q236" s="31" t="s">
        <v>139</v>
      </c>
      <c r="R236" s="66"/>
      <c r="S236" s="62"/>
      <c r="T236" s="5"/>
    </row>
    <row r="237" spans="1:20" hidden="1">
      <c r="A237" s="2" t="s">
        <v>1372</v>
      </c>
      <c r="B237" s="2" t="s">
        <v>1402</v>
      </c>
      <c r="C237" s="2" t="s">
        <v>146</v>
      </c>
      <c r="D237" s="16">
        <v>90</v>
      </c>
      <c r="E237" s="2" t="s">
        <v>1376</v>
      </c>
      <c r="F237" s="2" t="s">
        <v>1038</v>
      </c>
      <c r="G237" s="2" t="s">
        <v>1403</v>
      </c>
      <c r="H237" s="17">
        <v>94464</v>
      </c>
      <c r="I237" s="2"/>
      <c r="J237" s="2"/>
      <c r="K237" s="17">
        <v>94464</v>
      </c>
      <c r="L237" s="17">
        <v>10121.14</v>
      </c>
      <c r="M237" s="17">
        <v>84342.86</v>
      </c>
      <c r="N237" s="17">
        <v>94464</v>
      </c>
      <c r="O237" s="2"/>
      <c r="P237" s="2"/>
      <c r="Q237" s="31" t="s">
        <v>139</v>
      </c>
      <c r="R237" s="65"/>
      <c r="S237" s="62"/>
      <c r="T237" s="5"/>
    </row>
    <row r="238" spans="1:20" hidden="1">
      <c r="A238" s="2" t="s">
        <v>1553</v>
      </c>
      <c r="B238" s="2" t="s">
        <v>1559</v>
      </c>
      <c r="C238" s="2" t="s">
        <v>146</v>
      </c>
      <c r="D238" s="16">
        <v>90</v>
      </c>
      <c r="E238" s="2" t="s">
        <v>1554</v>
      </c>
      <c r="F238" s="2" t="s">
        <v>1560</v>
      </c>
      <c r="G238" s="2" t="s">
        <v>1561</v>
      </c>
      <c r="H238" s="17">
        <v>272703</v>
      </c>
      <c r="I238" s="2"/>
      <c r="J238" s="2"/>
      <c r="K238" s="17">
        <v>272703</v>
      </c>
      <c r="L238" s="17">
        <v>29218.18</v>
      </c>
      <c r="M238" s="17">
        <v>243484.82</v>
      </c>
      <c r="N238" s="17">
        <v>272703</v>
      </c>
      <c r="O238" s="2"/>
      <c r="P238" s="2"/>
      <c r="Q238" s="31" t="s">
        <v>139</v>
      </c>
      <c r="R238" s="41">
        <f>+K238</f>
        <v>272703</v>
      </c>
      <c r="S238" s="62"/>
      <c r="T238" s="5"/>
    </row>
    <row r="239" spans="1:20" hidden="1">
      <c r="A239" s="2" t="s">
        <v>93</v>
      </c>
      <c r="B239" s="2" t="s">
        <v>142</v>
      </c>
      <c r="C239" s="2" t="s">
        <v>60</v>
      </c>
      <c r="D239" s="16">
        <v>0</v>
      </c>
      <c r="E239" s="2" t="s">
        <v>93</v>
      </c>
      <c r="F239" s="2" t="s">
        <v>143</v>
      </c>
      <c r="G239" s="2" t="s">
        <v>144</v>
      </c>
      <c r="H239" s="17">
        <v>58800</v>
      </c>
      <c r="I239" s="19">
        <v>-1764</v>
      </c>
      <c r="J239" s="2"/>
      <c r="K239" s="17">
        <v>57036</v>
      </c>
      <c r="L239" s="17">
        <v>6111</v>
      </c>
      <c r="M239" s="17">
        <v>50925</v>
      </c>
      <c r="N239" s="17">
        <v>57036</v>
      </c>
      <c r="O239" s="2"/>
      <c r="P239" s="2"/>
      <c r="Q239" s="31" t="s">
        <v>139</v>
      </c>
      <c r="R239" s="41">
        <f>+K239</f>
        <v>57036</v>
      </c>
      <c r="S239" s="62"/>
      <c r="T239" s="5"/>
    </row>
    <row r="240" spans="1:20" hidden="1">
      <c r="A240" s="2" t="s">
        <v>769</v>
      </c>
      <c r="B240" s="2" t="s">
        <v>820</v>
      </c>
      <c r="C240" s="2" t="s">
        <v>237</v>
      </c>
      <c r="D240" s="16">
        <v>60</v>
      </c>
      <c r="E240" s="2" t="s">
        <v>770</v>
      </c>
      <c r="F240" s="2" t="s">
        <v>821</v>
      </c>
      <c r="G240" s="2" t="s">
        <v>822</v>
      </c>
      <c r="H240" s="17">
        <v>94096</v>
      </c>
      <c r="I240" s="2"/>
      <c r="J240" s="2"/>
      <c r="K240" s="17">
        <v>94096</v>
      </c>
      <c r="L240" s="17">
        <v>10081.709999999999</v>
      </c>
      <c r="M240" s="17">
        <v>84014.29</v>
      </c>
      <c r="N240" s="17">
        <v>94096</v>
      </c>
      <c r="O240" s="2"/>
      <c r="P240" s="2"/>
      <c r="Q240" s="31" t="s">
        <v>139</v>
      </c>
      <c r="R240" s="64">
        <f>+K240+K241+K242+K243+K244+K245+K246+K247+K248+K249+K250+K251+K252</f>
        <v>555085</v>
      </c>
      <c r="S240" s="62"/>
      <c r="T240" s="5"/>
    </row>
    <row r="241" spans="1:20" hidden="1">
      <c r="A241" s="2" t="s">
        <v>769</v>
      </c>
      <c r="B241" s="2" t="s">
        <v>826</v>
      </c>
      <c r="C241" s="2" t="s">
        <v>237</v>
      </c>
      <c r="D241" s="16">
        <v>60</v>
      </c>
      <c r="E241" s="2" t="s">
        <v>770</v>
      </c>
      <c r="F241" s="2" t="s">
        <v>821</v>
      </c>
      <c r="G241" s="2" t="s">
        <v>827</v>
      </c>
      <c r="H241" s="17">
        <v>91154</v>
      </c>
      <c r="I241" s="2"/>
      <c r="J241" s="2"/>
      <c r="K241" s="17">
        <v>91154</v>
      </c>
      <c r="L241" s="17">
        <v>9766.5</v>
      </c>
      <c r="M241" s="17">
        <v>81387.5</v>
      </c>
      <c r="N241" s="17">
        <v>91154</v>
      </c>
      <c r="O241" s="2"/>
      <c r="P241" s="2"/>
      <c r="Q241" s="31" t="s">
        <v>139</v>
      </c>
      <c r="R241" s="66"/>
      <c r="S241" s="62"/>
      <c r="T241" s="5"/>
    </row>
    <row r="242" spans="1:20" hidden="1">
      <c r="A242" s="2" t="s">
        <v>769</v>
      </c>
      <c r="B242" s="2" t="s">
        <v>830</v>
      </c>
      <c r="C242" s="2" t="s">
        <v>237</v>
      </c>
      <c r="D242" s="16">
        <v>60</v>
      </c>
      <c r="E242" s="2" t="s">
        <v>770</v>
      </c>
      <c r="F242" s="2" t="s">
        <v>821</v>
      </c>
      <c r="G242" s="2" t="s">
        <v>831</v>
      </c>
      <c r="H242" s="17">
        <v>16800</v>
      </c>
      <c r="I242" s="2"/>
      <c r="J242" s="2"/>
      <c r="K242" s="17">
        <v>16800</v>
      </c>
      <c r="L242" s="17">
        <v>1800</v>
      </c>
      <c r="M242" s="17">
        <v>15000</v>
      </c>
      <c r="N242" s="17">
        <v>16800</v>
      </c>
      <c r="O242" s="2"/>
      <c r="P242" s="2"/>
      <c r="Q242" s="31" t="s">
        <v>139</v>
      </c>
      <c r="R242" s="66"/>
      <c r="S242" s="62"/>
      <c r="T242" s="5"/>
    </row>
    <row r="243" spans="1:20" hidden="1">
      <c r="A243" s="2" t="s">
        <v>769</v>
      </c>
      <c r="B243" s="2" t="s">
        <v>832</v>
      </c>
      <c r="C243" s="2" t="s">
        <v>237</v>
      </c>
      <c r="D243" s="16">
        <v>60</v>
      </c>
      <c r="E243" s="2" t="s">
        <v>770</v>
      </c>
      <c r="F243" s="2" t="s">
        <v>821</v>
      </c>
      <c r="G243" s="2" t="s">
        <v>833</v>
      </c>
      <c r="H243" s="17">
        <v>14406</v>
      </c>
      <c r="I243" s="2"/>
      <c r="J243" s="2"/>
      <c r="K243" s="17">
        <v>14406</v>
      </c>
      <c r="L243" s="17">
        <v>1543.5</v>
      </c>
      <c r="M243" s="17">
        <v>12862.5</v>
      </c>
      <c r="N243" s="17">
        <v>14406</v>
      </c>
      <c r="O243" s="2"/>
      <c r="P243" s="2"/>
      <c r="Q243" s="31" t="s">
        <v>139</v>
      </c>
      <c r="R243" s="66"/>
      <c r="S243" s="62"/>
      <c r="T243" s="5"/>
    </row>
    <row r="244" spans="1:20" hidden="1">
      <c r="A244" s="2" t="s">
        <v>769</v>
      </c>
      <c r="B244" s="2" t="s">
        <v>834</v>
      </c>
      <c r="C244" s="2" t="s">
        <v>237</v>
      </c>
      <c r="D244" s="16">
        <v>60</v>
      </c>
      <c r="E244" s="2" t="s">
        <v>770</v>
      </c>
      <c r="F244" s="2" t="s">
        <v>821</v>
      </c>
      <c r="G244" s="2" t="s">
        <v>835</v>
      </c>
      <c r="H244" s="17">
        <v>14002</v>
      </c>
      <c r="I244" s="2"/>
      <c r="J244" s="2"/>
      <c r="K244" s="17">
        <v>14002</v>
      </c>
      <c r="L244" s="17">
        <v>1500.21</v>
      </c>
      <c r="M244" s="17">
        <v>12501.79</v>
      </c>
      <c r="N244" s="17">
        <v>14002</v>
      </c>
      <c r="O244" s="2"/>
      <c r="P244" s="2"/>
      <c r="Q244" s="31" t="s">
        <v>139</v>
      </c>
      <c r="R244" s="66"/>
      <c r="S244" s="62"/>
      <c r="T244" s="5"/>
    </row>
    <row r="245" spans="1:20" hidden="1">
      <c r="A245" s="2" t="s">
        <v>769</v>
      </c>
      <c r="B245" s="2" t="s">
        <v>836</v>
      </c>
      <c r="C245" s="2" t="s">
        <v>237</v>
      </c>
      <c r="D245" s="16">
        <v>60</v>
      </c>
      <c r="E245" s="2" t="s">
        <v>770</v>
      </c>
      <c r="F245" s="2" t="s">
        <v>821</v>
      </c>
      <c r="G245" s="2" t="s">
        <v>837</v>
      </c>
      <c r="H245" s="17">
        <v>68892</v>
      </c>
      <c r="I245" s="2"/>
      <c r="J245" s="2"/>
      <c r="K245" s="17">
        <v>68892</v>
      </c>
      <c r="L245" s="17">
        <v>7381.29</v>
      </c>
      <c r="M245" s="17">
        <v>61510.71</v>
      </c>
      <c r="N245" s="17">
        <v>68892</v>
      </c>
      <c r="O245" s="2"/>
      <c r="P245" s="2"/>
      <c r="Q245" s="31" t="s">
        <v>139</v>
      </c>
      <c r="R245" s="66"/>
      <c r="S245" s="62"/>
      <c r="T245" s="5"/>
    </row>
    <row r="246" spans="1:20" hidden="1">
      <c r="A246" s="2" t="s">
        <v>769</v>
      </c>
      <c r="B246" s="2" t="s">
        <v>838</v>
      </c>
      <c r="C246" s="2" t="s">
        <v>237</v>
      </c>
      <c r="D246" s="16">
        <v>60</v>
      </c>
      <c r="E246" s="2" t="s">
        <v>770</v>
      </c>
      <c r="F246" s="2" t="s">
        <v>821</v>
      </c>
      <c r="G246" s="2" t="s">
        <v>839</v>
      </c>
      <c r="H246" s="17">
        <v>7840</v>
      </c>
      <c r="I246" s="2"/>
      <c r="J246" s="2"/>
      <c r="K246" s="17">
        <v>7840</v>
      </c>
      <c r="L246" s="18">
        <v>840</v>
      </c>
      <c r="M246" s="17">
        <v>7000</v>
      </c>
      <c r="N246" s="17">
        <v>7840</v>
      </c>
      <c r="O246" s="2"/>
      <c r="P246" s="2"/>
      <c r="Q246" s="31" t="s">
        <v>139</v>
      </c>
      <c r="R246" s="66"/>
      <c r="S246" s="62"/>
      <c r="T246" s="5"/>
    </row>
    <row r="247" spans="1:20" hidden="1">
      <c r="A247" s="2" t="s">
        <v>1467</v>
      </c>
      <c r="B247" s="2" t="s">
        <v>1494</v>
      </c>
      <c r="C247" s="2" t="s">
        <v>237</v>
      </c>
      <c r="D247" s="16">
        <v>60</v>
      </c>
      <c r="E247" s="2" t="s">
        <v>1495</v>
      </c>
      <c r="F247" s="2" t="s">
        <v>821</v>
      </c>
      <c r="G247" s="2" t="s">
        <v>1496</v>
      </c>
      <c r="H247" s="17">
        <v>35008</v>
      </c>
      <c r="I247" s="2"/>
      <c r="J247" s="2"/>
      <c r="K247" s="17">
        <v>35008</v>
      </c>
      <c r="L247" s="17">
        <v>3750.86</v>
      </c>
      <c r="M247" s="17">
        <v>31257.14</v>
      </c>
      <c r="N247" s="17">
        <v>35008</v>
      </c>
      <c r="O247" s="2"/>
      <c r="P247" s="2"/>
      <c r="Q247" s="31" t="s">
        <v>139</v>
      </c>
      <c r="R247" s="66"/>
      <c r="S247" s="62"/>
      <c r="T247" s="5"/>
    </row>
    <row r="248" spans="1:20" hidden="1">
      <c r="A248" s="2" t="s">
        <v>1467</v>
      </c>
      <c r="B248" s="2" t="s">
        <v>1497</v>
      </c>
      <c r="C248" s="2" t="s">
        <v>237</v>
      </c>
      <c r="D248" s="16">
        <v>60</v>
      </c>
      <c r="E248" s="2" t="s">
        <v>1495</v>
      </c>
      <c r="F248" s="2" t="s">
        <v>821</v>
      </c>
      <c r="G248" s="2" t="s">
        <v>1498</v>
      </c>
      <c r="H248" s="17">
        <v>17400</v>
      </c>
      <c r="I248" s="2"/>
      <c r="J248" s="2"/>
      <c r="K248" s="17">
        <v>17400</v>
      </c>
      <c r="L248" s="17">
        <v>1864.29</v>
      </c>
      <c r="M248" s="17">
        <v>15535.71</v>
      </c>
      <c r="N248" s="17">
        <v>17400</v>
      </c>
      <c r="O248" s="2"/>
      <c r="P248" s="2"/>
      <c r="Q248" s="31" t="s">
        <v>139</v>
      </c>
      <c r="R248" s="66"/>
      <c r="S248" s="62"/>
      <c r="T248" s="5"/>
    </row>
    <row r="249" spans="1:20" hidden="1">
      <c r="A249" s="2" t="s">
        <v>1467</v>
      </c>
      <c r="B249" s="2" t="s">
        <v>1499</v>
      </c>
      <c r="C249" s="2" t="s">
        <v>237</v>
      </c>
      <c r="D249" s="16">
        <v>60</v>
      </c>
      <c r="E249" s="2" t="s">
        <v>1495</v>
      </c>
      <c r="F249" s="2" t="s">
        <v>821</v>
      </c>
      <c r="G249" s="2" t="s">
        <v>1500</v>
      </c>
      <c r="H249" s="17">
        <v>26320</v>
      </c>
      <c r="I249" s="2"/>
      <c r="J249" s="2"/>
      <c r="K249" s="17">
        <v>26320</v>
      </c>
      <c r="L249" s="17">
        <v>2820</v>
      </c>
      <c r="M249" s="17">
        <v>23500</v>
      </c>
      <c r="N249" s="17">
        <v>26320</v>
      </c>
      <c r="O249" s="2"/>
      <c r="P249" s="2"/>
      <c r="Q249" s="31" t="s">
        <v>139</v>
      </c>
      <c r="R249" s="66"/>
      <c r="S249" s="62"/>
      <c r="T249" s="5"/>
    </row>
    <row r="250" spans="1:20" hidden="1">
      <c r="A250" s="2" t="s">
        <v>1467</v>
      </c>
      <c r="B250" s="2" t="s">
        <v>1501</v>
      </c>
      <c r="C250" s="2" t="s">
        <v>237</v>
      </c>
      <c r="D250" s="16">
        <v>60</v>
      </c>
      <c r="E250" s="2" t="s">
        <v>1495</v>
      </c>
      <c r="F250" s="2" t="s">
        <v>821</v>
      </c>
      <c r="G250" s="2" t="s">
        <v>1502</v>
      </c>
      <c r="H250" s="17">
        <v>12105</v>
      </c>
      <c r="I250" s="2"/>
      <c r="J250" s="2"/>
      <c r="K250" s="17">
        <v>12105</v>
      </c>
      <c r="L250" s="17">
        <v>1296.96</v>
      </c>
      <c r="M250" s="17">
        <v>10808.04</v>
      </c>
      <c r="N250" s="17">
        <v>12105</v>
      </c>
      <c r="O250" s="2"/>
      <c r="P250" s="2"/>
      <c r="Q250" s="31" t="s">
        <v>139</v>
      </c>
      <c r="R250" s="66"/>
      <c r="S250" s="62"/>
      <c r="T250" s="5"/>
    </row>
    <row r="251" spans="1:20" hidden="1">
      <c r="A251" s="2" t="s">
        <v>1467</v>
      </c>
      <c r="B251" s="2" t="s">
        <v>1503</v>
      </c>
      <c r="C251" s="2" t="s">
        <v>237</v>
      </c>
      <c r="D251" s="16">
        <v>60</v>
      </c>
      <c r="E251" s="2" t="s">
        <v>1495</v>
      </c>
      <c r="F251" s="2" t="s">
        <v>821</v>
      </c>
      <c r="G251" s="2" t="s">
        <v>1504</v>
      </c>
      <c r="H251" s="17">
        <v>6725</v>
      </c>
      <c r="I251" s="2"/>
      <c r="J251" s="2"/>
      <c r="K251" s="17">
        <v>6725</v>
      </c>
      <c r="L251" s="18">
        <v>720.54</v>
      </c>
      <c r="M251" s="17">
        <v>6004.46</v>
      </c>
      <c r="N251" s="17">
        <v>6725</v>
      </c>
      <c r="O251" s="2"/>
      <c r="P251" s="2"/>
      <c r="Q251" s="31" t="s">
        <v>139</v>
      </c>
      <c r="R251" s="66"/>
      <c r="S251" s="62"/>
      <c r="T251" s="5"/>
    </row>
    <row r="252" spans="1:20" hidden="1">
      <c r="A252" s="2" t="s">
        <v>1467</v>
      </c>
      <c r="B252" s="2" t="s">
        <v>1505</v>
      </c>
      <c r="C252" s="2" t="s">
        <v>237</v>
      </c>
      <c r="D252" s="16">
        <v>60</v>
      </c>
      <c r="E252" s="2" t="s">
        <v>1495</v>
      </c>
      <c r="F252" s="2" t="s">
        <v>821</v>
      </c>
      <c r="G252" s="2" t="s">
        <v>1506</v>
      </c>
      <c r="H252" s="17">
        <v>150337</v>
      </c>
      <c r="I252" s="2"/>
      <c r="J252" s="2"/>
      <c r="K252" s="17">
        <v>150337</v>
      </c>
      <c r="L252" s="17">
        <v>16107.54</v>
      </c>
      <c r="M252" s="17">
        <v>134229.46</v>
      </c>
      <c r="N252" s="17">
        <v>150337</v>
      </c>
      <c r="O252" s="2"/>
      <c r="P252" s="2"/>
      <c r="Q252" s="31" t="s">
        <v>139</v>
      </c>
      <c r="R252" s="65"/>
      <c r="S252" s="62"/>
      <c r="T252" s="5"/>
    </row>
    <row r="253" spans="1:20" hidden="1">
      <c r="A253" s="2" t="s">
        <v>368</v>
      </c>
      <c r="B253" s="2" t="s">
        <v>367</v>
      </c>
      <c r="C253" s="2" t="s">
        <v>369</v>
      </c>
      <c r="D253" s="16">
        <v>30</v>
      </c>
      <c r="E253" s="2" t="s">
        <v>370</v>
      </c>
      <c r="F253" s="2" t="s">
        <v>371</v>
      </c>
      <c r="G253" s="2" t="s">
        <v>372</v>
      </c>
      <c r="H253" s="17">
        <v>256067</v>
      </c>
      <c r="I253" s="2"/>
      <c r="J253" s="2"/>
      <c r="K253" s="17">
        <v>256067</v>
      </c>
      <c r="L253" s="17">
        <v>27435.75</v>
      </c>
      <c r="M253" s="17">
        <v>228631.25</v>
      </c>
      <c r="N253" s="17">
        <v>256067</v>
      </c>
      <c r="O253" s="2"/>
      <c r="P253" s="2"/>
      <c r="Q253" s="31" t="s">
        <v>139</v>
      </c>
      <c r="R253" s="64">
        <f>+K253+K254+K255+K256+K257+K258+K259</f>
        <v>830284</v>
      </c>
      <c r="S253" s="62"/>
      <c r="T253" s="5"/>
    </row>
    <row r="254" spans="1:20" hidden="1">
      <c r="A254" s="2" t="s">
        <v>368</v>
      </c>
      <c r="B254" s="2" t="s">
        <v>378</v>
      </c>
      <c r="C254" s="2" t="s">
        <v>369</v>
      </c>
      <c r="D254" s="16">
        <v>30</v>
      </c>
      <c r="E254" s="2" t="s">
        <v>370</v>
      </c>
      <c r="F254" s="2" t="s">
        <v>371</v>
      </c>
      <c r="G254" s="2" t="s">
        <v>379</v>
      </c>
      <c r="H254" s="17">
        <v>47040</v>
      </c>
      <c r="I254" s="2"/>
      <c r="J254" s="2"/>
      <c r="K254" s="17">
        <v>47040</v>
      </c>
      <c r="L254" s="17">
        <v>5040</v>
      </c>
      <c r="M254" s="17">
        <v>42000</v>
      </c>
      <c r="N254" s="17">
        <v>47040</v>
      </c>
      <c r="O254" s="2"/>
      <c r="P254" s="2"/>
      <c r="Q254" s="31" t="s">
        <v>139</v>
      </c>
      <c r="R254" s="66"/>
      <c r="S254" s="62"/>
      <c r="T254" s="5"/>
    </row>
    <row r="255" spans="1:20" hidden="1">
      <c r="A255" s="2" t="s">
        <v>368</v>
      </c>
      <c r="B255" s="2" t="s">
        <v>380</v>
      </c>
      <c r="C255" s="2" t="s">
        <v>369</v>
      </c>
      <c r="D255" s="16">
        <v>30</v>
      </c>
      <c r="E255" s="2" t="s">
        <v>370</v>
      </c>
      <c r="F255" s="2" t="s">
        <v>371</v>
      </c>
      <c r="G255" s="2" t="s">
        <v>381</v>
      </c>
      <c r="H255" s="17">
        <v>143520</v>
      </c>
      <c r="I255" s="2"/>
      <c r="J255" s="2"/>
      <c r="K255" s="17">
        <v>143520</v>
      </c>
      <c r="L255" s="17">
        <v>15377.14</v>
      </c>
      <c r="M255" s="17">
        <v>128142.86</v>
      </c>
      <c r="N255" s="17">
        <v>143520</v>
      </c>
      <c r="O255" s="2"/>
      <c r="P255" s="2"/>
      <c r="Q255" s="31" t="s">
        <v>139</v>
      </c>
      <c r="R255" s="66"/>
      <c r="S255" s="62"/>
      <c r="T255" s="5"/>
    </row>
    <row r="256" spans="1:20" hidden="1">
      <c r="A256" s="2" t="s">
        <v>866</v>
      </c>
      <c r="B256" s="2" t="s">
        <v>879</v>
      </c>
      <c r="C256" s="2" t="s">
        <v>369</v>
      </c>
      <c r="D256" s="16">
        <v>30</v>
      </c>
      <c r="E256" s="2" t="s">
        <v>880</v>
      </c>
      <c r="F256" s="2" t="s">
        <v>371</v>
      </c>
      <c r="G256" s="2" t="s">
        <v>881</v>
      </c>
      <c r="H256" s="17">
        <v>128240</v>
      </c>
      <c r="I256" s="2"/>
      <c r="J256" s="2"/>
      <c r="K256" s="17">
        <v>128240</v>
      </c>
      <c r="L256" s="17">
        <v>13740</v>
      </c>
      <c r="M256" s="17">
        <v>114500</v>
      </c>
      <c r="N256" s="17">
        <v>128240</v>
      </c>
      <c r="O256" s="2"/>
      <c r="P256" s="2"/>
      <c r="Q256" s="31" t="s">
        <v>139</v>
      </c>
      <c r="R256" s="66"/>
      <c r="S256" s="62"/>
      <c r="T256" s="5"/>
    </row>
    <row r="257" spans="1:20" hidden="1">
      <c r="A257" s="2" t="s">
        <v>1553</v>
      </c>
      <c r="B257" s="2" t="s">
        <v>1568</v>
      </c>
      <c r="C257" s="2" t="s">
        <v>369</v>
      </c>
      <c r="D257" s="16">
        <v>30</v>
      </c>
      <c r="E257" s="2" t="s">
        <v>1569</v>
      </c>
      <c r="F257" s="2" t="s">
        <v>371</v>
      </c>
      <c r="G257" s="2" t="s">
        <v>1570</v>
      </c>
      <c r="H257" s="17">
        <v>96530</v>
      </c>
      <c r="I257" s="2"/>
      <c r="J257" s="2"/>
      <c r="K257" s="17">
        <v>96530</v>
      </c>
      <c r="L257" s="17">
        <v>10342.5</v>
      </c>
      <c r="M257" s="17">
        <v>86187.5</v>
      </c>
      <c r="N257" s="17">
        <v>96530</v>
      </c>
      <c r="O257" s="2"/>
      <c r="P257" s="2"/>
      <c r="Q257" s="31" t="s">
        <v>139</v>
      </c>
      <c r="R257" s="66"/>
      <c r="S257" s="62"/>
      <c r="T257" s="5"/>
    </row>
    <row r="258" spans="1:20" hidden="1">
      <c r="A258" s="2" t="s">
        <v>1553</v>
      </c>
      <c r="B258" s="2" t="s">
        <v>1571</v>
      </c>
      <c r="C258" s="2" t="s">
        <v>369</v>
      </c>
      <c r="D258" s="16">
        <v>30</v>
      </c>
      <c r="E258" s="2" t="s">
        <v>1569</v>
      </c>
      <c r="F258" s="2" t="s">
        <v>371</v>
      </c>
      <c r="G258" s="2" t="s">
        <v>1572</v>
      </c>
      <c r="H258" s="17">
        <v>138347</v>
      </c>
      <c r="I258" s="2"/>
      <c r="J258" s="2"/>
      <c r="K258" s="17">
        <v>138347</v>
      </c>
      <c r="L258" s="17">
        <v>14822.89</v>
      </c>
      <c r="M258" s="17">
        <v>123524.11</v>
      </c>
      <c r="N258" s="17">
        <v>138347</v>
      </c>
      <c r="O258" s="2"/>
      <c r="P258" s="2"/>
      <c r="Q258" s="31" t="s">
        <v>139</v>
      </c>
      <c r="R258" s="66"/>
      <c r="S258" s="62"/>
      <c r="T258" s="5"/>
    </row>
    <row r="259" spans="1:20" hidden="1">
      <c r="A259" s="2" t="s">
        <v>1553</v>
      </c>
      <c r="B259" s="2" t="s">
        <v>1611</v>
      </c>
      <c r="C259" s="2" t="s">
        <v>369</v>
      </c>
      <c r="D259" s="16">
        <v>30</v>
      </c>
      <c r="E259" s="2" t="s">
        <v>1569</v>
      </c>
      <c r="F259" s="2" t="s">
        <v>371</v>
      </c>
      <c r="G259" s="2" t="s">
        <v>1612</v>
      </c>
      <c r="H259" s="17">
        <v>20540</v>
      </c>
      <c r="I259" s="2"/>
      <c r="J259" s="2"/>
      <c r="K259" s="17">
        <v>20540</v>
      </c>
      <c r="L259" s="17">
        <v>2200.71</v>
      </c>
      <c r="M259" s="17">
        <v>18339.29</v>
      </c>
      <c r="N259" s="17">
        <v>20540</v>
      </c>
      <c r="O259" s="2"/>
      <c r="P259" s="2"/>
      <c r="Q259" s="31" t="s">
        <v>139</v>
      </c>
      <c r="R259" s="65"/>
      <c r="S259" s="62"/>
      <c r="T259" s="5"/>
    </row>
    <row r="260" spans="1:20" hidden="1">
      <c r="A260" s="2" t="s">
        <v>505</v>
      </c>
      <c r="B260" s="2" t="s">
        <v>517</v>
      </c>
      <c r="C260" s="2" t="s">
        <v>243</v>
      </c>
      <c r="D260" s="16">
        <v>30</v>
      </c>
      <c r="E260" s="2" t="s">
        <v>518</v>
      </c>
      <c r="F260" s="2" t="s">
        <v>519</v>
      </c>
      <c r="G260" s="2" t="s">
        <v>520</v>
      </c>
      <c r="H260" s="17">
        <v>9802</v>
      </c>
      <c r="I260" s="2"/>
      <c r="J260" s="2"/>
      <c r="K260" s="17">
        <v>9802</v>
      </c>
      <c r="L260" s="17">
        <v>1050.21</v>
      </c>
      <c r="M260" s="17">
        <v>8751.7900000000009</v>
      </c>
      <c r="N260" s="17">
        <v>9802</v>
      </c>
      <c r="O260" s="2"/>
      <c r="P260" s="2"/>
      <c r="Q260" s="31" t="s">
        <v>139</v>
      </c>
      <c r="R260" s="41">
        <f>+K260</f>
        <v>9802</v>
      </c>
      <c r="S260" s="62"/>
      <c r="T260" s="5"/>
    </row>
    <row r="261" spans="1:20" hidden="1">
      <c r="A261" s="2" t="s">
        <v>93</v>
      </c>
      <c r="B261" s="2" t="s">
        <v>138</v>
      </c>
      <c r="C261" s="2" t="s">
        <v>29</v>
      </c>
      <c r="D261" s="16">
        <v>0</v>
      </c>
      <c r="E261" s="2" t="s">
        <v>93</v>
      </c>
      <c r="F261" s="2" t="s">
        <v>140</v>
      </c>
      <c r="G261" s="2" t="s">
        <v>141</v>
      </c>
      <c r="H261" s="17">
        <v>8428</v>
      </c>
      <c r="I261" s="2"/>
      <c r="J261" s="2"/>
      <c r="K261" s="17">
        <v>8428</v>
      </c>
      <c r="L261" s="18">
        <v>903</v>
      </c>
      <c r="M261" s="17">
        <v>7525</v>
      </c>
      <c r="N261" s="17">
        <v>8428</v>
      </c>
      <c r="O261" s="2"/>
      <c r="P261" s="2"/>
      <c r="Q261" s="31" t="s">
        <v>139</v>
      </c>
      <c r="R261" s="64">
        <f>+K261+K262+K263</f>
        <v>130350</v>
      </c>
      <c r="S261" s="62"/>
      <c r="T261" s="5"/>
    </row>
    <row r="262" spans="1:20" hidden="1">
      <c r="A262" s="2" t="s">
        <v>505</v>
      </c>
      <c r="B262" s="2" t="s">
        <v>562</v>
      </c>
      <c r="C262" s="2" t="s">
        <v>29</v>
      </c>
      <c r="D262" s="16">
        <v>0</v>
      </c>
      <c r="E262" s="2" t="s">
        <v>505</v>
      </c>
      <c r="F262" s="2" t="s">
        <v>140</v>
      </c>
      <c r="G262" s="2" t="s">
        <v>563</v>
      </c>
      <c r="H262" s="17">
        <v>12142</v>
      </c>
      <c r="I262" s="2"/>
      <c r="J262" s="2"/>
      <c r="K262" s="17">
        <v>12142</v>
      </c>
      <c r="L262" s="17">
        <v>1300.93</v>
      </c>
      <c r="M262" s="17">
        <v>10841.07</v>
      </c>
      <c r="N262" s="17">
        <v>12142</v>
      </c>
      <c r="O262" s="2"/>
      <c r="P262" s="2"/>
      <c r="Q262" s="31" t="s">
        <v>139</v>
      </c>
      <c r="R262" s="66"/>
      <c r="S262" s="62"/>
      <c r="T262" s="5"/>
    </row>
    <row r="263" spans="1:20" hidden="1">
      <c r="A263" s="2" t="s">
        <v>971</v>
      </c>
      <c r="B263" s="2" t="s">
        <v>993</v>
      </c>
      <c r="C263" s="2" t="s">
        <v>29</v>
      </c>
      <c r="D263" s="16">
        <v>0</v>
      </c>
      <c r="E263" s="2" t="s">
        <v>971</v>
      </c>
      <c r="F263" s="2" t="s">
        <v>140</v>
      </c>
      <c r="G263" s="2" t="s">
        <v>994</v>
      </c>
      <c r="H263" s="17">
        <v>109780</v>
      </c>
      <c r="I263" s="2"/>
      <c r="J263" s="2"/>
      <c r="K263" s="17">
        <v>109780</v>
      </c>
      <c r="L263" s="17">
        <v>11762.14</v>
      </c>
      <c r="M263" s="17">
        <v>98017.86</v>
      </c>
      <c r="N263" s="17">
        <v>109780</v>
      </c>
      <c r="O263" s="2"/>
      <c r="P263" s="2"/>
      <c r="Q263" s="31" t="s">
        <v>139</v>
      </c>
      <c r="R263" s="65"/>
      <c r="S263" s="62"/>
      <c r="T263" s="5"/>
    </row>
    <row r="264" spans="1:20" hidden="1">
      <c r="A264" s="2" t="s">
        <v>769</v>
      </c>
      <c r="B264" s="2" t="s">
        <v>804</v>
      </c>
      <c r="C264" s="2" t="s">
        <v>73</v>
      </c>
      <c r="D264" s="16">
        <v>30</v>
      </c>
      <c r="E264" s="2" t="s">
        <v>805</v>
      </c>
      <c r="F264" s="2" t="s">
        <v>806</v>
      </c>
      <c r="G264" s="2" t="s">
        <v>807</v>
      </c>
      <c r="H264" s="17">
        <v>146000</v>
      </c>
      <c r="I264" s="2"/>
      <c r="J264" s="2"/>
      <c r="K264" s="17">
        <v>146000</v>
      </c>
      <c r="L264" s="17">
        <v>15642.86</v>
      </c>
      <c r="M264" s="17">
        <v>130357.14</v>
      </c>
      <c r="N264" s="17">
        <v>146000</v>
      </c>
      <c r="O264" s="2"/>
      <c r="P264" s="2"/>
      <c r="Q264" s="31" t="s">
        <v>139</v>
      </c>
      <c r="R264" s="41">
        <f>+K264</f>
        <v>146000</v>
      </c>
      <c r="S264" s="62"/>
      <c r="T264" s="5"/>
    </row>
    <row r="265" spans="1:20" hidden="1">
      <c r="A265" s="2" t="s">
        <v>971</v>
      </c>
      <c r="B265" s="2" t="s">
        <v>975</v>
      </c>
      <c r="C265" s="2" t="s">
        <v>98</v>
      </c>
      <c r="D265" s="16">
        <v>0</v>
      </c>
      <c r="E265" s="2" t="s">
        <v>971</v>
      </c>
      <c r="F265" s="2" t="s">
        <v>976</v>
      </c>
      <c r="G265" s="2" t="s">
        <v>977</v>
      </c>
      <c r="H265" s="17">
        <v>221591</v>
      </c>
      <c r="I265" s="2"/>
      <c r="J265" s="2"/>
      <c r="K265" s="17">
        <v>221591</v>
      </c>
      <c r="L265" s="17">
        <v>23741.89</v>
      </c>
      <c r="M265" s="17">
        <v>197849.11</v>
      </c>
      <c r="N265" s="17">
        <v>221591</v>
      </c>
      <c r="O265" s="2"/>
      <c r="P265" s="2"/>
      <c r="Q265" s="31" t="s">
        <v>139</v>
      </c>
      <c r="R265" s="41">
        <f>+K265</f>
        <v>221591</v>
      </c>
      <c r="S265" s="62"/>
      <c r="T265" s="5"/>
    </row>
    <row r="266" spans="1:20" hidden="1">
      <c r="A266" s="2" t="s">
        <v>1553</v>
      </c>
      <c r="B266" s="2" t="s">
        <v>1562</v>
      </c>
      <c r="C266" s="2" t="s">
        <v>1563</v>
      </c>
      <c r="D266" s="16">
        <v>45</v>
      </c>
      <c r="E266" s="2" t="s">
        <v>692</v>
      </c>
      <c r="F266" s="2" t="s">
        <v>1564</v>
      </c>
      <c r="G266" s="2" t="s">
        <v>1565</v>
      </c>
      <c r="H266" s="17">
        <v>164075</v>
      </c>
      <c r="I266" s="2"/>
      <c r="J266" s="2"/>
      <c r="K266" s="17">
        <v>164075</v>
      </c>
      <c r="L266" s="17">
        <v>17579.46</v>
      </c>
      <c r="M266" s="17">
        <v>146495.54</v>
      </c>
      <c r="N266" s="17">
        <v>164075</v>
      </c>
      <c r="O266" s="2"/>
      <c r="P266" s="2"/>
      <c r="Q266" s="31" t="s">
        <v>139</v>
      </c>
      <c r="R266" s="41">
        <f>+K266</f>
        <v>164075</v>
      </c>
      <c r="S266" s="62"/>
      <c r="T266" s="5"/>
    </row>
    <row r="267" spans="1:20" hidden="1">
      <c r="A267" s="2" t="s">
        <v>971</v>
      </c>
      <c r="B267" s="2" t="s">
        <v>1042</v>
      </c>
      <c r="C267" s="2" t="s">
        <v>94</v>
      </c>
      <c r="D267" s="16">
        <v>0</v>
      </c>
      <c r="E267" s="2" t="s">
        <v>971</v>
      </c>
      <c r="F267" s="2" t="s">
        <v>1043</v>
      </c>
      <c r="G267" s="2" t="s">
        <v>1044</v>
      </c>
      <c r="H267" s="17">
        <v>166626.75</v>
      </c>
      <c r="I267" s="2"/>
      <c r="J267" s="2"/>
      <c r="K267" s="17">
        <v>166626.75</v>
      </c>
      <c r="L267" s="17">
        <v>17852.87</v>
      </c>
      <c r="M267" s="17">
        <v>148773.88</v>
      </c>
      <c r="N267" s="17">
        <v>166626.75</v>
      </c>
      <c r="O267" s="2"/>
      <c r="P267" s="2"/>
      <c r="Q267" s="31" t="s">
        <v>139</v>
      </c>
      <c r="R267" s="64">
        <f>+K267+K268</f>
        <v>259976.75</v>
      </c>
      <c r="S267" s="62"/>
      <c r="T267" s="5"/>
    </row>
    <row r="268" spans="1:20" hidden="1">
      <c r="A268" s="2" t="s">
        <v>1117</v>
      </c>
      <c r="B268" s="2" t="s">
        <v>1208</v>
      </c>
      <c r="C268" s="2" t="s">
        <v>94</v>
      </c>
      <c r="D268" s="16">
        <v>0</v>
      </c>
      <c r="E268" s="2" t="s">
        <v>1117</v>
      </c>
      <c r="F268" s="2" t="s">
        <v>1043</v>
      </c>
      <c r="G268" s="2" t="s">
        <v>1209</v>
      </c>
      <c r="H268" s="17">
        <v>93350</v>
      </c>
      <c r="I268" s="2"/>
      <c r="J268" s="2"/>
      <c r="K268" s="17">
        <v>93350</v>
      </c>
      <c r="L268" s="17">
        <v>10001.790000000001</v>
      </c>
      <c r="M268" s="17">
        <v>83348.210000000006</v>
      </c>
      <c r="N268" s="17">
        <v>93350</v>
      </c>
      <c r="O268" s="2"/>
      <c r="P268" s="2"/>
      <c r="Q268" s="31" t="s">
        <v>139</v>
      </c>
      <c r="R268" s="65"/>
      <c r="S268" s="62"/>
      <c r="T268" s="5"/>
    </row>
    <row r="269" spans="1:20" ht="14.45" customHeight="1">
      <c r="A269" s="2" t="s">
        <v>448</v>
      </c>
      <c r="B269" s="2" t="s">
        <v>447</v>
      </c>
      <c r="C269" s="2" t="s">
        <v>60</v>
      </c>
      <c r="D269" s="16">
        <v>0</v>
      </c>
      <c r="E269" s="2" t="s">
        <v>448</v>
      </c>
      <c r="F269" s="2" t="s">
        <v>449</v>
      </c>
      <c r="G269" s="2" t="s">
        <v>450</v>
      </c>
      <c r="H269" s="17">
        <v>6754.32</v>
      </c>
      <c r="I269" s="2"/>
      <c r="J269" s="17">
        <v>6754.32</v>
      </c>
      <c r="K269" s="2">
        <v>0</v>
      </c>
      <c r="L269" s="18">
        <v>723.68</v>
      </c>
      <c r="M269" s="17">
        <v>6030.64</v>
      </c>
      <c r="N269" s="17">
        <v>6754.32</v>
      </c>
      <c r="O269" s="2" t="s">
        <v>1785</v>
      </c>
      <c r="P269" s="2"/>
      <c r="Q269" s="31" t="s">
        <v>139</v>
      </c>
      <c r="R269" s="5"/>
      <c r="S269" s="62"/>
      <c r="T269" s="61">
        <f>+J269+J270+J271+J272</f>
        <v>49990</v>
      </c>
    </row>
    <row r="270" spans="1:20" ht="14.45" customHeight="1">
      <c r="A270" s="2" t="s">
        <v>448</v>
      </c>
      <c r="B270" s="2" t="s">
        <v>451</v>
      </c>
      <c r="C270" s="2" t="s">
        <v>60</v>
      </c>
      <c r="D270" s="16">
        <v>0</v>
      </c>
      <c r="E270" s="2" t="s">
        <v>448</v>
      </c>
      <c r="F270" s="2" t="s">
        <v>449</v>
      </c>
      <c r="G270" s="2" t="s">
        <v>452</v>
      </c>
      <c r="H270" s="17">
        <v>9143.68</v>
      </c>
      <c r="I270" s="2"/>
      <c r="J270" s="17">
        <v>9143.68</v>
      </c>
      <c r="K270" s="2">
        <v>0</v>
      </c>
      <c r="L270" s="18">
        <v>979.68</v>
      </c>
      <c r="M270" s="17">
        <v>8164</v>
      </c>
      <c r="N270" s="17">
        <v>9143.68</v>
      </c>
      <c r="O270" s="2" t="s">
        <v>1785</v>
      </c>
      <c r="P270" s="2"/>
      <c r="Q270" s="31" t="s">
        <v>139</v>
      </c>
      <c r="R270" s="5"/>
      <c r="S270" s="62"/>
      <c r="T270" s="62"/>
    </row>
    <row r="271" spans="1:20" ht="14.45" customHeight="1">
      <c r="A271" s="2" t="s">
        <v>1048</v>
      </c>
      <c r="B271" s="2" t="s">
        <v>1047</v>
      </c>
      <c r="C271" s="2" t="s">
        <v>60</v>
      </c>
      <c r="D271" s="16">
        <v>0</v>
      </c>
      <c r="E271" s="2" t="s">
        <v>1048</v>
      </c>
      <c r="F271" s="2" t="s">
        <v>449</v>
      </c>
      <c r="G271" s="2" t="s">
        <v>1049</v>
      </c>
      <c r="H271" s="17">
        <v>17072</v>
      </c>
      <c r="I271" s="2"/>
      <c r="J271" s="17">
        <v>17072</v>
      </c>
      <c r="K271" s="2">
        <v>0</v>
      </c>
      <c r="L271" s="17">
        <v>1829.14</v>
      </c>
      <c r="M271" s="17">
        <v>15242.86</v>
      </c>
      <c r="N271" s="17">
        <v>17072</v>
      </c>
      <c r="O271" s="2" t="s">
        <v>1785</v>
      </c>
      <c r="P271" s="2"/>
      <c r="Q271" s="31" t="s">
        <v>139</v>
      </c>
      <c r="R271" s="5"/>
      <c r="S271" s="62"/>
      <c r="T271" s="62"/>
    </row>
    <row r="272" spans="1:20" ht="14.45" customHeight="1">
      <c r="A272" s="2" t="s">
        <v>1048</v>
      </c>
      <c r="B272" s="2" t="s">
        <v>1050</v>
      </c>
      <c r="C272" s="2" t="s">
        <v>60</v>
      </c>
      <c r="D272" s="16">
        <v>0</v>
      </c>
      <c r="E272" s="2" t="s">
        <v>1048</v>
      </c>
      <c r="F272" s="2" t="s">
        <v>449</v>
      </c>
      <c r="G272" s="2" t="s">
        <v>1051</v>
      </c>
      <c r="H272" s="17">
        <v>17020</v>
      </c>
      <c r="I272" s="2"/>
      <c r="J272" s="17">
        <v>17020</v>
      </c>
      <c r="K272" s="2">
        <v>0</v>
      </c>
      <c r="L272" s="17">
        <v>1823.57</v>
      </c>
      <c r="M272" s="17">
        <v>15196.43</v>
      </c>
      <c r="N272" s="17">
        <v>17020</v>
      </c>
      <c r="O272" s="2" t="s">
        <v>1785</v>
      </c>
      <c r="P272" s="2"/>
      <c r="Q272" s="31" t="s">
        <v>139</v>
      </c>
      <c r="R272" s="5"/>
      <c r="S272" s="62"/>
      <c r="T272" s="63"/>
    </row>
    <row r="273" spans="1:20" hidden="1">
      <c r="A273" s="2" t="s">
        <v>1117</v>
      </c>
      <c r="B273" s="2" t="s">
        <v>1199</v>
      </c>
      <c r="C273" s="2" t="s">
        <v>151</v>
      </c>
      <c r="D273" s="16">
        <v>60</v>
      </c>
      <c r="E273" s="2" t="s">
        <v>1139</v>
      </c>
      <c r="F273" s="2" t="s">
        <v>1200</v>
      </c>
      <c r="G273" s="2" t="s">
        <v>1201</v>
      </c>
      <c r="H273" s="17">
        <v>29500</v>
      </c>
      <c r="I273" s="2"/>
      <c r="J273" s="2"/>
      <c r="K273" s="17">
        <v>29500</v>
      </c>
      <c r="L273" s="17">
        <v>3160.71</v>
      </c>
      <c r="M273" s="17">
        <v>26339.29</v>
      </c>
      <c r="N273" s="17">
        <v>29500</v>
      </c>
      <c r="O273" s="2"/>
      <c r="P273" s="2"/>
      <c r="Q273" s="31" t="s">
        <v>139</v>
      </c>
      <c r="R273" s="41">
        <f>+K273</f>
        <v>29500</v>
      </c>
      <c r="S273" s="62"/>
      <c r="T273" s="5"/>
    </row>
    <row r="274" spans="1:20" hidden="1">
      <c r="A274" s="2" t="s">
        <v>199</v>
      </c>
      <c r="B274" s="2" t="s">
        <v>263</v>
      </c>
      <c r="C274" s="2" t="s">
        <v>151</v>
      </c>
      <c r="D274" s="16">
        <v>60</v>
      </c>
      <c r="E274" s="2" t="s">
        <v>200</v>
      </c>
      <c r="F274" s="2" t="s">
        <v>264</v>
      </c>
      <c r="G274" s="2" t="s">
        <v>265</v>
      </c>
      <c r="H274" s="17">
        <v>20960</v>
      </c>
      <c r="I274" s="2"/>
      <c r="J274" s="2"/>
      <c r="K274" s="17">
        <v>20960</v>
      </c>
      <c r="L274" s="17">
        <v>2245.71</v>
      </c>
      <c r="M274" s="17">
        <v>18714.29</v>
      </c>
      <c r="N274" s="17">
        <v>20960</v>
      </c>
      <c r="O274" s="2"/>
      <c r="P274" s="2"/>
      <c r="Q274" s="31" t="s">
        <v>139</v>
      </c>
      <c r="R274" s="64">
        <f>+K274+K275+K276+K277+K278+K279</f>
        <v>101550.2</v>
      </c>
      <c r="S274" s="62"/>
      <c r="T274" s="5"/>
    </row>
    <row r="275" spans="1:20" hidden="1">
      <c r="A275" s="2" t="s">
        <v>689</v>
      </c>
      <c r="B275" s="2" t="s">
        <v>691</v>
      </c>
      <c r="C275" s="2" t="s">
        <v>151</v>
      </c>
      <c r="D275" s="16">
        <v>60</v>
      </c>
      <c r="E275" s="2" t="s">
        <v>692</v>
      </c>
      <c r="F275" s="2" t="s">
        <v>264</v>
      </c>
      <c r="G275" s="2" t="s">
        <v>693</v>
      </c>
      <c r="H275" s="17">
        <v>29016</v>
      </c>
      <c r="I275" s="2"/>
      <c r="J275" s="2"/>
      <c r="K275" s="17">
        <v>29016</v>
      </c>
      <c r="L275" s="17">
        <v>3108.86</v>
      </c>
      <c r="M275" s="17">
        <v>25907.14</v>
      </c>
      <c r="N275" s="17">
        <v>29016</v>
      </c>
      <c r="O275" s="2"/>
      <c r="P275" s="2"/>
      <c r="Q275" s="31" t="s">
        <v>139</v>
      </c>
      <c r="R275" s="66"/>
      <c r="S275" s="62"/>
      <c r="T275" s="5"/>
    </row>
    <row r="276" spans="1:20" hidden="1">
      <c r="A276" s="2" t="s">
        <v>689</v>
      </c>
      <c r="B276" s="2" t="s">
        <v>694</v>
      </c>
      <c r="C276" s="2" t="s">
        <v>151</v>
      </c>
      <c r="D276" s="16">
        <v>60</v>
      </c>
      <c r="E276" s="2" t="s">
        <v>692</v>
      </c>
      <c r="F276" s="2" t="s">
        <v>264</v>
      </c>
      <c r="G276" s="2" t="s">
        <v>695</v>
      </c>
      <c r="H276" s="17">
        <v>2768</v>
      </c>
      <c r="I276" s="2"/>
      <c r="J276" s="2"/>
      <c r="K276" s="17">
        <v>2768</v>
      </c>
      <c r="L276" s="18">
        <v>296.57</v>
      </c>
      <c r="M276" s="17">
        <v>2471.4299999999998</v>
      </c>
      <c r="N276" s="17">
        <v>2768</v>
      </c>
      <c r="O276" s="2"/>
      <c r="P276" s="2"/>
      <c r="Q276" s="31" t="s">
        <v>139</v>
      </c>
      <c r="R276" s="66"/>
      <c r="S276" s="62"/>
      <c r="T276" s="5"/>
    </row>
    <row r="277" spans="1:20" hidden="1">
      <c r="A277" s="2" t="s">
        <v>915</v>
      </c>
      <c r="B277" s="2" t="s">
        <v>951</v>
      </c>
      <c r="C277" s="2" t="s">
        <v>151</v>
      </c>
      <c r="D277" s="16">
        <v>60</v>
      </c>
      <c r="E277" s="2" t="s">
        <v>918</v>
      </c>
      <c r="F277" s="2" t="s">
        <v>264</v>
      </c>
      <c r="G277" s="2" t="s">
        <v>952</v>
      </c>
      <c r="H277" s="17">
        <v>13520</v>
      </c>
      <c r="I277" s="2"/>
      <c r="J277" s="2"/>
      <c r="K277" s="17">
        <v>13520</v>
      </c>
      <c r="L277" s="17">
        <v>1448.57</v>
      </c>
      <c r="M277" s="17">
        <v>12071.43</v>
      </c>
      <c r="N277" s="17">
        <v>13520</v>
      </c>
      <c r="O277" s="2"/>
      <c r="P277" s="2"/>
      <c r="Q277" s="31" t="s">
        <v>139</v>
      </c>
      <c r="R277" s="66"/>
      <c r="S277" s="62"/>
      <c r="T277" s="5"/>
    </row>
    <row r="278" spans="1:20" hidden="1">
      <c r="A278" s="2" t="s">
        <v>1117</v>
      </c>
      <c r="B278" s="2" t="s">
        <v>1163</v>
      </c>
      <c r="C278" s="2" t="s">
        <v>151</v>
      </c>
      <c r="D278" s="16">
        <v>60</v>
      </c>
      <c r="E278" s="2" t="s">
        <v>1139</v>
      </c>
      <c r="F278" s="2" t="s">
        <v>264</v>
      </c>
      <c r="G278" s="2" t="s">
        <v>1164</v>
      </c>
      <c r="H278" s="17">
        <v>23524.2</v>
      </c>
      <c r="I278" s="2"/>
      <c r="J278" s="2"/>
      <c r="K278" s="17">
        <v>23524.2</v>
      </c>
      <c r="L278" s="17">
        <v>2520.4499999999998</v>
      </c>
      <c r="M278" s="17">
        <v>21003.75</v>
      </c>
      <c r="N278" s="17">
        <v>23524.2</v>
      </c>
      <c r="O278" s="2"/>
      <c r="P278" s="2"/>
      <c r="Q278" s="31" t="s">
        <v>139</v>
      </c>
      <c r="R278" s="66"/>
      <c r="S278" s="62"/>
      <c r="T278" s="5"/>
    </row>
    <row r="279" spans="1:20" hidden="1">
      <c r="A279" s="2" t="s">
        <v>1372</v>
      </c>
      <c r="B279" s="2" t="s">
        <v>1409</v>
      </c>
      <c r="C279" s="2" t="s">
        <v>151</v>
      </c>
      <c r="D279" s="16">
        <v>60</v>
      </c>
      <c r="E279" s="2" t="s">
        <v>1373</v>
      </c>
      <c r="F279" s="2" t="s">
        <v>264</v>
      </c>
      <c r="G279" s="2" t="s">
        <v>1410</v>
      </c>
      <c r="H279" s="17">
        <v>11762</v>
      </c>
      <c r="I279" s="2"/>
      <c r="J279" s="2"/>
      <c r="K279" s="17">
        <v>11762</v>
      </c>
      <c r="L279" s="17">
        <v>1260.21</v>
      </c>
      <c r="M279" s="17">
        <v>10501.79</v>
      </c>
      <c r="N279" s="17">
        <v>11762</v>
      </c>
      <c r="O279" s="2"/>
      <c r="P279" s="2"/>
      <c r="Q279" s="31" t="s">
        <v>139</v>
      </c>
      <c r="R279" s="65"/>
      <c r="S279" s="62"/>
      <c r="T279" s="5"/>
    </row>
    <row r="280" spans="1:20" hidden="1">
      <c r="A280" s="2" t="s">
        <v>915</v>
      </c>
      <c r="B280" s="2" t="s">
        <v>920</v>
      </c>
      <c r="C280" s="2" t="s">
        <v>73</v>
      </c>
      <c r="D280" s="16">
        <v>30</v>
      </c>
      <c r="E280" s="2" t="s">
        <v>916</v>
      </c>
      <c r="F280" s="2" t="s">
        <v>921</v>
      </c>
      <c r="G280" s="2" t="s">
        <v>922</v>
      </c>
      <c r="H280" s="17">
        <v>348834</v>
      </c>
      <c r="I280" s="2"/>
      <c r="J280" s="2"/>
      <c r="K280" s="17">
        <v>348834</v>
      </c>
      <c r="L280" s="17">
        <v>37375.07</v>
      </c>
      <c r="M280" s="17">
        <v>311458.93</v>
      </c>
      <c r="N280" s="17">
        <v>348834</v>
      </c>
      <c r="O280" s="2"/>
      <c r="P280" s="2"/>
      <c r="Q280" s="31" t="s">
        <v>139</v>
      </c>
      <c r="R280" s="41">
        <f>+K280</f>
        <v>348834</v>
      </c>
      <c r="S280" s="62"/>
      <c r="T280" s="5"/>
    </row>
    <row r="281" spans="1:20" hidden="1">
      <c r="A281" s="2" t="s">
        <v>505</v>
      </c>
      <c r="B281" s="2" t="s">
        <v>588</v>
      </c>
      <c r="C281" s="2" t="s">
        <v>146</v>
      </c>
      <c r="D281" s="16">
        <v>90</v>
      </c>
      <c r="E281" s="2" t="s">
        <v>532</v>
      </c>
      <c r="F281" s="2" t="s">
        <v>589</v>
      </c>
      <c r="G281" s="2" t="s">
        <v>590</v>
      </c>
      <c r="H281" s="17">
        <v>533750</v>
      </c>
      <c r="I281" s="2"/>
      <c r="J281" s="2"/>
      <c r="K281" s="17">
        <v>533750</v>
      </c>
      <c r="L281" s="17">
        <v>57187.5</v>
      </c>
      <c r="M281" s="17">
        <v>476562.5</v>
      </c>
      <c r="N281" s="17">
        <v>533750</v>
      </c>
      <c r="O281" s="2"/>
      <c r="P281" s="2"/>
      <c r="Q281" s="31" t="s">
        <v>139</v>
      </c>
      <c r="R281" s="41">
        <f>+K281</f>
        <v>533750</v>
      </c>
      <c r="S281" s="62"/>
      <c r="T281" s="5"/>
    </row>
    <row r="282" spans="1:20" hidden="1">
      <c r="A282" s="2" t="s">
        <v>1372</v>
      </c>
      <c r="B282" s="2" t="s">
        <v>1404</v>
      </c>
      <c r="C282" s="2" t="s">
        <v>162</v>
      </c>
      <c r="D282" s="16">
        <v>90</v>
      </c>
      <c r="E282" s="2" t="s">
        <v>1376</v>
      </c>
      <c r="F282" s="2" t="s">
        <v>1405</v>
      </c>
      <c r="G282" s="2" t="s">
        <v>1406</v>
      </c>
      <c r="H282" s="17">
        <v>80378</v>
      </c>
      <c r="I282" s="2"/>
      <c r="J282" s="2"/>
      <c r="K282" s="17">
        <v>80378</v>
      </c>
      <c r="L282" s="17">
        <v>8611.93</v>
      </c>
      <c r="M282" s="17">
        <v>71766.070000000007</v>
      </c>
      <c r="N282" s="17">
        <v>80378</v>
      </c>
      <c r="O282" s="2"/>
      <c r="P282" s="2"/>
      <c r="Q282" s="31" t="s">
        <v>139</v>
      </c>
      <c r="R282" s="64">
        <f>+K282+K283</f>
        <v>109178</v>
      </c>
      <c r="S282" s="62"/>
      <c r="T282" s="5"/>
    </row>
    <row r="283" spans="1:20" hidden="1">
      <c r="A283" s="2" t="s">
        <v>1372</v>
      </c>
      <c r="B283" s="2" t="s">
        <v>1407</v>
      </c>
      <c r="C283" s="2" t="s">
        <v>162</v>
      </c>
      <c r="D283" s="16">
        <v>90</v>
      </c>
      <c r="E283" s="2" t="s">
        <v>1376</v>
      </c>
      <c r="F283" s="2" t="s">
        <v>1405</v>
      </c>
      <c r="G283" s="2" t="s">
        <v>1408</v>
      </c>
      <c r="H283" s="17">
        <v>28800</v>
      </c>
      <c r="I283" s="2"/>
      <c r="J283" s="2"/>
      <c r="K283" s="17">
        <v>28800</v>
      </c>
      <c r="L283" s="17">
        <v>3085.71</v>
      </c>
      <c r="M283" s="17">
        <v>25714.29</v>
      </c>
      <c r="N283" s="17">
        <v>28800</v>
      </c>
      <c r="O283" s="2"/>
      <c r="P283" s="2"/>
      <c r="Q283" s="31" t="s">
        <v>139</v>
      </c>
      <c r="R283" s="65"/>
      <c r="S283" s="63"/>
      <c r="T283" s="5"/>
    </row>
    <row r="284" spans="1:20" hidden="1">
      <c r="A284" s="2" t="s">
        <v>282</v>
      </c>
      <c r="B284" s="2" t="s">
        <v>311</v>
      </c>
      <c r="C284" s="2" t="s">
        <v>162</v>
      </c>
      <c r="D284" s="16">
        <v>90</v>
      </c>
      <c r="E284" s="2" t="s">
        <v>290</v>
      </c>
      <c r="F284" s="2" t="s">
        <v>313</v>
      </c>
      <c r="G284" s="2" t="s">
        <v>314</v>
      </c>
      <c r="H284" s="17">
        <v>159998.07999999999</v>
      </c>
      <c r="I284" s="2"/>
      <c r="J284" s="2"/>
      <c r="K284" s="17">
        <v>159998.07999999999</v>
      </c>
      <c r="L284" s="17">
        <v>17142.650000000001</v>
      </c>
      <c r="M284" s="17">
        <v>142855.43</v>
      </c>
      <c r="N284" s="17">
        <v>159998.07999999999</v>
      </c>
      <c r="O284" s="2"/>
      <c r="P284" s="2"/>
      <c r="Q284" s="31" t="s">
        <v>312</v>
      </c>
      <c r="R284" s="61">
        <f>+K284+K285</f>
        <v>272894.07999999996</v>
      </c>
      <c r="S284" s="61">
        <f>+R284</f>
        <v>272894.07999999996</v>
      </c>
      <c r="T284" s="5"/>
    </row>
    <row r="285" spans="1:20" hidden="1">
      <c r="A285" s="2" t="s">
        <v>1467</v>
      </c>
      <c r="B285" s="2" t="s">
        <v>1478</v>
      </c>
      <c r="C285" s="2" t="s">
        <v>162</v>
      </c>
      <c r="D285" s="16">
        <v>90</v>
      </c>
      <c r="E285" s="2" t="s">
        <v>1479</v>
      </c>
      <c r="F285" s="2" t="s">
        <v>313</v>
      </c>
      <c r="G285" s="2" t="s">
        <v>1480</v>
      </c>
      <c r="H285" s="17">
        <v>112896</v>
      </c>
      <c r="I285" s="2"/>
      <c r="J285" s="2"/>
      <c r="K285" s="17">
        <v>112896</v>
      </c>
      <c r="L285" s="17">
        <v>12096</v>
      </c>
      <c r="M285" s="17">
        <v>100800</v>
      </c>
      <c r="N285" s="17">
        <v>112896</v>
      </c>
      <c r="O285" s="2"/>
      <c r="P285" s="2"/>
      <c r="Q285" s="31" t="s">
        <v>312</v>
      </c>
      <c r="R285" s="63"/>
      <c r="S285" s="63"/>
      <c r="T285" s="5"/>
    </row>
    <row r="286" spans="1:20" hidden="1">
      <c r="A286" s="2" t="s">
        <v>282</v>
      </c>
      <c r="B286" s="2" t="s">
        <v>328</v>
      </c>
      <c r="C286" s="2" t="s">
        <v>34</v>
      </c>
      <c r="D286" s="16">
        <v>60</v>
      </c>
      <c r="E286" s="2" t="s">
        <v>286</v>
      </c>
      <c r="F286" s="2" t="s">
        <v>330</v>
      </c>
      <c r="G286" s="2" t="s">
        <v>331</v>
      </c>
      <c r="H286" s="17">
        <v>338400</v>
      </c>
      <c r="I286" s="2"/>
      <c r="J286" s="2"/>
      <c r="K286" s="17">
        <v>338400</v>
      </c>
      <c r="L286" s="17">
        <v>36257.14</v>
      </c>
      <c r="M286" s="17">
        <v>302142.86</v>
      </c>
      <c r="N286" s="17">
        <v>338400</v>
      </c>
      <c r="O286" s="2"/>
      <c r="P286" s="2"/>
      <c r="Q286" s="31" t="s">
        <v>329</v>
      </c>
      <c r="R286" s="61">
        <f>+K286+K287+K288</f>
        <v>1151970</v>
      </c>
      <c r="S286" s="61">
        <f>+R286+R289+R290+R292</f>
        <v>1759550.4</v>
      </c>
      <c r="T286" s="5"/>
    </row>
    <row r="287" spans="1:20" hidden="1">
      <c r="A287" s="2" t="s">
        <v>505</v>
      </c>
      <c r="B287" s="2" t="s">
        <v>540</v>
      </c>
      <c r="C287" s="2" t="s">
        <v>34</v>
      </c>
      <c r="D287" s="16">
        <v>60</v>
      </c>
      <c r="E287" s="2" t="s">
        <v>509</v>
      </c>
      <c r="F287" s="2" t="s">
        <v>330</v>
      </c>
      <c r="G287" s="2" t="s">
        <v>541</v>
      </c>
      <c r="H287" s="17">
        <v>360302</v>
      </c>
      <c r="I287" s="2"/>
      <c r="J287" s="2"/>
      <c r="K287" s="17">
        <v>360302</v>
      </c>
      <c r="L287" s="17">
        <v>38603.79</v>
      </c>
      <c r="M287" s="17">
        <v>321698.21000000002</v>
      </c>
      <c r="N287" s="17">
        <v>360302</v>
      </c>
      <c r="O287" s="2"/>
      <c r="P287" s="2"/>
      <c r="Q287" s="31" t="s">
        <v>329</v>
      </c>
      <c r="R287" s="62"/>
      <c r="S287" s="62"/>
      <c r="T287" s="5"/>
    </row>
    <row r="288" spans="1:20" hidden="1">
      <c r="A288" s="2" t="s">
        <v>1117</v>
      </c>
      <c r="B288" s="2" t="s">
        <v>1197</v>
      </c>
      <c r="C288" s="2" t="s">
        <v>34</v>
      </c>
      <c r="D288" s="16">
        <v>60</v>
      </c>
      <c r="E288" s="2" t="s">
        <v>1139</v>
      </c>
      <c r="F288" s="2" t="s">
        <v>330</v>
      </c>
      <c r="G288" s="2" t="s">
        <v>1198</v>
      </c>
      <c r="H288" s="17">
        <v>453268</v>
      </c>
      <c r="I288" s="2"/>
      <c r="J288" s="2"/>
      <c r="K288" s="17">
        <v>453268</v>
      </c>
      <c r="L288" s="17">
        <v>48564.43</v>
      </c>
      <c r="M288" s="17">
        <v>404703.57</v>
      </c>
      <c r="N288" s="17">
        <v>453268</v>
      </c>
      <c r="O288" s="2"/>
      <c r="P288" s="2"/>
      <c r="Q288" s="31" t="s">
        <v>329</v>
      </c>
      <c r="R288" s="63"/>
      <c r="S288" s="62"/>
      <c r="T288" s="5"/>
    </row>
    <row r="289" spans="1:20" hidden="1">
      <c r="A289" s="2" t="s">
        <v>769</v>
      </c>
      <c r="B289" s="2" t="s">
        <v>808</v>
      </c>
      <c r="C289" s="2" t="s">
        <v>18</v>
      </c>
      <c r="D289" s="16">
        <v>0</v>
      </c>
      <c r="E289" s="2" t="s">
        <v>769</v>
      </c>
      <c r="F289" s="2" t="s">
        <v>809</v>
      </c>
      <c r="G289" s="2" t="s">
        <v>810</v>
      </c>
      <c r="H289" s="17">
        <v>65238</v>
      </c>
      <c r="I289" s="19">
        <v>-1304.76</v>
      </c>
      <c r="J289" s="2"/>
      <c r="K289" s="17">
        <v>63933.24</v>
      </c>
      <c r="L289" s="17">
        <v>6849.99</v>
      </c>
      <c r="M289" s="17">
        <v>57083.25</v>
      </c>
      <c r="N289" s="17">
        <v>63933.24</v>
      </c>
      <c r="O289" s="2"/>
      <c r="P289" s="2"/>
      <c r="Q289" s="31" t="s">
        <v>329</v>
      </c>
      <c r="R289" s="32">
        <f>+K289</f>
        <v>63933.24</v>
      </c>
      <c r="S289" s="62"/>
      <c r="T289" s="5"/>
    </row>
    <row r="290" spans="1:20" hidden="1">
      <c r="A290" s="2" t="s">
        <v>596</v>
      </c>
      <c r="B290" s="2" t="s">
        <v>607</v>
      </c>
      <c r="C290" s="2" t="s">
        <v>60</v>
      </c>
      <c r="D290" s="16">
        <v>0</v>
      </c>
      <c r="E290" s="2" t="s">
        <v>596</v>
      </c>
      <c r="F290" s="2" t="s">
        <v>608</v>
      </c>
      <c r="G290" s="2" t="s">
        <v>609</v>
      </c>
      <c r="H290" s="17">
        <v>142360</v>
      </c>
      <c r="I290" s="19">
        <v>-2847.2</v>
      </c>
      <c r="J290" s="2"/>
      <c r="K290" s="17">
        <v>139512.79999999999</v>
      </c>
      <c r="L290" s="17">
        <v>14947.8</v>
      </c>
      <c r="M290" s="17">
        <v>124565</v>
      </c>
      <c r="N290" s="17">
        <v>139512.79999999999</v>
      </c>
      <c r="O290" s="2"/>
      <c r="P290" s="2"/>
      <c r="Q290" s="31" t="s">
        <v>329</v>
      </c>
      <c r="R290" s="61">
        <f>+K290+K291</f>
        <v>170780.68</v>
      </c>
      <c r="S290" s="62"/>
      <c r="T290" s="5"/>
    </row>
    <row r="291" spans="1:20" hidden="1">
      <c r="A291" s="2" t="s">
        <v>596</v>
      </c>
      <c r="B291" s="2" t="s">
        <v>610</v>
      </c>
      <c r="C291" s="2" t="s">
        <v>60</v>
      </c>
      <c r="D291" s="16">
        <v>0</v>
      </c>
      <c r="E291" s="2" t="s">
        <v>596</v>
      </c>
      <c r="F291" s="2" t="s">
        <v>608</v>
      </c>
      <c r="G291" s="2" t="s">
        <v>611</v>
      </c>
      <c r="H291" s="17">
        <v>31906</v>
      </c>
      <c r="I291" s="19">
        <v>-638.12</v>
      </c>
      <c r="J291" s="2"/>
      <c r="K291" s="17">
        <v>31267.88</v>
      </c>
      <c r="L291" s="17">
        <v>3350.13</v>
      </c>
      <c r="M291" s="17">
        <v>27917.75</v>
      </c>
      <c r="N291" s="17">
        <v>31267.88</v>
      </c>
      <c r="O291" s="2"/>
      <c r="P291" s="2"/>
      <c r="Q291" s="31" t="s">
        <v>329</v>
      </c>
      <c r="R291" s="63"/>
      <c r="S291" s="62"/>
      <c r="T291" s="5"/>
    </row>
    <row r="292" spans="1:20" hidden="1">
      <c r="A292" s="2" t="s">
        <v>505</v>
      </c>
      <c r="B292" s="2" t="s">
        <v>528</v>
      </c>
      <c r="C292" s="2" t="s">
        <v>23</v>
      </c>
      <c r="D292" s="16">
        <v>30</v>
      </c>
      <c r="E292" s="2" t="s">
        <v>518</v>
      </c>
      <c r="F292" s="2" t="s">
        <v>529</v>
      </c>
      <c r="G292" s="2" t="s">
        <v>530</v>
      </c>
      <c r="H292" s="17">
        <v>239276</v>
      </c>
      <c r="I292" s="19">
        <v>-4785.5200000000004</v>
      </c>
      <c r="J292" s="2"/>
      <c r="K292" s="17">
        <v>234490.48</v>
      </c>
      <c r="L292" s="17">
        <v>25123.98</v>
      </c>
      <c r="M292" s="17">
        <v>209366.5</v>
      </c>
      <c r="N292" s="17">
        <v>234490.48</v>
      </c>
      <c r="O292" s="2"/>
      <c r="P292" s="2"/>
      <c r="Q292" s="31" t="s">
        <v>329</v>
      </c>
      <c r="R292" s="61">
        <f>+K292+K293</f>
        <v>372866.48</v>
      </c>
      <c r="S292" s="62"/>
      <c r="T292" s="5"/>
    </row>
    <row r="293" spans="1:20" hidden="1">
      <c r="A293" s="2" t="s">
        <v>1117</v>
      </c>
      <c r="B293" s="2" t="s">
        <v>1193</v>
      </c>
      <c r="C293" s="2" t="s">
        <v>23</v>
      </c>
      <c r="D293" s="16">
        <v>30</v>
      </c>
      <c r="E293" s="2" t="s">
        <v>1118</v>
      </c>
      <c r="F293" s="2" t="s">
        <v>529</v>
      </c>
      <c r="G293" s="2" t="s">
        <v>1194</v>
      </c>
      <c r="H293" s="17">
        <v>141200</v>
      </c>
      <c r="I293" s="19">
        <v>-2824</v>
      </c>
      <c r="J293" s="2"/>
      <c r="K293" s="17">
        <v>138376</v>
      </c>
      <c r="L293" s="17">
        <v>14826</v>
      </c>
      <c r="M293" s="17">
        <v>123550</v>
      </c>
      <c r="N293" s="17">
        <v>138376</v>
      </c>
      <c r="O293" s="2"/>
      <c r="P293" s="2"/>
      <c r="Q293" s="31" t="s">
        <v>329</v>
      </c>
      <c r="R293" s="63"/>
      <c r="S293" s="63"/>
      <c r="T293" s="5"/>
    </row>
    <row r="294" spans="1:20" hidden="1">
      <c r="A294" s="2" t="s">
        <v>282</v>
      </c>
      <c r="B294" s="2" t="s">
        <v>292</v>
      </c>
      <c r="C294" s="2" t="s">
        <v>60</v>
      </c>
      <c r="D294" s="16">
        <v>0</v>
      </c>
      <c r="E294" s="2" t="s">
        <v>282</v>
      </c>
      <c r="F294" s="2" t="s">
        <v>293</v>
      </c>
      <c r="G294" s="2" t="s">
        <v>294</v>
      </c>
      <c r="H294" s="17">
        <v>58930</v>
      </c>
      <c r="I294" s="2"/>
      <c r="J294" s="2"/>
      <c r="K294" s="17">
        <v>58930</v>
      </c>
      <c r="L294" s="17">
        <v>6313.93</v>
      </c>
      <c r="M294" s="17">
        <v>52616.07</v>
      </c>
      <c r="N294" s="17">
        <v>58930</v>
      </c>
      <c r="O294" s="2"/>
      <c r="P294" s="2"/>
      <c r="Q294" s="31" t="s">
        <v>56</v>
      </c>
      <c r="R294" s="67">
        <f>+K294+K295+K296</f>
        <v>156160</v>
      </c>
      <c r="S294" s="61">
        <f>+R294+R297+R299+R300+R301+R305+R320+R323+R330+R331+R332+R334+R337+R338+R341+R343+R344+R345+R346+R352+R355+R356+R357+R361+R362+R364+R368+R376+R399+R400+R404+R405+R406+R413+R417+R419+R420+R425+R427+R429+R437</f>
        <v>35796816.950000003</v>
      </c>
      <c r="T294" s="5"/>
    </row>
    <row r="295" spans="1:20" hidden="1">
      <c r="A295" s="2" t="s">
        <v>689</v>
      </c>
      <c r="B295" s="2" t="s">
        <v>688</v>
      </c>
      <c r="C295" s="2" t="s">
        <v>60</v>
      </c>
      <c r="D295" s="16">
        <v>0</v>
      </c>
      <c r="E295" s="2" t="s">
        <v>689</v>
      </c>
      <c r="F295" s="2" t="s">
        <v>293</v>
      </c>
      <c r="G295" s="2" t="s">
        <v>690</v>
      </c>
      <c r="H295" s="17">
        <v>34500</v>
      </c>
      <c r="I295" s="2"/>
      <c r="J295" s="2"/>
      <c r="K295" s="17">
        <v>34500</v>
      </c>
      <c r="L295" s="17">
        <v>3696.43</v>
      </c>
      <c r="M295" s="17">
        <v>30803.57</v>
      </c>
      <c r="N295" s="17">
        <v>34500</v>
      </c>
      <c r="O295" s="2"/>
      <c r="P295" s="2"/>
      <c r="Q295" s="31" t="s">
        <v>56</v>
      </c>
      <c r="R295" s="68"/>
      <c r="S295" s="62"/>
      <c r="T295" s="5"/>
    </row>
    <row r="296" spans="1:20" hidden="1">
      <c r="A296" s="2" t="s">
        <v>1287</v>
      </c>
      <c r="B296" s="2" t="s">
        <v>1310</v>
      </c>
      <c r="C296" s="2" t="s">
        <v>60</v>
      </c>
      <c r="D296" s="16">
        <v>0</v>
      </c>
      <c r="E296" s="2" t="s">
        <v>1287</v>
      </c>
      <c r="F296" s="2" t="s">
        <v>293</v>
      </c>
      <c r="G296" s="2" t="s">
        <v>1311</v>
      </c>
      <c r="H296" s="17">
        <v>62730</v>
      </c>
      <c r="I296" s="2"/>
      <c r="J296" s="2"/>
      <c r="K296" s="17">
        <v>62730</v>
      </c>
      <c r="L296" s="17">
        <v>6721.07</v>
      </c>
      <c r="M296" s="17">
        <v>56008.93</v>
      </c>
      <c r="N296" s="17">
        <v>62730</v>
      </c>
      <c r="O296" s="2"/>
      <c r="P296" s="2"/>
      <c r="Q296" s="31" t="s">
        <v>56</v>
      </c>
      <c r="R296" s="69"/>
      <c r="S296" s="62"/>
      <c r="T296" s="5"/>
    </row>
    <row r="297" spans="1:20" hidden="1">
      <c r="A297" s="2" t="s">
        <v>505</v>
      </c>
      <c r="B297" s="2" t="s">
        <v>545</v>
      </c>
      <c r="C297" s="2" t="s">
        <v>60</v>
      </c>
      <c r="D297" s="16">
        <v>0</v>
      </c>
      <c r="E297" s="2" t="s">
        <v>505</v>
      </c>
      <c r="F297" s="2" t="s">
        <v>546</v>
      </c>
      <c r="G297" s="2" t="s">
        <v>547</v>
      </c>
      <c r="H297" s="17">
        <v>83454.48</v>
      </c>
      <c r="I297" s="2"/>
      <c r="J297" s="2"/>
      <c r="K297" s="17">
        <v>83454.48</v>
      </c>
      <c r="L297" s="17">
        <v>8941.5499999999993</v>
      </c>
      <c r="M297" s="17">
        <v>74512.929999999993</v>
      </c>
      <c r="N297" s="17">
        <v>83454.48</v>
      </c>
      <c r="O297" s="2"/>
      <c r="P297" s="2"/>
      <c r="Q297" s="31" t="s">
        <v>56</v>
      </c>
      <c r="R297" s="61">
        <f>+K297+K298</f>
        <v>129818.07999999999</v>
      </c>
      <c r="S297" s="62"/>
      <c r="T297" s="5"/>
    </row>
    <row r="298" spans="1:20" hidden="1">
      <c r="A298" s="2" t="s">
        <v>689</v>
      </c>
      <c r="B298" s="2" t="s">
        <v>738</v>
      </c>
      <c r="C298" s="2" t="s">
        <v>60</v>
      </c>
      <c r="D298" s="16">
        <v>0</v>
      </c>
      <c r="E298" s="2" t="s">
        <v>689</v>
      </c>
      <c r="F298" s="2" t="s">
        <v>546</v>
      </c>
      <c r="G298" s="2" t="s">
        <v>739</v>
      </c>
      <c r="H298" s="17">
        <v>46363.6</v>
      </c>
      <c r="I298" s="2"/>
      <c r="J298" s="2"/>
      <c r="K298" s="17">
        <v>46363.6</v>
      </c>
      <c r="L298" s="17">
        <v>4967.53</v>
      </c>
      <c r="M298" s="17">
        <v>41396.07</v>
      </c>
      <c r="N298" s="17">
        <v>46363.6</v>
      </c>
      <c r="O298" s="2"/>
      <c r="P298" s="2"/>
      <c r="Q298" s="31" t="s">
        <v>56</v>
      </c>
      <c r="R298" s="63"/>
      <c r="S298" s="62"/>
      <c r="T298" s="5"/>
    </row>
    <row r="299" spans="1:20" hidden="1">
      <c r="A299" s="2" t="s">
        <v>17</v>
      </c>
      <c r="B299" s="2" t="s">
        <v>63</v>
      </c>
      <c r="C299" s="2" t="s">
        <v>64</v>
      </c>
      <c r="D299" s="16">
        <v>30</v>
      </c>
      <c r="E299" s="2" t="s">
        <v>24</v>
      </c>
      <c r="F299" s="2" t="s">
        <v>65</v>
      </c>
      <c r="G299" s="2" t="s">
        <v>66</v>
      </c>
      <c r="H299" s="17">
        <v>603830</v>
      </c>
      <c r="I299" s="2"/>
      <c r="J299" s="2"/>
      <c r="K299" s="17">
        <v>603830</v>
      </c>
      <c r="L299" s="17">
        <v>64696.07</v>
      </c>
      <c r="M299" s="17">
        <v>539133.93000000005</v>
      </c>
      <c r="N299" s="17">
        <v>603830</v>
      </c>
      <c r="O299" s="2"/>
      <c r="P299" s="2"/>
      <c r="Q299" s="31" t="s">
        <v>56</v>
      </c>
      <c r="R299" s="32">
        <f>+K299</f>
        <v>603830</v>
      </c>
      <c r="S299" s="62"/>
      <c r="T299" s="5"/>
    </row>
    <row r="300" spans="1:20" hidden="1">
      <c r="A300" s="2" t="s">
        <v>769</v>
      </c>
      <c r="B300" s="2" t="s">
        <v>845</v>
      </c>
      <c r="C300" s="2" t="s">
        <v>73</v>
      </c>
      <c r="D300" s="16">
        <v>30</v>
      </c>
      <c r="E300" s="2" t="s">
        <v>805</v>
      </c>
      <c r="F300" s="2" t="s">
        <v>846</v>
      </c>
      <c r="G300" s="2" t="s">
        <v>847</v>
      </c>
      <c r="H300" s="17">
        <v>360296</v>
      </c>
      <c r="I300" s="2"/>
      <c r="J300" s="2"/>
      <c r="K300" s="17">
        <v>360296</v>
      </c>
      <c r="L300" s="17">
        <v>38603.14</v>
      </c>
      <c r="M300" s="17">
        <v>321692.86</v>
      </c>
      <c r="N300" s="17">
        <v>360296</v>
      </c>
      <c r="O300" s="2"/>
      <c r="P300" s="2"/>
      <c r="Q300" s="31" t="s">
        <v>56</v>
      </c>
      <c r="R300" s="43">
        <f>+K300</f>
        <v>360296</v>
      </c>
      <c r="S300" s="62"/>
      <c r="T300" s="5"/>
    </row>
    <row r="301" spans="1:20" hidden="1">
      <c r="A301" s="2" t="s">
        <v>1048</v>
      </c>
      <c r="B301" s="2" t="s">
        <v>1108</v>
      </c>
      <c r="C301" s="2" t="s">
        <v>73</v>
      </c>
      <c r="D301" s="16">
        <v>30</v>
      </c>
      <c r="E301" s="2" t="s">
        <v>1056</v>
      </c>
      <c r="F301" s="2" t="s">
        <v>1109</v>
      </c>
      <c r="G301" s="2" t="s">
        <v>1110</v>
      </c>
      <c r="H301" s="17">
        <v>812880</v>
      </c>
      <c r="I301" s="2"/>
      <c r="J301" s="2"/>
      <c r="K301" s="17">
        <v>812880</v>
      </c>
      <c r="L301" s="17">
        <v>87094.29</v>
      </c>
      <c r="M301" s="17">
        <v>725785.71</v>
      </c>
      <c r="N301" s="17">
        <v>812880</v>
      </c>
      <c r="O301" s="2"/>
      <c r="P301" s="2"/>
      <c r="Q301" s="31" t="s">
        <v>56</v>
      </c>
      <c r="R301" s="61">
        <f>+K301+K302+K303+K304</f>
        <v>3742560</v>
      </c>
      <c r="S301" s="62"/>
      <c r="T301" s="5"/>
    </row>
    <row r="302" spans="1:20" hidden="1">
      <c r="A302" s="2" t="s">
        <v>1048</v>
      </c>
      <c r="B302" s="2" t="s">
        <v>1111</v>
      </c>
      <c r="C302" s="2" t="s">
        <v>73</v>
      </c>
      <c r="D302" s="16">
        <v>30</v>
      </c>
      <c r="E302" s="2" t="s">
        <v>1056</v>
      </c>
      <c r="F302" s="2" t="s">
        <v>1109</v>
      </c>
      <c r="G302" s="2" t="s">
        <v>1112</v>
      </c>
      <c r="H302" s="17">
        <v>1129000</v>
      </c>
      <c r="I302" s="2"/>
      <c r="J302" s="2"/>
      <c r="K302" s="17">
        <v>1129000</v>
      </c>
      <c r="L302" s="17">
        <v>120964.29</v>
      </c>
      <c r="M302" s="17">
        <v>1008035.71</v>
      </c>
      <c r="N302" s="17">
        <v>1129000</v>
      </c>
      <c r="O302" s="2"/>
      <c r="P302" s="2"/>
      <c r="Q302" s="31" t="s">
        <v>56</v>
      </c>
      <c r="R302" s="62"/>
      <c r="S302" s="62"/>
      <c r="T302" s="5"/>
    </row>
    <row r="303" spans="1:20" hidden="1">
      <c r="A303" s="2" t="s">
        <v>1117</v>
      </c>
      <c r="B303" s="2" t="s">
        <v>1169</v>
      </c>
      <c r="C303" s="2" t="s">
        <v>73</v>
      </c>
      <c r="D303" s="16">
        <v>30</v>
      </c>
      <c r="E303" s="2" t="s">
        <v>1118</v>
      </c>
      <c r="F303" s="2" t="s">
        <v>1109</v>
      </c>
      <c r="G303" s="2" t="s">
        <v>1170</v>
      </c>
      <c r="H303" s="17">
        <v>1048060</v>
      </c>
      <c r="I303" s="2"/>
      <c r="J303" s="2"/>
      <c r="K303" s="17">
        <v>1048060</v>
      </c>
      <c r="L303" s="17">
        <v>112292.14</v>
      </c>
      <c r="M303" s="17">
        <v>935767.86</v>
      </c>
      <c r="N303" s="17">
        <v>1048060</v>
      </c>
      <c r="O303" s="2"/>
      <c r="P303" s="2"/>
      <c r="Q303" s="31" t="s">
        <v>56</v>
      </c>
      <c r="R303" s="62"/>
      <c r="S303" s="62"/>
      <c r="T303" s="5"/>
    </row>
    <row r="304" spans="1:20" hidden="1">
      <c r="A304" s="2" t="s">
        <v>1117</v>
      </c>
      <c r="B304" s="2" t="s">
        <v>1171</v>
      </c>
      <c r="C304" s="2" t="s">
        <v>73</v>
      </c>
      <c r="D304" s="16">
        <v>30</v>
      </c>
      <c r="E304" s="2" t="s">
        <v>1118</v>
      </c>
      <c r="F304" s="2" t="s">
        <v>1109</v>
      </c>
      <c r="G304" s="2" t="s">
        <v>1172</v>
      </c>
      <c r="H304" s="17">
        <v>752620</v>
      </c>
      <c r="I304" s="2"/>
      <c r="J304" s="2"/>
      <c r="K304" s="17">
        <v>752620</v>
      </c>
      <c r="L304" s="17">
        <v>80637.86</v>
      </c>
      <c r="M304" s="17">
        <v>671982.14</v>
      </c>
      <c r="N304" s="17">
        <v>752620</v>
      </c>
      <c r="O304" s="2"/>
      <c r="P304" s="2"/>
      <c r="Q304" s="31" t="s">
        <v>56</v>
      </c>
      <c r="R304" s="63"/>
      <c r="S304" s="62"/>
      <c r="T304" s="5"/>
    </row>
    <row r="305" spans="1:20" hidden="1">
      <c r="A305" s="2" t="s">
        <v>93</v>
      </c>
      <c r="B305" s="2" t="s">
        <v>195</v>
      </c>
      <c r="C305" s="2" t="s">
        <v>60</v>
      </c>
      <c r="D305" s="16">
        <v>0</v>
      </c>
      <c r="E305" s="2" t="s">
        <v>93</v>
      </c>
      <c r="F305" s="2" t="s">
        <v>196</v>
      </c>
      <c r="G305" s="2" t="s">
        <v>197</v>
      </c>
      <c r="H305" s="17">
        <v>192020</v>
      </c>
      <c r="I305" s="2"/>
      <c r="J305" s="2"/>
      <c r="K305" s="17">
        <v>192020</v>
      </c>
      <c r="L305" s="17">
        <v>20573.57</v>
      </c>
      <c r="M305" s="17">
        <v>171446.43</v>
      </c>
      <c r="N305" s="17">
        <v>192020</v>
      </c>
      <c r="O305" s="2"/>
      <c r="P305" s="2"/>
      <c r="Q305" s="31" t="s">
        <v>56</v>
      </c>
      <c r="R305" s="61">
        <f>+K305+K306+K307+K308+K309+K310+K311+K312+K313+K314+K315+K316+K317+K318+K319</f>
        <v>3220160</v>
      </c>
      <c r="S305" s="62"/>
      <c r="T305" s="5"/>
    </row>
    <row r="306" spans="1:20" hidden="1">
      <c r="A306" s="2" t="s">
        <v>448</v>
      </c>
      <c r="B306" s="2" t="s">
        <v>498</v>
      </c>
      <c r="C306" s="2" t="s">
        <v>60</v>
      </c>
      <c r="D306" s="16">
        <v>0</v>
      </c>
      <c r="E306" s="2" t="s">
        <v>448</v>
      </c>
      <c r="F306" s="2" t="s">
        <v>196</v>
      </c>
      <c r="G306" s="2" t="s">
        <v>499</v>
      </c>
      <c r="H306" s="17">
        <v>17000</v>
      </c>
      <c r="I306" s="2"/>
      <c r="J306" s="2"/>
      <c r="K306" s="17">
        <v>17000</v>
      </c>
      <c r="L306" s="17">
        <v>1821.43</v>
      </c>
      <c r="M306" s="17">
        <v>15178.57</v>
      </c>
      <c r="N306" s="17">
        <v>17000</v>
      </c>
      <c r="O306" s="2"/>
      <c r="P306" s="2"/>
      <c r="Q306" s="31" t="s">
        <v>56</v>
      </c>
      <c r="R306" s="62"/>
      <c r="S306" s="62"/>
      <c r="T306" s="5"/>
    </row>
    <row r="307" spans="1:20" hidden="1">
      <c r="A307" s="2" t="s">
        <v>448</v>
      </c>
      <c r="B307" s="2" t="s">
        <v>500</v>
      </c>
      <c r="C307" s="2" t="s">
        <v>60</v>
      </c>
      <c r="D307" s="16">
        <v>0</v>
      </c>
      <c r="E307" s="2" t="s">
        <v>448</v>
      </c>
      <c r="F307" s="2" t="s">
        <v>196</v>
      </c>
      <c r="G307" s="2" t="s">
        <v>501</v>
      </c>
      <c r="H307" s="17">
        <v>104316</v>
      </c>
      <c r="I307" s="2"/>
      <c r="J307" s="2"/>
      <c r="K307" s="17">
        <v>104316</v>
      </c>
      <c r="L307" s="17">
        <v>11176.71</v>
      </c>
      <c r="M307" s="17">
        <v>93139.29</v>
      </c>
      <c r="N307" s="17">
        <v>104316</v>
      </c>
      <c r="O307" s="2"/>
      <c r="P307" s="2"/>
      <c r="Q307" s="31" t="s">
        <v>56</v>
      </c>
      <c r="R307" s="62"/>
      <c r="S307" s="62"/>
      <c r="T307" s="5"/>
    </row>
    <row r="308" spans="1:20" hidden="1">
      <c r="A308" s="2" t="s">
        <v>689</v>
      </c>
      <c r="B308" s="2" t="s">
        <v>699</v>
      </c>
      <c r="C308" s="2" t="s">
        <v>60</v>
      </c>
      <c r="D308" s="16">
        <v>0</v>
      </c>
      <c r="E308" s="2" t="s">
        <v>689</v>
      </c>
      <c r="F308" s="2" t="s">
        <v>196</v>
      </c>
      <c r="G308" s="2" t="s">
        <v>700</v>
      </c>
      <c r="H308" s="17">
        <v>321457</v>
      </c>
      <c r="I308" s="2"/>
      <c r="J308" s="2"/>
      <c r="K308" s="17">
        <v>321457</v>
      </c>
      <c r="L308" s="17">
        <v>34441.82</v>
      </c>
      <c r="M308" s="17">
        <v>287015.18</v>
      </c>
      <c r="N308" s="17">
        <v>321457</v>
      </c>
      <c r="O308" s="2"/>
      <c r="P308" s="2"/>
      <c r="Q308" s="31" t="s">
        <v>56</v>
      </c>
      <c r="R308" s="62"/>
      <c r="S308" s="62"/>
      <c r="T308" s="5"/>
    </row>
    <row r="309" spans="1:20" hidden="1">
      <c r="A309" s="2" t="s">
        <v>689</v>
      </c>
      <c r="B309" s="2" t="s">
        <v>701</v>
      </c>
      <c r="C309" s="2" t="s">
        <v>60</v>
      </c>
      <c r="D309" s="16">
        <v>0</v>
      </c>
      <c r="E309" s="2" t="s">
        <v>689</v>
      </c>
      <c r="F309" s="2" t="s">
        <v>196</v>
      </c>
      <c r="G309" s="2" t="s">
        <v>702</v>
      </c>
      <c r="H309" s="17">
        <v>168063</v>
      </c>
      <c r="I309" s="2"/>
      <c r="J309" s="2"/>
      <c r="K309" s="17">
        <v>168063</v>
      </c>
      <c r="L309" s="17">
        <v>18006.75</v>
      </c>
      <c r="M309" s="17">
        <v>150056.25</v>
      </c>
      <c r="N309" s="17">
        <v>168063</v>
      </c>
      <c r="O309" s="2"/>
      <c r="P309" s="2"/>
      <c r="Q309" s="31" t="s">
        <v>56</v>
      </c>
      <c r="R309" s="62"/>
      <c r="S309" s="62"/>
      <c r="T309" s="5"/>
    </row>
    <row r="310" spans="1:20" hidden="1">
      <c r="A310" s="2" t="s">
        <v>689</v>
      </c>
      <c r="B310" s="2" t="s">
        <v>718</v>
      </c>
      <c r="C310" s="2" t="s">
        <v>60</v>
      </c>
      <c r="D310" s="16">
        <v>0</v>
      </c>
      <c r="E310" s="2" t="s">
        <v>689</v>
      </c>
      <c r="F310" s="2" t="s">
        <v>196</v>
      </c>
      <c r="G310" s="2" t="s">
        <v>719</v>
      </c>
      <c r="H310" s="17">
        <v>86505</v>
      </c>
      <c r="I310" s="2"/>
      <c r="J310" s="2"/>
      <c r="K310" s="17">
        <v>86505</v>
      </c>
      <c r="L310" s="17">
        <v>9268.39</v>
      </c>
      <c r="M310" s="17">
        <v>77236.61</v>
      </c>
      <c r="N310" s="17">
        <v>86505</v>
      </c>
      <c r="O310" s="2"/>
      <c r="P310" s="2"/>
      <c r="Q310" s="31" t="s">
        <v>56</v>
      </c>
      <c r="R310" s="62"/>
      <c r="S310" s="62"/>
      <c r="T310" s="5"/>
    </row>
    <row r="311" spans="1:20" hidden="1">
      <c r="A311" s="2" t="s">
        <v>866</v>
      </c>
      <c r="B311" s="2" t="s">
        <v>882</v>
      </c>
      <c r="C311" s="2" t="s">
        <v>60</v>
      </c>
      <c r="D311" s="16">
        <v>0</v>
      </c>
      <c r="E311" s="2" t="s">
        <v>866</v>
      </c>
      <c r="F311" s="2" t="s">
        <v>196</v>
      </c>
      <c r="G311" s="2" t="s">
        <v>883</v>
      </c>
      <c r="H311" s="17">
        <v>4000</v>
      </c>
      <c r="I311" s="2"/>
      <c r="J311" s="2"/>
      <c r="K311" s="17">
        <v>4000</v>
      </c>
      <c r="L311" s="18">
        <v>428.57</v>
      </c>
      <c r="M311" s="17">
        <v>3571.43</v>
      </c>
      <c r="N311" s="17">
        <v>4000</v>
      </c>
      <c r="O311" s="2"/>
      <c r="P311" s="2"/>
      <c r="Q311" s="31" t="s">
        <v>56</v>
      </c>
      <c r="R311" s="62"/>
      <c r="S311" s="62"/>
      <c r="T311" s="5"/>
    </row>
    <row r="312" spans="1:20" hidden="1">
      <c r="A312" s="2" t="s">
        <v>866</v>
      </c>
      <c r="B312" s="2" t="s">
        <v>895</v>
      </c>
      <c r="C312" s="2" t="s">
        <v>60</v>
      </c>
      <c r="D312" s="16">
        <v>0</v>
      </c>
      <c r="E312" s="2" t="s">
        <v>866</v>
      </c>
      <c r="F312" s="2" t="s">
        <v>196</v>
      </c>
      <c r="G312" s="2" t="s">
        <v>896</v>
      </c>
      <c r="H312" s="17">
        <v>313966</v>
      </c>
      <c r="I312" s="2"/>
      <c r="J312" s="2"/>
      <c r="K312" s="17">
        <v>313966</v>
      </c>
      <c r="L312" s="17">
        <v>33639.21</v>
      </c>
      <c r="M312" s="17">
        <v>280326.78999999998</v>
      </c>
      <c r="N312" s="17">
        <v>313966</v>
      </c>
      <c r="O312" s="2"/>
      <c r="P312" s="2"/>
      <c r="Q312" s="31" t="s">
        <v>56</v>
      </c>
      <c r="R312" s="62"/>
      <c r="S312" s="62"/>
      <c r="T312" s="5"/>
    </row>
    <row r="313" spans="1:20" hidden="1">
      <c r="A313" s="2" t="s">
        <v>866</v>
      </c>
      <c r="B313" s="2" t="s">
        <v>897</v>
      </c>
      <c r="C313" s="2" t="s">
        <v>60</v>
      </c>
      <c r="D313" s="16">
        <v>0</v>
      </c>
      <c r="E313" s="2" t="s">
        <v>866</v>
      </c>
      <c r="F313" s="2" t="s">
        <v>196</v>
      </c>
      <c r="G313" s="2" t="s">
        <v>898</v>
      </c>
      <c r="H313" s="17">
        <v>81908</v>
      </c>
      <c r="I313" s="2"/>
      <c r="J313" s="2"/>
      <c r="K313" s="17">
        <v>81908</v>
      </c>
      <c r="L313" s="17">
        <v>8775.86</v>
      </c>
      <c r="M313" s="17">
        <v>73132.14</v>
      </c>
      <c r="N313" s="17">
        <v>81908</v>
      </c>
      <c r="O313" s="2"/>
      <c r="P313" s="2"/>
      <c r="Q313" s="31" t="s">
        <v>56</v>
      </c>
      <c r="R313" s="62"/>
      <c r="S313" s="62"/>
      <c r="T313" s="5"/>
    </row>
    <row r="314" spans="1:20" hidden="1">
      <c r="A314" s="2" t="s">
        <v>1217</v>
      </c>
      <c r="B314" s="2" t="s">
        <v>1250</v>
      </c>
      <c r="C314" s="2" t="s">
        <v>60</v>
      </c>
      <c r="D314" s="16">
        <v>0</v>
      </c>
      <c r="E314" s="2" t="s">
        <v>1217</v>
      </c>
      <c r="F314" s="2" t="s">
        <v>196</v>
      </c>
      <c r="G314" s="2" t="s">
        <v>1251</v>
      </c>
      <c r="H314" s="17">
        <v>740550</v>
      </c>
      <c r="I314" s="2"/>
      <c r="J314" s="2"/>
      <c r="K314" s="17">
        <v>740550</v>
      </c>
      <c r="L314" s="17">
        <v>79344.639999999999</v>
      </c>
      <c r="M314" s="17">
        <v>661205.36</v>
      </c>
      <c r="N314" s="17">
        <v>740550</v>
      </c>
      <c r="O314" s="2"/>
      <c r="P314" s="2"/>
      <c r="Q314" s="31" t="s">
        <v>56</v>
      </c>
      <c r="R314" s="62"/>
      <c r="S314" s="62"/>
      <c r="T314" s="5"/>
    </row>
    <row r="315" spans="1:20" hidden="1">
      <c r="A315" s="2" t="s">
        <v>1287</v>
      </c>
      <c r="B315" s="2" t="s">
        <v>1353</v>
      </c>
      <c r="C315" s="2" t="s">
        <v>60</v>
      </c>
      <c r="D315" s="16">
        <v>0</v>
      </c>
      <c r="E315" s="2" t="s">
        <v>1287</v>
      </c>
      <c r="F315" s="2" t="s">
        <v>196</v>
      </c>
      <c r="G315" s="2" t="s">
        <v>1354</v>
      </c>
      <c r="H315" s="17">
        <v>434653</v>
      </c>
      <c r="I315" s="2"/>
      <c r="J315" s="2"/>
      <c r="K315" s="17">
        <v>434653</v>
      </c>
      <c r="L315" s="17">
        <v>46569.96</v>
      </c>
      <c r="M315" s="17">
        <v>388083.04</v>
      </c>
      <c r="N315" s="17">
        <v>434653</v>
      </c>
      <c r="O315" s="2"/>
      <c r="P315" s="2"/>
      <c r="Q315" s="31" t="s">
        <v>56</v>
      </c>
      <c r="R315" s="62"/>
      <c r="S315" s="62"/>
      <c r="T315" s="5"/>
    </row>
    <row r="316" spans="1:20" hidden="1">
      <c r="A316" s="2" t="s">
        <v>1287</v>
      </c>
      <c r="B316" s="2" t="s">
        <v>1355</v>
      </c>
      <c r="C316" s="2" t="s">
        <v>60</v>
      </c>
      <c r="D316" s="16">
        <v>0</v>
      </c>
      <c r="E316" s="2" t="s">
        <v>1287</v>
      </c>
      <c r="F316" s="2" t="s">
        <v>196</v>
      </c>
      <c r="G316" s="2" t="s">
        <v>1356</v>
      </c>
      <c r="H316" s="17">
        <v>183132</v>
      </c>
      <c r="I316" s="2"/>
      <c r="J316" s="2"/>
      <c r="K316" s="17">
        <v>183132</v>
      </c>
      <c r="L316" s="17">
        <v>19621.29</v>
      </c>
      <c r="M316" s="17">
        <v>163510.71</v>
      </c>
      <c r="N316" s="17">
        <v>183132</v>
      </c>
      <c r="O316" s="2"/>
      <c r="P316" s="2"/>
      <c r="Q316" s="31" t="s">
        <v>56</v>
      </c>
      <c r="R316" s="62"/>
      <c r="S316" s="62"/>
      <c r="T316" s="5"/>
    </row>
    <row r="317" spans="1:20" hidden="1">
      <c r="A317" s="2" t="s">
        <v>1372</v>
      </c>
      <c r="B317" s="2" t="s">
        <v>1398</v>
      </c>
      <c r="C317" s="2" t="s">
        <v>60</v>
      </c>
      <c r="D317" s="16">
        <v>0</v>
      </c>
      <c r="E317" s="2" t="s">
        <v>1372</v>
      </c>
      <c r="F317" s="2" t="s">
        <v>196</v>
      </c>
      <c r="G317" s="2" t="s">
        <v>1399</v>
      </c>
      <c r="H317" s="17">
        <v>492232</v>
      </c>
      <c r="I317" s="2"/>
      <c r="J317" s="2"/>
      <c r="K317" s="17">
        <v>492232</v>
      </c>
      <c r="L317" s="17">
        <v>52739.14</v>
      </c>
      <c r="M317" s="17">
        <v>439492.86</v>
      </c>
      <c r="N317" s="17">
        <v>492232</v>
      </c>
      <c r="O317" s="2"/>
      <c r="P317" s="2"/>
      <c r="Q317" s="31" t="s">
        <v>56</v>
      </c>
      <c r="R317" s="62"/>
      <c r="S317" s="62"/>
      <c r="T317" s="5"/>
    </row>
    <row r="318" spans="1:20" hidden="1">
      <c r="A318" s="2" t="s">
        <v>1553</v>
      </c>
      <c r="B318" s="2" t="s">
        <v>1599</v>
      </c>
      <c r="C318" s="2" t="s">
        <v>60</v>
      </c>
      <c r="D318" s="16">
        <v>0</v>
      </c>
      <c r="E318" s="2" t="s">
        <v>1553</v>
      </c>
      <c r="F318" s="2" t="s">
        <v>196</v>
      </c>
      <c r="G318" s="2" t="s">
        <v>1600</v>
      </c>
      <c r="H318" s="17">
        <v>20090</v>
      </c>
      <c r="I318" s="2"/>
      <c r="J318" s="2"/>
      <c r="K318" s="17">
        <v>20090</v>
      </c>
      <c r="L318" s="17">
        <v>2152.5</v>
      </c>
      <c r="M318" s="17">
        <v>17937.5</v>
      </c>
      <c r="N318" s="17">
        <v>20090</v>
      </c>
      <c r="O318" s="2"/>
      <c r="P318" s="2"/>
      <c r="Q318" s="31" t="s">
        <v>56</v>
      </c>
      <c r="R318" s="62"/>
      <c r="S318" s="62"/>
      <c r="T318" s="5"/>
    </row>
    <row r="319" spans="1:20" hidden="1">
      <c r="A319" s="2" t="s">
        <v>1553</v>
      </c>
      <c r="B319" s="2" t="s">
        <v>1601</v>
      </c>
      <c r="C319" s="2" t="s">
        <v>60</v>
      </c>
      <c r="D319" s="16">
        <v>0</v>
      </c>
      <c r="E319" s="2" t="s">
        <v>1553</v>
      </c>
      <c r="F319" s="2" t="s">
        <v>196</v>
      </c>
      <c r="G319" s="2" t="s">
        <v>1602</v>
      </c>
      <c r="H319" s="17">
        <v>60268</v>
      </c>
      <c r="I319" s="2"/>
      <c r="J319" s="2"/>
      <c r="K319" s="17">
        <v>60268</v>
      </c>
      <c r="L319" s="17">
        <v>6457.29</v>
      </c>
      <c r="M319" s="17">
        <v>53810.71</v>
      </c>
      <c r="N319" s="17">
        <v>60268</v>
      </c>
      <c r="O319" s="2"/>
      <c r="P319" s="2"/>
      <c r="Q319" s="31" t="s">
        <v>56</v>
      </c>
      <c r="R319" s="63"/>
      <c r="S319" s="62"/>
      <c r="T319" s="5"/>
    </row>
    <row r="320" spans="1:20" hidden="1">
      <c r="A320" s="2" t="s">
        <v>93</v>
      </c>
      <c r="B320" s="2" t="s">
        <v>116</v>
      </c>
      <c r="C320" s="2" t="s">
        <v>117</v>
      </c>
      <c r="D320" s="16">
        <v>120</v>
      </c>
      <c r="E320" s="2" t="s">
        <v>118</v>
      </c>
      <c r="F320" s="2" t="s">
        <v>119</v>
      </c>
      <c r="G320" s="2" t="s">
        <v>120</v>
      </c>
      <c r="H320" s="17">
        <v>201354</v>
      </c>
      <c r="I320" s="2"/>
      <c r="J320" s="2"/>
      <c r="K320" s="17">
        <v>201354</v>
      </c>
      <c r="L320" s="17">
        <v>21573.64</v>
      </c>
      <c r="M320" s="17">
        <v>179780.36</v>
      </c>
      <c r="N320" s="17">
        <v>201354</v>
      </c>
      <c r="O320" s="2"/>
      <c r="P320" s="2"/>
      <c r="Q320" s="31" t="s">
        <v>56</v>
      </c>
      <c r="R320" s="61">
        <f>+K320+K321+K322</f>
        <v>343918</v>
      </c>
      <c r="S320" s="62"/>
      <c r="T320" s="5"/>
    </row>
    <row r="321" spans="1:20" hidden="1">
      <c r="A321" s="2" t="s">
        <v>93</v>
      </c>
      <c r="B321" s="2" t="s">
        <v>121</v>
      </c>
      <c r="C321" s="2" t="s">
        <v>117</v>
      </c>
      <c r="D321" s="16">
        <v>120</v>
      </c>
      <c r="E321" s="2" t="s">
        <v>118</v>
      </c>
      <c r="F321" s="2" t="s">
        <v>119</v>
      </c>
      <c r="G321" s="2" t="s">
        <v>122</v>
      </c>
      <c r="H321" s="17">
        <v>25672</v>
      </c>
      <c r="I321" s="2"/>
      <c r="J321" s="2"/>
      <c r="K321" s="17">
        <v>25672</v>
      </c>
      <c r="L321" s="17">
        <v>2750.57</v>
      </c>
      <c r="M321" s="17">
        <v>22921.43</v>
      </c>
      <c r="N321" s="17">
        <v>25672</v>
      </c>
      <c r="O321" s="2"/>
      <c r="P321" s="2"/>
      <c r="Q321" s="31" t="s">
        <v>56</v>
      </c>
      <c r="R321" s="62"/>
      <c r="S321" s="62"/>
      <c r="T321" s="5"/>
    </row>
    <row r="322" spans="1:20" hidden="1">
      <c r="A322" s="2" t="s">
        <v>93</v>
      </c>
      <c r="B322" s="2" t="s">
        <v>123</v>
      </c>
      <c r="C322" s="2" t="s">
        <v>117</v>
      </c>
      <c r="D322" s="16">
        <v>120</v>
      </c>
      <c r="E322" s="2" t="s">
        <v>118</v>
      </c>
      <c r="F322" s="2" t="s">
        <v>119</v>
      </c>
      <c r="G322" s="2" t="s">
        <v>124</v>
      </c>
      <c r="H322" s="17">
        <v>116892</v>
      </c>
      <c r="I322" s="2"/>
      <c r="J322" s="2"/>
      <c r="K322" s="17">
        <v>116892</v>
      </c>
      <c r="L322" s="17">
        <v>12524.14</v>
      </c>
      <c r="M322" s="17">
        <v>104367.86</v>
      </c>
      <c r="N322" s="17">
        <v>116892</v>
      </c>
      <c r="O322" s="2"/>
      <c r="P322" s="2"/>
      <c r="Q322" s="31" t="s">
        <v>56</v>
      </c>
      <c r="R322" s="63"/>
      <c r="S322" s="62"/>
      <c r="T322" s="5"/>
    </row>
    <row r="323" spans="1:20" hidden="1">
      <c r="A323" s="2" t="s">
        <v>368</v>
      </c>
      <c r="B323" s="2" t="s">
        <v>411</v>
      </c>
      <c r="C323" s="2" t="s">
        <v>18</v>
      </c>
      <c r="D323" s="16">
        <v>0</v>
      </c>
      <c r="E323" s="2" t="s">
        <v>368</v>
      </c>
      <c r="F323" s="2" t="s">
        <v>412</v>
      </c>
      <c r="G323" s="2" t="s">
        <v>413</v>
      </c>
      <c r="H323" s="17">
        <v>1211223</v>
      </c>
      <c r="I323" s="19">
        <v>-36336.69</v>
      </c>
      <c r="J323" s="2"/>
      <c r="K323" s="17">
        <v>1174886.31</v>
      </c>
      <c r="L323" s="17">
        <v>125880.68</v>
      </c>
      <c r="M323" s="17">
        <v>1049005.6299999999</v>
      </c>
      <c r="N323" s="17">
        <v>1174886.31</v>
      </c>
      <c r="O323" s="2"/>
      <c r="P323" s="2"/>
      <c r="Q323" s="31" t="s">
        <v>56</v>
      </c>
      <c r="R323" s="61">
        <f>+K323+K324+K325+K326+K327+K328+K329</f>
        <v>2763748.3800000004</v>
      </c>
      <c r="S323" s="62"/>
      <c r="T323" s="5"/>
    </row>
    <row r="324" spans="1:20" hidden="1">
      <c r="A324" s="2" t="s">
        <v>368</v>
      </c>
      <c r="B324" s="2" t="s">
        <v>442</v>
      </c>
      <c r="C324" s="2" t="s">
        <v>60</v>
      </c>
      <c r="D324" s="16">
        <v>0</v>
      </c>
      <c r="E324" s="2" t="s">
        <v>368</v>
      </c>
      <c r="F324" s="2" t="s">
        <v>412</v>
      </c>
      <c r="G324" s="2" t="s">
        <v>443</v>
      </c>
      <c r="H324" s="17">
        <v>158400</v>
      </c>
      <c r="I324" s="19">
        <v>-4752</v>
      </c>
      <c r="J324" s="2"/>
      <c r="K324" s="17">
        <v>153648</v>
      </c>
      <c r="L324" s="17">
        <v>16462.29</v>
      </c>
      <c r="M324" s="17">
        <v>137185.71</v>
      </c>
      <c r="N324" s="17">
        <v>153648</v>
      </c>
      <c r="O324" s="2"/>
      <c r="P324" s="2"/>
      <c r="Q324" s="31" t="s">
        <v>56</v>
      </c>
      <c r="R324" s="62"/>
      <c r="S324" s="62"/>
      <c r="T324" s="5"/>
    </row>
    <row r="325" spans="1:20" hidden="1">
      <c r="A325" s="2" t="s">
        <v>368</v>
      </c>
      <c r="B325" s="2" t="s">
        <v>444</v>
      </c>
      <c r="C325" s="2" t="s">
        <v>60</v>
      </c>
      <c r="D325" s="16">
        <v>0</v>
      </c>
      <c r="E325" s="2" t="s">
        <v>368</v>
      </c>
      <c r="F325" s="2" t="s">
        <v>412</v>
      </c>
      <c r="G325" s="2" t="s">
        <v>443</v>
      </c>
      <c r="H325" s="17">
        <v>158400</v>
      </c>
      <c r="I325" s="19">
        <v>-4752</v>
      </c>
      <c r="J325" s="2"/>
      <c r="K325" s="17">
        <v>153648</v>
      </c>
      <c r="L325" s="17">
        <v>16462.29</v>
      </c>
      <c r="M325" s="17">
        <v>137185.71</v>
      </c>
      <c r="N325" s="17">
        <v>153648</v>
      </c>
      <c r="O325" s="2"/>
      <c r="P325" s="2"/>
      <c r="Q325" s="31" t="s">
        <v>56</v>
      </c>
      <c r="R325" s="62"/>
      <c r="S325" s="62"/>
      <c r="T325" s="5"/>
    </row>
    <row r="326" spans="1:20" hidden="1">
      <c r="A326" s="2" t="s">
        <v>505</v>
      </c>
      <c r="B326" s="2" t="s">
        <v>548</v>
      </c>
      <c r="C326" s="2" t="s">
        <v>18</v>
      </c>
      <c r="D326" s="16">
        <v>0</v>
      </c>
      <c r="E326" s="2" t="s">
        <v>505</v>
      </c>
      <c r="F326" s="2" t="s">
        <v>412</v>
      </c>
      <c r="G326" s="2" t="s">
        <v>549</v>
      </c>
      <c r="H326" s="17">
        <v>308052</v>
      </c>
      <c r="I326" s="19">
        <v>-9241.56</v>
      </c>
      <c r="J326" s="2"/>
      <c r="K326" s="17">
        <v>298810.44</v>
      </c>
      <c r="L326" s="17">
        <v>32015.4</v>
      </c>
      <c r="M326" s="17">
        <v>266795.03999999998</v>
      </c>
      <c r="N326" s="17">
        <v>298810.44</v>
      </c>
      <c r="O326" s="2"/>
      <c r="P326" s="2"/>
      <c r="Q326" s="31" t="s">
        <v>56</v>
      </c>
      <c r="R326" s="62"/>
      <c r="S326" s="62"/>
      <c r="T326" s="5"/>
    </row>
    <row r="327" spans="1:20" hidden="1">
      <c r="A327" s="2" t="s">
        <v>971</v>
      </c>
      <c r="B327" s="2" t="s">
        <v>1045</v>
      </c>
      <c r="C327" s="2" t="s">
        <v>18</v>
      </c>
      <c r="D327" s="16">
        <v>0</v>
      </c>
      <c r="E327" s="2" t="s">
        <v>971</v>
      </c>
      <c r="F327" s="2" t="s">
        <v>412</v>
      </c>
      <c r="G327" s="2" t="s">
        <v>1046</v>
      </c>
      <c r="H327" s="17">
        <v>965019</v>
      </c>
      <c r="I327" s="19">
        <v>-28950.57</v>
      </c>
      <c r="J327" s="2"/>
      <c r="K327" s="17">
        <v>936068.43</v>
      </c>
      <c r="L327" s="17">
        <v>100293.05</v>
      </c>
      <c r="M327" s="17">
        <v>835775.38</v>
      </c>
      <c r="N327" s="17">
        <v>936068.43</v>
      </c>
      <c r="O327" s="2"/>
      <c r="P327" s="2"/>
      <c r="Q327" s="31" t="s">
        <v>56</v>
      </c>
      <c r="R327" s="62"/>
      <c r="S327" s="62"/>
      <c r="T327" s="5"/>
    </row>
    <row r="328" spans="1:20" hidden="1">
      <c r="A328" s="2" t="s">
        <v>1217</v>
      </c>
      <c r="B328" s="2" t="s">
        <v>1274</v>
      </c>
      <c r="C328" s="2" t="s">
        <v>60</v>
      </c>
      <c r="D328" s="16">
        <v>0</v>
      </c>
      <c r="E328" s="2" t="s">
        <v>1217</v>
      </c>
      <c r="F328" s="2" t="s">
        <v>412</v>
      </c>
      <c r="G328" s="2" t="s">
        <v>1275</v>
      </c>
      <c r="H328" s="17">
        <v>11760</v>
      </c>
      <c r="I328" s="19">
        <v>-352.8</v>
      </c>
      <c r="J328" s="2"/>
      <c r="K328" s="17">
        <v>11407.2</v>
      </c>
      <c r="L328" s="17">
        <v>1222.2</v>
      </c>
      <c r="M328" s="17">
        <v>10185</v>
      </c>
      <c r="N328" s="17">
        <v>11407.2</v>
      </c>
      <c r="O328" s="2"/>
      <c r="P328" s="2"/>
      <c r="Q328" s="31" t="s">
        <v>56</v>
      </c>
      <c r="R328" s="62"/>
      <c r="S328" s="62"/>
      <c r="T328" s="5"/>
    </row>
    <row r="329" spans="1:20" hidden="1">
      <c r="A329" s="2" t="s">
        <v>1461</v>
      </c>
      <c r="B329" s="2" t="s">
        <v>1460</v>
      </c>
      <c r="C329" s="2" t="s">
        <v>60</v>
      </c>
      <c r="D329" s="16">
        <v>0</v>
      </c>
      <c r="E329" s="2" t="s">
        <v>1461</v>
      </c>
      <c r="F329" s="2" t="s">
        <v>412</v>
      </c>
      <c r="G329" s="2" t="s">
        <v>1462</v>
      </c>
      <c r="H329" s="17">
        <v>35280</v>
      </c>
      <c r="I329" s="2"/>
      <c r="J329" s="2"/>
      <c r="K329" s="17">
        <v>35280</v>
      </c>
      <c r="L329" s="17">
        <v>3780</v>
      </c>
      <c r="M329" s="17">
        <v>31500</v>
      </c>
      <c r="N329" s="17">
        <v>35280</v>
      </c>
      <c r="O329" s="2"/>
      <c r="P329" s="2"/>
      <c r="Q329" s="31" t="s">
        <v>56</v>
      </c>
      <c r="R329" s="63"/>
      <c r="S329" s="62"/>
      <c r="T329" s="5"/>
    </row>
    <row r="330" spans="1:20" hidden="1">
      <c r="A330" s="2" t="s">
        <v>282</v>
      </c>
      <c r="B330" s="2" t="s">
        <v>325</v>
      </c>
      <c r="C330" s="2" t="s">
        <v>18</v>
      </c>
      <c r="D330" s="16">
        <v>0</v>
      </c>
      <c r="E330" s="2" t="s">
        <v>282</v>
      </c>
      <c r="F330" s="2" t="s">
        <v>326</v>
      </c>
      <c r="G330" s="2" t="s">
        <v>327</v>
      </c>
      <c r="H330" s="17">
        <v>184000</v>
      </c>
      <c r="I330" s="19">
        <v>-3680</v>
      </c>
      <c r="J330" s="2"/>
      <c r="K330" s="17">
        <v>180320</v>
      </c>
      <c r="L330" s="17">
        <v>19320</v>
      </c>
      <c r="M330" s="17">
        <v>161000</v>
      </c>
      <c r="N330" s="17">
        <v>180320</v>
      </c>
      <c r="O330" s="2"/>
      <c r="P330" s="2"/>
      <c r="Q330" s="31" t="s">
        <v>56</v>
      </c>
      <c r="R330" s="32">
        <f>+K330</f>
        <v>180320</v>
      </c>
      <c r="S330" s="62"/>
      <c r="T330" s="5"/>
    </row>
    <row r="331" spans="1:20" hidden="1">
      <c r="A331" s="2" t="s">
        <v>505</v>
      </c>
      <c r="B331" s="2" t="s">
        <v>504</v>
      </c>
      <c r="C331" s="2" t="s">
        <v>132</v>
      </c>
      <c r="D331" s="16">
        <v>0</v>
      </c>
      <c r="E331" s="2" t="s">
        <v>505</v>
      </c>
      <c r="F331" s="2" t="s">
        <v>506</v>
      </c>
      <c r="G331" s="2" t="s">
        <v>507</v>
      </c>
      <c r="H331" s="17">
        <v>2916</v>
      </c>
      <c r="I331" s="2"/>
      <c r="J331" s="2"/>
      <c r="K331" s="17">
        <v>2916</v>
      </c>
      <c r="L331" s="18">
        <v>312.43</v>
      </c>
      <c r="M331" s="17">
        <v>2603.5700000000002</v>
      </c>
      <c r="N331" s="17">
        <v>2916</v>
      </c>
      <c r="O331" s="2"/>
      <c r="P331" s="2"/>
      <c r="Q331" s="31" t="s">
        <v>56</v>
      </c>
      <c r="R331" s="32">
        <f>+K331</f>
        <v>2916</v>
      </c>
      <c r="S331" s="62"/>
      <c r="T331" s="5"/>
    </row>
    <row r="332" spans="1:20" hidden="1">
      <c r="A332" s="2" t="s">
        <v>637</v>
      </c>
      <c r="B332" s="2" t="s">
        <v>665</v>
      </c>
      <c r="C332" s="2" t="s">
        <v>146</v>
      </c>
      <c r="D332" s="16">
        <v>90</v>
      </c>
      <c r="E332" s="2" t="s">
        <v>655</v>
      </c>
      <c r="F332" s="2" t="s">
        <v>666</v>
      </c>
      <c r="G332" s="2" t="s">
        <v>667</v>
      </c>
      <c r="H332" s="17">
        <v>710170</v>
      </c>
      <c r="I332" s="2"/>
      <c r="J332" s="2"/>
      <c r="K332" s="17">
        <v>710170</v>
      </c>
      <c r="L332" s="17">
        <v>76089.64</v>
      </c>
      <c r="M332" s="17">
        <v>634080.36</v>
      </c>
      <c r="N332" s="17">
        <v>710170</v>
      </c>
      <c r="O332" s="2"/>
      <c r="P332" s="2"/>
      <c r="Q332" s="31" t="s">
        <v>56</v>
      </c>
      <c r="R332" s="61">
        <f>+K332+K333</f>
        <v>1071365</v>
      </c>
      <c r="S332" s="62"/>
      <c r="T332" s="5"/>
    </row>
    <row r="333" spans="1:20" hidden="1">
      <c r="A333" s="2" t="s">
        <v>1287</v>
      </c>
      <c r="B333" s="2" t="s">
        <v>1346</v>
      </c>
      <c r="C333" s="2" t="s">
        <v>146</v>
      </c>
      <c r="D333" s="16">
        <v>90</v>
      </c>
      <c r="E333" s="2" t="s">
        <v>1315</v>
      </c>
      <c r="F333" s="2" t="s">
        <v>666</v>
      </c>
      <c r="G333" s="2" t="s">
        <v>1347</v>
      </c>
      <c r="H333" s="17">
        <v>361195</v>
      </c>
      <c r="I333" s="2"/>
      <c r="J333" s="2"/>
      <c r="K333" s="17">
        <v>361195</v>
      </c>
      <c r="L333" s="17">
        <v>38699.46</v>
      </c>
      <c r="M333" s="17">
        <v>322495.53999999998</v>
      </c>
      <c r="N333" s="17">
        <v>361195</v>
      </c>
      <c r="O333" s="2"/>
      <c r="P333" s="2"/>
      <c r="Q333" s="31" t="s">
        <v>56</v>
      </c>
      <c r="R333" s="63"/>
      <c r="S333" s="62"/>
      <c r="T333" s="5"/>
    </row>
    <row r="334" spans="1:20" hidden="1">
      <c r="A334" s="2" t="s">
        <v>282</v>
      </c>
      <c r="B334" s="2" t="s">
        <v>354</v>
      </c>
      <c r="C334" s="2" t="s">
        <v>54</v>
      </c>
      <c r="D334" s="16">
        <v>90</v>
      </c>
      <c r="E334" s="2" t="s">
        <v>290</v>
      </c>
      <c r="F334" s="2" t="s">
        <v>355</v>
      </c>
      <c r="G334" s="2" t="s">
        <v>356</v>
      </c>
      <c r="H334" s="17">
        <v>97500</v>
      </c>
      <c r="I334" s="2"/>
      <c r="J334" s="2"/>
      <c r="K334" s="17">
        <v>97500</v>
      </c>
      <c r="L334" s="17">
        <v>10446.43</v>
      </c>
      <c r="M334" s="17">
        <v>87053.57</v>
      </c>
      <c r="N334" s="17">
        <v>97500</v>
      </c>
      <c r="O334" s="2"/>
      <c r="P334" s="2"/>
      <c r="Q334" s="31" t="s">
        <v>56</v>
      </c>
      <c r="R334" s="61">
        <f>+K334+K335+K336</f>
        <v>534982</v>
      </c>
      <c r="S334" s="62"/>
      <c r="T334" s="5"/>
    </row>
    <row r="335" spans="1:20" hidden="1">
      <c r="A335" s="2" t="s">
        <v>282</v>
      </c>
      <c r="B335" s="2" t="s">
        <v>357</v>
      </c>
      <c r="C335" s="2" t="s">
        <v>54</v>
      </c>
      <c r="D335" s="16">
        <v>90</v>
      </c>
      <c r="E335" s="2" t="s">
        <v>290</v>
      </c>
      <c r="F335" s="2" t="s">
        <v>355</v>
      </c>
      <c r="G335" s="2" t="s">
        <v>358</v>
      </c>
      <c r="H335" s="17">
        <v>60000</v>
      </c>
      <c r="I335" s="2"/>
      <c r="J335" s="2"/>
      <c r="K335" s="17">
        <v>60000</v>
      </c>
      <c r="L335" s="17">
        <v>6428.57</v>
      </c>
      <c r="M335" s="17">
        <v>53571.43</v>
      </c>
      <c r="N335" s="17">
        <v>60000</v>
      </c>
      <c r="O335" s="2"/>
      <c r="P335" s="2"/>
      <c r="Q335" s="31" t="s">
        <v>56</v>
      </c>
      <c r="R335" s="62"/>
      <c r="S335" s="62"/>
      <c r="T335" s="5"/>
    </row>
    <row r="336" spans="1:20" hidden="1">
      <c r="A336" s="2" t="s">
        <v>282</v>
      </c>
      <c r="B336" s="2" t="s">
        <v>359</v>
      </c>
      <c r="C336" s="2" t="s">
        <v>54</v>
      </c>
      <c r="D336" s="16">
        <v>90</v>
      </c>
      <c r="E336" s="2" t="s">
        <v>290</v>
      </c>
      <c r="F336" s="2" t="s">
        <v>355</v>
      </c>
      <c r="G336" s="2" t="s">
        <v>360</v>
      </c>
      <c r="H336" s="17">
        <v>377482</v>
      </c>
      <c r="I336" s="2"/>
      <c r="J336" s="2"/>
      <c r="K336" s="17">
        <v>377482</v>
      </c>
      <c r="L336" s="17">
        <v>40444.5</v>
      </c>
      <c r="M336" s="17">
        <v>337037.5</v>
      </c>
      <c r="N336" s="17">
        <v>377482</v>
      </c>
      <c r="O336" s="2"/>
      <c r="P336" s="2"/>
      <c r="Q336" s="31" t="s">
        <v>56</v>
      </c>
      <c r="R336" s="63"/>
      <c r="S336" s="62"/>
      <c r="T336" s="5"/>
    </row>
    <row r="337" spans="1:20" hidden="1">
      <c r="A337" s="2" t="s">
        <v>93</v>
      </c>
      <c r="B337" s="2" t="s">
        <v>113</v>
      </c>
      <c r="C337" s="2" t="s">
        <v>60</v>
      </c>
      <c r="D337" s="16">
        <v>0</v>
      </c>
      <c r="E337" s="2" t="s">
        <v>93</v>
      </c>
      <c r="F337" s="2" t="s">
        <v>114</v>
      </c>
      <c r="G337" s="2" t="s">
        <v>115</v>
      </c>
      <c r="H337" s="17">
        <v>272065</v>
      </c>
      <c r="I337" s="2"/>
      <c r="J337" s="2"/>
      <c r="K337" s="17">
        <v>272065</v>
      </c>
      <c r="L337" s="17">
        <v>29149.82</v>
      </c>
      <c r="M337" s="17">
        <v>242915.18</v>
      </c>
      <c r="N337" s="17">
        <v>272065</v>
      </c>
      <c r="O337" s="2"/>
      <c r="P337" s="2"/>
      <c r="Q337" s="31" t="s">
        <v>56</v>
      </c>
      <c r="R337" s="32">
        <f>+K337</f>
        <v>272065</v>
      </c>
      <c r="S337" s="62"/>
      <c r="T337" s="5"/>
    </row>
    <row r="338" spans="1:20" hidden="1">
      <c r="A338" s="2" t="s">
        <v>93</v>
      </c>
      <c r="B338" s="2" t="s">
        <v>125</v>
      </c>
      <c r="C338" s="2" t="s">
        <v>60</v>
      </c>
      <c r="D338" s="16">
        <v>0</v>
      </c>
      <c r="E338" s="2" t="s">
        <v>93</v>
      </c>
      <c r="F338" s="2" t="s">
        <v>126</v>
      </c>
      <c r="G338" s="2" t="s">
        <v>127</v>
      </c>
      <c r="H338" s="17">
        <v>19600</v>
      </c>
      <c r="I338" s="2"/>
      <c r="J338" s="2"/>
      <c r="K338" s="17">
        <v>19600</v>
      </c>
      <c r="L338" s="17">
        <v>2100</v>
      </c>
      <c r="M338" s="17">
        <v>17500</v>
      </c>
      <c r="N338" s="17">
        <v>19600</v>
      </c>
      <c r="O338" s="2"/>
      <c r="P338" s="2"/>
      <c r="Q338" s="31" t="s">
        <v>56</v>
      </c>
      <c r="R338" s="61">
        <f>+K338+K339+K340</f>
        <v>78400</v>
      </c>
      <c r="S338" s="62"/>
      <c r="T338" s="5"/>
    </row>
    <row r="339" spans="1:20" hidden="1">
      <c r="A339" s="2" t="s">
        <v>637</v>
      </c>
      <c r="B339" s="2" t="s">
        <v>636</v>
      </c>
      <c r="C339" s="2" t="s">
        <v>73</v>
      </c>
      <c r="D339" s="16">
        <v>30</v>
      </c>
      <c r="E339" s="2" t="s">
        <v>638</v>
      </c>
      <c r="F339" s="2" t="s">
        <v>126</v>
      </c>
      <c r="G339" s="2" t="s">
        <v>639</v>
      </c>
      <c r="H339" s="17">
        <v>19600</v>
      </c>
      <c r="I339" s="2"/>
      <c r="J339" s="2"/>
      <c r="K339" s="17">
        <v>19600</v>
      </c>
      <c r="L339" s="17">
        <v>2100</v>
      </c>
      <c r="M339" s="17">
        <v>17500</v>
      </c>
      <c r="N339" s="17">
        <v>19600</v>
      </c>
      <c r="O339" s="2"/>
      <c r="P339" s="2"/>
      <c r="Q339" s="31" t="s">
        <v>56</v>
      </c>
      <c r="R339" s="62"/>
      <c r="S339" s="62"/>
      <c r="T339" s="5"/>
    </row>
    <row r="340" spans="1:20" hidden="1">
      <c r="A340" s="2" t="s">
        <v>1217</v>
      </c>
      <c r="B340" s="2" t="s">
        <v>1237</v>
      </c>
      <c r="C340" s="2" t="s">
        <v>243</v>
      </c>
      <c r="D340" s="16">
        <v>30</v>
      </c>
      <c r="E340" s="2" t="s">
        <v>1231</v>
      </c>
      <c r="F340" s="2" t="s">
        <v>126</v>
      </c>
      <c r="G340" s="2" t="s">
        <v>1238</v>
      </c>
      <c r="H340" s="17">
        <v>39200</v>
      </c>
      <c r="I340" s="2"/>
      <c r="J340" s="2"/>
      <c r="K340" s="17">
        <v>39200</v>
      </c>
      <c r="L340" s="17">
        <v>4200</v>
      </c>
      <c r="M340" s="17">
        <v>35000</v>
      </c>
      <c r="N340" s="17">
        <v>39200</v>
      </c>
      <c r="O340" s="2"/>
      <c r="P340" s="2"/>
      <c r="Q340" s="31" t="s">
        <v>56</v>
      </c>
      <c r="R340" s="63"/>
      <c r="S340" s="62"/>
      <c r="T340" s="5"/>
    </row>
    <row r="341" spans="1:20" hidden="1">
      <c r="A341" s="2" t="s">
        <v>1048</v>
      </c>
      <c r="B341" s="2" t="s">
        <v>1054</v>
      </c>
      <c r="C341" s="2" t="s">
        <v>1055</v>
      </c>
      <c r="D341" s="16">
        <v>30</v>
      </c>
      <c r="E341" s="2" t="s">
        <v>1056</v>
      </c>
      <c r="F341" s="2" t="s">
        <v>1057</v>
      </c>
      <c r="G341" s="2" t="s">
        <v>1058</v>
      </c>
      <c r="H341" s="17">
        <v>19740</v>
      </c>
      <c r="I341" s="2"/>
      <c r="J341" s="2"/>
      <c r="K341" s="17">
        <v>19740</v>
      </c>
      <c r="L341" s="17">
        <v>2115</v>
      </c>
      <c r="M341" s="17">
        <v>17625</v>
      </c>
      <c r="N341" s="17">
        <v>19740</v>
      </c>
      <c r="O341" s="2"/>
      <c r="P341" s="2"/>
      <c r="Q341" s="31" t="s">
        <v>56</v>
      </c>
      <c r="R341" s="61">
        <f>+K341+K342</f>
        <v>49350</v>
      </c>
      <c r="S341" s="62"/>
      <c r="T341" s="5"/>
    </row>
    <row r="342" spans="1:20" hidden="1">
      <c r="A342" s="2" t="s">
        <v>1117</v>
      </c>
      <c r="B342" s="2" t="s">
        <v>1204</v>
      </c>
      <c r="C342" s="2" t="s">
        <v>1055</v>
      </c>
      <c r="D342" s="16">
        <v>30</v>
      </c>
      <c r="E342" s="2" t="s">
        <v>1118</v>
      </c>
      <c r="F342" s="2" t="s">
        <v>1057</v>
      </c>
      <c r="G342" s="2" t="s">
        <v>1205</v>
      </c>
      <c r="H342" s="17">
        <v>29610</v>
      </c>
      <c r="I342" s="2"/>
      <c r="J342" s="2"/>
      <c r="K342" s="17">
        <v>29610</v>
      </c>
      <c r="L342" s="17">
        <v>3172.5</v>
      </c>
      <c r="M342" s="17">
        <v>26437.5</v>
      </c>
      <c r="N342" s="17">
        <v>29610</v>
      </c>
      <c r="O342" s="2"/>
      <c r="P342" s="2"/>
      <c r="Q342" s="31" t="s">
        <v>56</v>
      </c>
      <c r="R342" s="63"/>
      <c r="S342" s="62"/>
      <c r="T342" s="5"/>
    </row>
    <row r="343" spans="1:20" hidden="1">
      <c r="A343" s="2" t="s">
        <v>971</v>
      </c>
      <c r="B343" s="2" t="s">
        <v>1005</v>
      </c>
      <c r="C343" s="2" t="s">
        <v>60</v>
      </c>
      <c r="D343" s="16">
        <v>0</v>
      </c>
      <c r="E343" s="2" t="s">
        <v>971</v>
      </c>
      <c r="F343" s="2" t="s">
        <v>1006</v>
      </c>
      <c r="G343" s="2" t="s">
        <v>1007</v>
      </c>
      <c r="H343" s="17">
        <v>78544</v>
      </c>
      <c r="I343" s="2"/>
      <c r="J343" s="2"/>
      <c r="K343" s="17">
        <v>78544</v>
      </c>
      <c r="L343" s="17">
        <v>8415.43</v>
      </c>
      <c r="M343" s="17">
        <v>70128.570000000007</v>
      </c>
      <c r="N343" s="17">
        <v>78544</v>
      </c>
      <c r="O343" s="2"/>
      <c r="P343" s="2"/>
      <c r="Q343" s="31" t="s">
        <v>56</v>
      </c>
      <c r="R343" s="32">
        <f>+K343</f>
        <v>78544</v>
      </c>
      <c r="S343" s="62"/>
      <c r="T343" s="5"/>
    </row>
    <row r="344" spans="1:20" hidden="1">
      <c r="A344" s="2" t="s">
        <v>637</v>
      </c>
      <c r="B344" s="2" t="s">
        <v>640</v>
      </c>
      <c r="C344" s="2" t="s">
        <v>117</v>
      </c>
      <c r="D344" s="16">
        <v>120</v>
      </c>
      <c r="E344" s="2" t="s">
        <v>641</v>
      </c>
      <c r="F344" s="2" t="s">
        <v>642</v>
      </c>
      <c r="G344" s="2" t="s">
        <v>643</v>
      </c>
      <c r="H344" s="17">
        <v>490500</v>
      </c>
      <c r="I344" s="2"/>
      <c r="J344" s="2"/>
      <c r="K344" s="17">
        <v>490500</v>
      </c>
      <c r="L344" s="17">
        <v>52553.57</v>
      </c>
      <c r="M344" s="17">
        <v>437946.43</v>
      </c>
      <c r="N344" s="17">
        <v>490500</v>
      </c>
      <c r="O344" s="2"/>
      <c r="P344" s="2"/>
      <c r="Q344" s="31" t="s">
        <v>56</v>
      </c>
      <c r="R344" s="32">
        <f>+K344</f>
        <v>490500</v>
      </c>
      <c r="S344" s="62"/>
      <c r="T344" s="5"/>
    </row>
    <row r="345" spans="1:20" hidden="1">
      <c r="A345" s="2" t="s">
        <v>769</v>
      </c>
      <c r="B345" s="2" t="s">
        <v>840</v>
      </c>
      <c r="C345" s="2" t="s">
        <v>60</v>
      </c>
      <c r="D345" s="16">
        <v>0</v>
      </c>
      <c r="E345" s="2" t="s">
        <v>769</v>
      </c>
      <c r="F345" s="2" t="s">
        <v>841</v>
      </c>
      <c r="G345" s="2" t="s">
        <v>842</v>
      </c>
      <c r="H345" s="17">
        <v>1117</v>
      </c>
      <c r="I345" s="2"/>
      <c r="J345" s="2"/>
      <c r="K345" s="17">
        <v>1117</v>
      </c>
      <c r="L345" s="18">
        <v>119.68</v>
      </c>
      <c r="M345" s="18">
        <v>997.32</v>
      </c>
      <c r="N345" s="17">
        <v>1117</v>
      </c>
      <c r="O345" s="2"/>
      <c r="P345" s="2"/>
      <c r="Q345" s="31" t="s">
        <v>56</v>
      </c>
      <c r="R345" s="32">
        <f>+K345</f>
        <v>1117</v>
      </c>
      <c r="S345" s="62"/>
      <c r="T345" s="5"/>
    </row>
    <row r="346" spans="1:20" hidden="1">
      <c r="A346" s="2" t="s">
        <v>199</v>
      </c>
      <c r="B346" s="2" t="s">
        <v>210</v>
      </c>
      <c r="C346" s="2" t="s">
        <v>60</v>
      </c>
      <c r="D346" s="16">
        <v>0</v>
      </c>
      <c r="E346" s="2" t="s">
        <v>199</v>
      </c>
      <c r="F346" s="2" t="s">
        <v>211</v>
      </c>
      <c r="G346" s="2" t="s">
        <v>212</v>
      </c>
      <c r="H346" s="17">
        <v>56000</v>
      </c>
      <c r="I346" s="2"/>
      <c r="J346" s="2"/>
      <c r="K346" s="17">
        <v>56000</v>
      </c>
      <c r="L346" s="17">
        <v>6000</v>
      </c>
      <c r="M346" s="17">
        <v>50000</v>
      </c>
      <c r="N346" s="17">
        <v>56000</v>
      </c>
      <c r="O346" s="2"/>
      <c r="P346" s="2"/>
      <c r="Q346" s="31" t="s">
        <v>56</v>
      </c>
      <c r="R346" s="61">
        <f>+K346+K347+K348+K349+K350+K351</f>
        <v>198400</v>
      </c>
      <c r="S346" s="62"/>
      <c r="T346" s="5"/>
    </row>
    <row r="347" spans="1:20" hidden="1">
      <c r="A347" s="2" t="s">
        <v>199</v>
      </c>
      <c r="B347" s="2" t="s">
        <v>213</v>
      </c>
      <c r="C347" s="2" t="s">
        <v>60</v>
      </c>
      <c r="D347" s="16">
        <v>0</v>
      </c>
      <c r="E347" s="2" t="s">
        <v>199</v>
      </c>
      <c r="F347" s="2" t="s">
        <v>211</v>
      </c>
      <c r="G347" s="2" t="s">
        <v>214</v>
      </c>
      <c r="H347" s="17">
        <v>28000</v>
      </c>
      <c r="I347" s="2"/>
      <c r="J347" s="2"/>
      <c r="K347" s="17">
        <v>28000</v>
      </c>
      <c r="L347" s="17">
        <v>3000</v>
      </c>
      <c r="M347" s="17">
        <v>25000</v>
      </c>
      <c r="N347" s="17">
        <v>28000</v>
      </c>
      <c r="O347" s="2"/>
      <c r="P347" s="2"/>
      <c r="Q347" s="31" t="s">
        <v>56</v>
      </c>
      <c r="R347" s="62"/>
      <c r="S347" s="62"/>
      <c r="T347" s="5"/>
    </row>
    <row r="348" spans="1:20" hidden="1">
      <c r="A348" s="2" t="s">
        <v>199</v>
      </c>
      <c r="B348" s="2" t="s">
        <v>215</v>
      </c>
      <c r="C348" s="2" t="s">
        <v>60</v>
      </c>
      <c r="D348" s="16">
        <v>0</v>
      </c>
      <c r="E348" s="2" t="s">
        <v>199</v>
      </c>
      <c r="F348" s="2" t="s">
        <v>211</v>
      </c>
      <c r="G348" s="2" t="s">
        <v>216</v>
      </c>
      <c r="H348" s="17">
        <v>28000</v>
      </c>
      <c r="I348" s="2"/>
      <c r="J348" s="2"/>
      <c r="K348" s="17">
        <v>28000</v>
      </c>
      <c r="L348" s="17">
        <v>3000</v>
      </c>
      <c r="M348" s="17">
        <v>25000</v>
      </c>
      <c r="N348" s="17">
        <v>28000</v>
      </c>
      <c r="O348" s="2"/>
      <c r="P348" s="2"/>
      <c r="Q348" s="31" t="s">
        <v>56</v>
      </c>
      <c r="R348" s="62"/>
      <c r="S348" s="62"/>
      <c r="T348" s="5"/>
    </row>
    <row r="349" spans="1:20" hidden="1">
      <c r="A349" s="2" t="s">
        <v>1287</v>
      </c>
      <c r="B349" s="2" t="s">
        <v>1304</v>
      </c>
      <c r="C349" s="2" t="s">
        <v>60</v>
      </c>
      <c r="D349" s="16">
        <v>0</v>
      </c>
      <c r="E349" s="2" t="s">
        <v>1287</v>
      </c>
      <c r="F349" s="2" t="s">
        <v>211</v>
      </c>
      <c r="G349" s="2" t="s">
        <v>1305</v>
      </c>
      <c r="H349" s="17">
        <v>28800</v>
      </c>
      <c r="I349" s="2"/>
      <c r="J349" s="2"/>
      <c r="K349" s="17">
        <v>28800</v>
      </c>
      <c r="L349" s="17">
        <v>3085.71</v>
      </c>
      <c r="M349" s="17">
        <v>25714.29</v>
      </c>
      <c r="N349" s="17">
        <v>28800</v>
      </c>
      <c r="O349" s="2"/>
      <c r="P349" s="2"/>
      <c r="Q349" s="31" t="s">
        <v>56</v>
      </c>
      <c r="R349" s="62"/>
      <c r="S349" s="62"/>
      <c r="T349" s="5"/>
    </row>
    <row r="350" spans="1:20" hidden="1">
      <c r="A350" s="2" t="s">
        <v>1287</v>
      </c>
      <c r="B350" s="2" t="s">
        <v>1306</v>
      </c>
      <c r="C350" s="2" t="s">
        <v>60</v>
      </c>
      <c r="D350" s="16">
        <v>0</v>
      </c>
      <c r="E350" s="2" t="s">
        <v>1287</v>
      </c>
      <c r="F350" s="2" t="s">
        <v>211</v>
      </c>
      <c r="G350" s="2" t="s">
        <v>1307</v>
      </c>
      <c r="H350" s="17">
        <v>28800</v>
      </c>
      <c r="I350" s="2"/>
      <c r="J350" s="2"/>
      <c r="K350" s="17">
        <v>28800</v>
      </c>
      <c r="L350" s="17">
        <v>3085.71</v>
      </c>
      <c r="M350" s="17">
        <v>25714.29</v>
      </c>
      <c r="N350" s="17">
        <v>28800</v>
      </c>
      <c r="O350" s="2"/>
      <c r="P350" s="2"/>
      <c r="Q350" s="31" t="s">
        <v>56</v>
      </c>
      <c r="R350" s="62"/>
      <c r="S350" s="62"/>
      <c r="T350" s="5"/>
    </row>
    <row r="351" spans="1:20" hidden="1">
      <c r="A351" s="2" t="s">
        <v>1287</v>
      </c>
      <c r="B351" s="2" t="s">
        <v>1308</v>
      </c>
      <c r="C351" s="2" t="s">
        <v>60</v>
      </c>
      <c r="D351" s="16">
        <v>0</v>
      </c>
      <c r="E351" s="2" t="s">
        <v>1287</v>
      </c>
      <c r="F351" s="2" t="s">
        <v>211</v>
      </c>
      <c r="G351" s="2" t="s">
        <v>1309</v>
      </c>
      <c r="H351" s="17">
        <v>28800</v>
      </c>
      <c r="I351" s="2"/>
      <c r="J351" s="2"/>
      <c r="K351" s="17">
        <v>28800</v>
      </c>
      <c r="L351" s="17">
        <v>3085.71</v>
      </c>
      <c r="M351" s="17">
        <v>25714.29</v>
      </c>
      <c r="N351" s="17">
        <v>28800</v>
      </c>
      <c r="O351" s="2"/>
      <c r="P351" s="2"/>
      <c r="Q351" s="31" t="s">
        <v>56</v>
      </c>
      <c r="R351" s="63"/>
      <c r="S351" s="62"/>
      <c r="T351" s="5"/>
    </row>
    <row r="352" spans="1:20" hidden="1">
      <c r="A352" s="2" t="s">
        <v>199</v>
      </c>
      <c r="B352" s="2" t="s">
        <v>242</v>
      </c>
      <c r="C352" s="2" t="s">
        <v>243</v>
      </c>
      <c r="D352" s="16">
        <v>30</v>
      </c>
      <c r="E352" s="2" t="s">
        <v>223</v>
      </c>
      <c r="F352" s="2" t="s">
        <v>244</v>
      </c>
      <c r="G352" s="2" t="s">
        <v>245</v>
      </c>
      <c r="H352" s="17">
        <v>28250</v>
      </c>
      <c r="I352" s="2"/>
      <c r="J352" s="2"/>
      <c r="K352" s="17">
        <v>28250</v>
      </c>
      <c r="L352" s="17">
        <v>3026.79</v>
      </c>
      <c r="M352" s="17">
        <v>25223.21</v>
      </c>
      <c r="N352" s="17">
        <v>28250</v>
      </c>
      <c r="O352" s="2"/>
      <c r="P352" s="2"/>
      <c r="Q352" s="31" t="s">
        <v>56</v>
      </c>
      <c r="R352" s="61">
        <f>+K352+K353+K354</f>
        <v>603290</v>
      </c>
      <c r="S352" s="62"/>
      <c r="T352" s="5"/>
    </row>
    <row r="353" spans="1:20" hidden="1">
      <c r="A353" s="2" t="s">
        <v>368</v>
      </c>
      <c r="B353" s="2" t="s">
        <v>445</v>
      </c>
      <c r="C353" s="2" t="s">
        <v>73</v>
      </c>
      <c r="D353" s="16">
        <v>30</v>
      </c>
      <c r="E353" s="2" t="s">
        <v>370</v>
      </c>
      <c r="F353" s="2" t="s">
        <v>244</v>
      </c>
      <c r="G353" s="2" t="s">
        <v>446</v>
      </c>
      <c r="H353" s="17">
        <v>384480</v>
      </c>
      <c r="I353" s="2"/>
      <c r="J353" s="2"/>
      <c r="K353" s="17">
        <v>384480</v>
      </c>
      <c r="L353" s="17">
        <v>41194.29</v>
      </c>
      <c r="M353" s="17">
        <v>343285.71</v>
      </c>
      <c r="N353" s="17">
        <v>384480</v>
      </c>
      <c r="O353" s="2"/>
      <c r="P353" s="2"/>
      <c r="Q353" s="31" t="s">
        <v>56</v>
      </c>
      <c r="R353" s="62"/>
      <c r="S353" s="62"/>
      <c r="T353" s="5"/>
    </row>
    <row r="354" spans="1:20" hidden="1">
      <c r="A354" s="2" t="s">
        <v>637</v>
      </c>
      <c r="B354" s="2" t="s">
        <v>652</v>
      </c>
      <c r="C354" s="2" t="s">
        <v>73</v>
      </c>
      <c r="D354" s="16">
        <v>30</v>
      </c>
      <c r="E354" s="2" t="s">
        <v>638</v>
      </c>
      <c r="F354" s="2" t="s">
        <v>244</v>
      </c>
      <c r="G354" s="2" t="s">
        <v>653</v>
      </c>
      <c r="H354" s="17">
        <v>190560</v>
      </c>
      <c r="I354" s="2"/>
      <c r="J354" s="2"/>
      <c r="K354" s="17">
        <v>190560</v>
      </c>
      <c r="L354" s="17">
        <v>20417.14</v>
      </c>
      <c r="M354" s="17">
        <v>170142.86</v>
      </c>
      <c r="N354" s="17">
        <v>190560</v>
      </c>
      <c r="O354" s="2"/>
      <c r="P354" s="2"/>
      <c r="Q354" s="31" t="s">
        <v>56</v>
      </c>
      <c r="R354" s="63"/>
      <c r="S354" s="62"/>
      <c r="T354" s="5"/>
    </row>
    <row r="355" spans="1:20" hidden="1">
      <c r="A355" s="2" t="s">
        <v>1117</v>
      </c>
      <c r="B355" s="2" t="s">
        <v>1126</v>
      </c>
      <c r="C355" s="2" t="s">
        <v>18</v>
      </c>
      <c r="D355" s="16">
        <v>0</v>
      </c>
      <c r="E355" s="2" t="s">
        <v>1117</v>
      </c>
      <c r="F355" s="2" t="s">
        <v>1127</v>
      </c>
      <c r="G355" s="2" t="s">
        <v>1128</v>
      </c>
      <c r="H355" s="17">
        <v>124768</v>
      </c>
      <c r="I355" s="19">
        <v>-2495.36</v>
      </c>
      <c r="J355" s="2"/>
      <c r="K355" s="17">
        <v>122272.64</v>
      </c>
      <c r="L355" s="17">
        <v>13100.64</v>
      </c>
      <c r="M355" s="17">
        <v>109172</v>
      </c>
      <c r="N355" s="17">
        <v>122272.64</v>
      </c>
      <c r="O355" s="2"/>
      <c r="P355" s="2"/>
      <c r="Q355" s="31" t="s">
        <v>56</v>
      </c>
      <c r="R355" s="32">
        <f>+K355</f>
        <v>122272.64</v>
      </c>
      <c r="S355" s="62"/>
      <c r="T355" s="5"/>
    </row>
    <row r="356" spans="1:20" hidden="1">
      <c r="A356" s="2" t="s">
        <v>971</v>
      </c>
      <c r="B356" s="2" t="s">
        <v>1002</v>
      </c>
      <c r="C356" s="2" t="s">
        <v>60</v>
      </c>
      <c r="D356" s="16">
        <v>0</v>
      </c>
      <c r="E356" s="2" t="s">
        <v>971</v>
      </c>
      <c r="F356" s="2" t="s">
        <v>1003</v>
      </c>
      <c r="G356" s="2" t="s">
        <v>1004</v>
      </c>
      <c r="H356" s="17">
        <v>1328544</v>
      </c>
      <c r="I356" s="2"/>
      <c r="J356" s="2"/>
      <c r="K356" s="17">
        <v>1328544</v>
      </c>
      <c r="L356" s="17">
        <v>142344</v>
      </c>
      <c r="M356" s="17">
        <v>1186200</v>
      </c>
      <c r="N356" s="17">
        <v>1328544</v>
      </c>
      <c r="O356" s="2"/>
      <c r="P356" s="2"/>
      <c r="Q356" s="31" t="s">
        <v>56</v>
      </c>
      <c r="R356" s="32">
        <f>+K356</f>
        <v>1328544</v>
      </c>
      <c r="S356" s="62"/>
      <c r="T356" s="5"/>
    </row>
    <row r="357" spans="1:20" hidden="1">
      <c r="A357" s="2" t="s">
        <v>17</v>
      </c>
      <c r="B357" s="2" t="s">
        <v>89</v>
      </c>
      <c r="C357" s="2" t="s">
        <v>73</v>
      </c>
      <c r="D357" s="16">
        <v>30</v>
      </c>
      <c r="E357" s="2" t="s">
        <v>24</v>
      </c>
      <c r="F357" s="2" t="s">
        <v>90</v>
      </c>
      <c r="G357" s="2" t="s">
        <v>91</v>
      </c>
      <c r="H357" s="17">
        <v>182032</v>
      </c>
      <c r="I357" s="2"/>
      <c r="J357" s="2"/>
      <c r="K357" s="17">
        <v>182032</v>
      </c>
      <c r="L357" s="17">
        <v>19503.43</v>
      </c>
      <c r="M357" s="17">
        <v>162528.57</v>
      </c>
      <c r="N357" s="17">
        <v>182032</v>
      </c>
      <c r="O357" s="2"/>
      <c r="P357" s="2"/>
      <c r="Q357" s="31" t="s">
        <v>56</v>
      </c>
      <c r="R357" s="61">
        <f>+K357+K358+K359+K360</f>
        <v>764540</v>
      </c>
      <c r="S357" s="62"/>
      <c r="T357" s="5"/>
    </row>
    <row r="358" spans="1:20" hidden="1">
      <c r="A358" s="2" t="s">
        <v>199</v>
      </c>
      <c r="B358" s="2" t="s">
        <v>279</v>
      </c>
      <c r="C358" s="2" t="s">
        <v>54</v>
      </c>
      <c r="D358" s="16">
        <v>90</v>
      </c>
      <c r="E358" s="2" t="s">
        <v>233</v>
      </c>
      <c r="F358" s="2" t="s">
        <v>90</v>
      </c>
      <c r="G358" s="2" t="s">
        <v>280</v>
      </c>
      <c r="H358" s="17">
        <v>191133</v>
      </c>
      <c r="I358" s="2"/>
      <c r="J358" s="2"/>
      <c r="K358" s="17">
        <v>191133</v>
      </c>
      <c r="L358" s="17">
        <v>20478.54</v>
      </c>
      <c r="M358" s="17">
        <v>170654.46</v>
      </c>
      <c r="N358" s="17">
        <v>191133</v>
      </c>
      <c r="O358" s="2"/>
      <c r="P358" s="2"/>
      <c r="Q358" s="31" t="s">
        <v>56</v>
      </c>
      <c r="R358" s="62"/>
      <c r="S358" s="62"/>
      <c r="T358" s="5"/>
    </row>
    <row r="359" spans="1:20" hidden="1">
      <c r="A359" s="2" t="s">
        <v>282</v>
      </c>
      <c r="B359" s="2" t="s">
        <v>289</v>
      </c>
      <c r="C359" s="2" t="s">
        <v>54</v>
      </c>
      <c r="D359" s="16">
        <v>90</v>
      </c>
      <c r="E359" s="2" t="s">
        <v>290</v>
      </c>
      <c r="F359" s="2" t="s">
        <v>90</v>
      </c>
      <c r="G359" s="2" t="s">
        <v>291</v>
      </c>
      <c r="H359" s="17">
        <v>282155</v>
      </c>
      <c r="I359" s="2"/>
      <c r="J359" s="2"/>
      <c r="K359" s="17">
        <v>282155</v>
      </c>
      <c r="L359" s="17">
        <v>30230.89</v>
      </c>
      <c r="M359" s="17">
        <v>251924.11</v>
      </c>
      <c r="N359" s="17">
        <v>282155</v>
      </c>
      <c r="O359" s="2"/>
      <c r="P359" s="2"/>
      <c r="Q359" s="31" t="s">
        <v>56</v>
      </c>
      <c r="R359" s="62"/>
      <c r="S359" s="62"/>
      <c r="T359" s="5"/>
    </row>
    <row r="360" spans="1:20" hidden="1">
      <c r="A360" s="2" t="s">
        <v>368</v>
      </c>
      <c r="B360" s="2" t="s">
        <v>440</v>
      </c>
      <c r="C360" s="2" t="s">
        <v>54</v>
      </c>
      <c r="D360" s="16">
        <v>90</v>
      </c>
      <c r="E360" s="2" t="s">
        <v>383</v>
      </c>
      <c r="F360" s="2" t="s">
        <v>90</v>
      </c>
      <c r="G360" s="2" t="s">
        <v>441</v>
      </c>
      <c r="H360" s="17">
        <v>109220</v>
      </c>
      <c r="I360" s="2"/>
      <c r="J360" s="2"/>
      <c r="K360" s="17">
        <v>109220</v>
      </c>
      <c r="L360" s="17">
        <v>11702.14</v>
      </c>
      <c r="M360" s="17">
        <v>97517.86</v>
      </c>
      <c r="N360" s="17">
        <v>109220</v>
      </c>
      <c r="O360" s="2"/>
      <c r="P360" s="2"/>
      <c r="Q360" s="31" t="s">
        <v>56</v>
      </c>
      <c r="R360" s="63"/>
      <c r="S360" s="62"/>
      <c r="T360" s="5"/>
    </row>
    <row r="361" spans="1:20" hidden="1">
      <c r="A361" s="2" t="s">
        <v>769</v>
      </c>
      <c r="B361" s="2" t="s">
        <v>789</v>
      </c>
      <c r="C361" s="2" t="s">
        <v>60</v>
      </c>
      <c r="D361" s="16">
        <v>0</v>
      </c>
      <c r="E361" s="2" t="s">
        <v>769</v>
      </c>
      <c r="F361" s="2" t="s">
        <v>790</v>
      </c>
      <c r="G361" s="2" t="s">
        <v>791</v>
      </c>
      <c r="H361" s="17">
        <v>53782.400000000001</v>
      </c>
      <c r="I361" s="2"/>
      <c r="J361" s="2"/>
      <c r="K361" s="17">
        <v>53782.400000000001</v>
      </c>
      <c r="L361" s="17">
        <v>5762.4</v>
      </c>
      <c r="M361" s="17">
        <v>48020</v>
      </c>
      <c r="N361" s="17">
        <v>53782.400000000001</v>
      </c>
      <c r="O361" s="2"/>
      <c r="P361" s="2"/>
      <c r="Q361" s="31" t="s">
        <v>56</v>
      </c>
      <c r="R361" s="32">
        <f>+K361</f>
        <v>53782.400000000001</v>
      </c>
      <c r="S361" s="62"/>
      <c r="T361" s="5"/>
    </row>
    <row r="362" spans="1:20" hidden="1">
      <c r="A362" s="2" t="s">
        <v>1048</v>
      </c>
      <c r="B362" s="2" t="s">
        <v>1073</v>
      </c>
      <c r="C362" s="2" t="s">
        <v>1074</v>
      </c>
      <c r="D362" s="16">
        <v>0</v>
      </c>
      <c r="E362" s="2" t="s">
        <v>1048</v>
      </c>
      <c r="F362" s="2" t="s">
        <v>1075</v>
      </c>
      <c r="G362" s="2" t="s">
        <v>1076</v>
      </c>
      <c r="H362" s="17">
        <v>919820</v>
      </c>
      <c r="I362" s="19">
        <v>-18396.400000000001</v>
      </c>
      <c r="J362" s="2"/>
      <c r="K362" s="17">
        <v>901423.6</v>
      </c>
      <c r="L362" s="17">
        <v>96581.1</v>
      </c>
      <c r="M362" s="17">
        <v>804842.5</v>
      </c>
      <c r="N362" s="17">
        <v>901423.6</v>
      </c>
      <c r="O362" s="2"/>
      <c r="P362" s="2"/>
      <c r="Q362" s="31" t="s">
        <v>56</v>
      </c>
      <c r="R362" s="61">
        <f>+K362+K363</f>
        <v>1802847.2</v>
      </c>
      <c r="S362" s="62"/>
      <c r="T362" s="5"/>
    </row>
    <row r="363" spans="1:20" hidden="1">
      <c r="A363" s="2" t="s">
        <v>1048</v>
      </c>
      <c r="B363" s="2" t="s">
        <v>1085</v>
      </c>
      <c r="C363" s="2" t="s">
        <v>1074</v>
      </c>
      <c r="D363" s="16">
        <v>0</v>
      </c>
      <c r="E363" s="2" t="s">
        <v>1048</v>
      </c>
      <c r="F363" s="2" t="s">
        <v>1075</v>
      </c>
      <c r="G363" s="2" t="s">
        <v>1076</v>
      </c>
      <c r="H363" s="17">
        <v>919820</v>
      </c>
      <c r="I363" s="19">
        <v>-18396.400000000001</v>
      </c>
      <c r="J363" s="2"/>
      <c r="K363" s="17">
        <v>901423.6</v>
      </c>
      <c r="L363" s="17">
        <v>96581.1</v>
      </c>
      <c r="M363" s="17">
        <v>804842.5</v>
      </c>
      <c r="N363" s="17">
        <v>901423.6</v>
      </c>
      <c r="O363" s="2"/>
      <c r="P363" s="2"/>
      <c r="Q363" s="31" t="s">
        <v>56</v>
      </c>
      <c r="R363" s="63"/>
      <c r="S363" s="62"/>
      <c r="T363" s="5"/>
    </row>
    <row r="364" spans="1:20" hidden="1">
      <c r="A364" s="2" t="s">
        <v>971</v>
      </c>
      <c r="B364" s="2" t="s">
        <v>1010</v>
      </c>
      <c r="C364" s="2" t="s">
        <v>1011</v>
      </c>
      <c r="D364" s="16">
        <v>60</v>
      </c>
      <c r="E364" s="2" t="s">
        <v>991</v>
      </c>
      <c r="F364" s="2" t="s">
        <v>1012</v>
      </c>
      <c r="G364" s="2" t="s">
        <v>1013</v>
      </c>
      <c r="H364" s="17">
        <v>168032</v>
      </c>
      <c r="I364" s="2"/>
      <c r="J364" s="2"/>
      <c r="K364" s="17">
        <v>168032</v>
      </c>
      <c r="L364" s="17">
        <v>18003.43</v>
      </c>
      <c r="M364" s="17">
        <v>150028.57</v>
      </c>
      <c r="N364" s="17">
        <v>168032</v>
      </c>
      <c r="O364" s="2"/>
      <c r="P364" s="2"/>
      <c r="Q364" s="31" t="s">
        <v>56</v>
      </c>
      <c r="R364" s="61">
        <f>+K364+K365+K366+K367</f>
        <v>547152</v>
      </c>
      <c r="S364" s="62"/>
      <c r="T364" s="5"/>
    </row>
    <row r="365" spans="1:20" hidden="1">
      <c r="A365" s="2" t="s">
        <v>971</v>
      </c>
      <c r="B365" s="2" t="s">
        <v>1016</v>
      </c>
      <c r="C365" s="2" t="s">
        <v>1011</v>
      </c>
      <c r="D365" s="16">
        <v>60</v>
      </c>
      <c r="E365" s="2" t="s">
        <v>991</v>
      </c>
      <c r="F365" s="2" t="s">
        <v>1012</v>
      </c>
      <c r="G365" s="2" t="s">
        <v>1017</v>
      </c>
      <c r="H365" s="17">
        <v>135474</v>
      </c>
      <c r="I365" s="2"/>
      <c r="J365" s="2"/>
      <c r="K365" s="17">
        <v>135474</v>
      </c>
      <c r="L365" s="17">
        <v>14515.07</v>
      </c>
      <c r="M365" s="17">
        <v>120958.93</v>
      </c>
      <c r="N365" s="17">
        <v>135474</v>
      </c>
      <c r="O365" s="2"/>
      <c r="P365" s="2"/>
      <c r="Q365" s="31" t="s">
        <v>56</v>
      </c>
      <c r="R365" s="62"/>
      <c r="S365" s="62"/>
      <c r="T365" s="5"/>
    </row>
    <row r="366" spans="1:20" hidden="1">
      <c r="A366" s="2" t="s">
        <v>971</v>
      </c>
      <c r="B366" s="2" t="s">
        <v>1018</v>
      </c>
      <c r="C366" s="2" t="s">
        <v>1011</v>
      </c>
      <c r="D366" s="16">
        <v>60</v>
      </c>
      <c r="E366" s="2" t="s">
        <v>991</v>
      </c>
      <c r="F366" s="2" t="s">
        <v>1012</v>
      </c>
      <c r="G366" s="2" t="s">
        <v>1019</v>
      </c>
      <c r="H366" s="17">
        <v>75614</v>
      </c>
      <c r="I366" s="2"/>
      <c r="J366" s="2"/>
      <c r="K366" s="17">
        <v>75614</v>
      </c>
      <c r="L366" s="17">
        <v>8101.5</v>
      </c>
      <c r="M366" s="17">
        <v>67512.5</v>
      </c>
      <c r="N366" s="17">
        <v>75614</v>
      </c>
      <c r="O366" s="2"/>
      <c r="P366" s="2"/>
      <c r="Q366" s="31" t="s">
        <v>56</v>
      </c>
      <c r="R366" s="62"/>
      <c r="S366" s="62"/>
      <c r="T366" s="5"/>
    </row>
    <row r="367" spans="1:20" hidden="1">
      <c r="A367" s="2" t="s">
        <v>971</v>
      </c>
      <c r="B367" s="2" t="s">
        <v>1020</v>
      </c>
      <c r="C367" s="2" t="s">
        <v>1011</v>
      </c>
      <c r="D367" s="16">
        <v>60</v>
      </c>
      <c r="E367" s="2" t="s">
        <v>991</v>
      </c>
      <c r="F367" s="2" t="s">
        <v>1012</v>
      </c>
      <c r="G367" s="2" t="s">
        <v>1021</v>
      </c>
      <c r="H367" s="17">
        <v>168032</v>
      </c>
      <c r="I367" s="2"/>
      <c r="J367" s="2"/>
      <c r="K367" s="17">
        <v>168032</v>
      </c>
      <c r="L367" s="17">
        <v>18003.43</v>
      </c>
      <c r="M367" s="17">
        <v>150028.57</v>
      </c>
      <c r="N367" s="17">
        <v>168032</v>
      </c>
      <c r="O367" s="2"/>
      <c r="P367" s="2"/>
      <c r="Q367" s="31" t="s">
        <v>56</v>
      </c>
      <c r="R367" s="63"/>
      <c r="S367" s="62"/>
      <c r="T367" s="5"/>
    </row>
    <row r="368" spans="1:20" hidden="1">
      <c r="A368" s="2" t="s">
        <v>93</v>
      </c>
      <c r="B368" s="2" t="s">
        <v>166</v>
      </c>
      <c r="C368" s="2" t="s">
        <v>167</v>
      </c>
      <c r="D368" s="16">
        <v>90</v>
      </c>
      <c r="E368" s="2" t="s">
        <v>147</v>
      </c>
      <c r="F368" s="2" t="s">
        <v>168</v>
      </c>
      <c r="G368" s="2" t="s">
        <v>169</v>
      </c>
      <c r="H368" s="17">
        <v>205370</v>
      </c>
      <c r="I368" s="2"/>
      <c r="J368" s="2"/>
      <c r="K368" s="17">
        <v>205370</v>
      </c>
      <c r="L368" s="17">
        <v>22003.93</v>
      </c>
      <c r="M368" s="17">
        <v>183366.07</v>
      </c>
      <c r="N368" s="17">
        <v>205370</v>
      </c>
      <c r="O368" s="2"/>
      <c r="P368" s="2"/>
      <c r="Q368" s="31" t="s">
        <v>56</v>
      </c>
      <c r="R368" s="61">
        <f>+K368+K369+K370+K371+K372+K373+K374+K375</f>
        <v>1490916.8399999999</v>
      </c>
      <c r="S368" s="62"/>
      <c r="T368" s="5"/>
    </row>
    <row r="369" spans="1:20" hidden="1">
      <c r="A369" s="2" t="s">
        <v>93</v>
      </c>
      <c r="B369" s="2" t="s">
        <v>170</v>
      </c>
      <c r="C369" s="2" t="s">
        <v>167</v>
      </c>
      <c r="D369" s="16">
        <v>90</v>
      </c>
      <c r="E369" s="2" t="s">
        <v>147</v>
      </c>
      <c r="F369" s="2" t="s">
        <v>168</v>
      </c>
      <c r="G369" s="2" t="s">
        <v>171</v>
      </c>
      <c r="H369" s="17">
        <v>70560</v>
      </c>
      <c r="I369" s="2"/>
      <c r="J369" s="2"/>
      <c r="K369" s="17">
        <v>70560</v>
      </c>
      <c r="L369" s="17">
        <v>7560</v>
      </c>
      <c r="M369" s="17">
        <v>63000</v>
      </c>
      <c r="N369" s="17">
        <v>70560</v>
      </c>
      <c r="O369" s="2"/>
      <c r="P369" s="2"/>
      <c r="Q369" s="31" t="s">
        <v>56</v>
      </c>
      <c r="R369" s="62"/>
      <c r="S369" s="62"/>
      <c r="T369" s="5"/>
    </row>
    <row r="370" spans="1:20" hidden="1">
      <c r="A370" s="2" t="s">
        <v>368</v>
      </c>
      <c r="B370" s="2" t="s">
        <v>394</v>
      </c>
      <c r="C370" s="2" t="s">
        <v>167</v>
      </c>
      <c r="D370" s="16">
        <v>90</v>
      </c>
      <c r="E370" s="2" t="s">
        <v>383</v>
      </c>
      <c r="F370" s="2" t="s">
        <v>168</v>
      </c>
      <c r="G370" s="2" t="s">
        <v>395</v>
      </c>
      <c r="H370" s="17">
        <v>82150</v>
      </c>
      <c r="I370" s="2"/>
      <c r="J370" s="2"/>
      <c r="K370" s="17">
        <v>82150</v>
      </c>
      <c r="L370" s="17">
        <v>8801.7900000000009</v>
      </c>
      <c r="M370" s="17">
        <v>73348.210000000006</v>
      </c>
      <c r="N370" s="17">
        <v>82150</v>
      </c>
      <c r="O370" s="2"/>
      <c r="P370" s="2"/>
      <c r="Q370" s="31" t="s">
        <v>56</v>
      </c>
      <c r="R370" s="62"/>
      <c r="S370" s="62"/>
      <c r="T370" s="5"/>
    </row>
    <row r="371" spans="1:20" hidden="1">
      <c r="A371" s="2" t="s">
        <v>368</v>
      </c>
      <c r="B371" s="2" t="s">
        <v>396</v>
      </c>
      <c r="C371" s="2" t="s">
        <v>167</v>
      </c>
      <c r="D371" s="16">
        <v>90</v>
      </c>
      <c r="E371" s="2" t="s">
        <v>383</v>
      </c>
      <c r="F371" s="2" t="s">
        <v>168</v>
      </c>
      <c r="G371" s="2" t="s">
        <v>397</v>
      </c>
      <c r="H371" s="17">
        <v>175940</v>
      </c>
      <c r="I371" s="2"/>
      <c r="J371" s="2"/>
      <c r="K371" s="17">
        <v>175940</v>
      </c>
      <c r="L371" s="17">
        <v>18850.71</v>
      </c>
      <c r="M371" s="17">
        <v>157089.29</v>
      </c>
      <c r="N371" s="17">
        <v>175940</v>
      </c>
      <c r="O371" s="2"/>
      <c r="P371" s="2"/>
      <c r="Q371" s="31" t="s">
        <v>56</v>
      </c>
      <c r="R371" s="62"/>
      <c r="S371" s="62"/>
      <c r="T371" s="5"/>
    </row>
    <row r="372" spans="1:20" hidden="1">
      <c r="A372" s="2" t="s">
        <v>505</v>
      </c>
      <c r="B372" s="2" t="s">
        <v>524</v>
      </c>
      <c r="C372" s="2" t="s">
        <v>60</v>
      </c>
      <c r="D372" s="16">
        <v>0</v>
      </c>
      <c r="E372" s="2" t="s">
        <v>505</v>
      </c>
      <c r="F372" s="2" t="s">
        <v>168</v>
      </c>
      <c r="G372" s="2" t="s">
        <v>525</v>
      </c>
      <c r="H372" s="17">
        <v>58172.84</v>
      </c>
      <c r="I372" s="2"/>
      <c r="J372" s="2"/>
      <c r="K372" s="17">
        <v>58172.84</v>
      </c>
      <c r="L372" s="17">
        <v>6232.8</v>
      </c>
      <c r="M372" s="17">
        <v>51940.04</v>
      </c>
      <c r="N372" s="17">
        <v>58172.84</v>
      </c>
      <c r="O372" s="2"/>
      <c r="P372" s="2"/>
      <c r="Q372" s="31" t="s">
        <v>56</v>
      </c>
      <c r="R372" s="62"/>
      <c r="S372" s="62"/>
      <c r="T372" s="5"/>
    </row>
    <row r="373" spans="1:20" hidden="1">
      <c r="A373" s="2" t="s">
        <v>596</v>
      </c>
      <c r="B373" s="2" t="s">
        <v>628</v>
      </c>
      <c r="C373" s="2" t="s">
        <v>167</v>
      </c>
      <c r="D373" s="16">
        <v>90</v>
      </c>
      <c r="E373" s="2" t="s">
        <v>597</v>
      </c>
      <c r="F373" s="2" t="s">
        <v>168</v>
      </c>
      <c r="G373" s="2" t="s">
        <v>629</v>
      </c>
      <c r="H373" s="17">
        <v>52800</v>
      </c>
      <c r="I373" s="2"/>
      <c r="J373" s="2"/>
      <c r="K373" s="17">
        <v>52800</v>
      </c>
      <c r="L373" s="17">
        <v>5657.14</v>
      </c>
      <c r="M373" s="17">
        <v>47142.86</v>
      </c>
      <c r="N373" s="17">
        <v>52800</v>
      </c>
      <c r="O373" s="2"/>
      <c r="P373" s="2"/>
      <c r="Q373" s="31" t="s">
        <v>56</v>
      </c>
      <c r="R373" s="62"/>
      <c r="S373" s="62"/>
      <c r="T373" s="5"/>
    </row>
    <row r="374" spans="1:20" hidden="1">
      <c r="A374" s="2" t="s">
        <v>1467</v>
      </c>
      <c r="B374" s="2" t="s">
        <v>1483</v>
      </c>
      <c r="C374" s="2" t="s">
        <v>167</v>
      </c>
      <c r="D374" s="16">
        <v>90</v>
      </c>
      <c r="E374" s="2" t="s">
        <v>1479</v>
      </c>
      <c r="F374" s="2" t="s">
        <v>168</v>
      </c>
      <c r="G374" s="2" t="s">
        <v>1484</v>
      </c>
      <c r="H374" s="17">
        <v>69380</v>
      </c>
      <c r="I374" s="2"/>
      <c r="J374" s="2"/>
      <c r="K374" s="17">
        <v>69380</v>
      </c>
      <c r="L374" s="17">
        <v>7433.57</v>
      </c>
      <c r="M374" s="17">
        <v>61946.43</v>
      </c>
      <c r="N374" s="17">
        <v>69380</v>
      </c>
      <c r="O374" s="2"/>
      <c r="P374" s="2"/>
      <c r="Q374" s="31" t="s">
        <v>56</v>
      </c>
      <c r="R374" s="62"/>
      <c r="S374" s="62"/>
      <c r="T374" s="5"/>
    </row>
    <row r="375" spans="1:20" hidden="1">
      <c r="A375" s="2" t="s">
        <v>1553</v>
      </c>
      <c r="B375" s="2" t="s">
        <v>1552</v>
      </c>
      <c r="C375" s="2" t="s">
        <v>167</v>
      </c>
      <c r="D375" s="16">
        <v>90</v>
      </c>
      <c r="E375" s="2" t="s">
        <v>1554</v>
      </c>
      <c r="F375" s="2" t="s">
        <v>168</v>
      </c>
      <c r="G375" s="2" t="s">
        <v>1555</v>
      </c>
      <c r="H375" s="17">
        <v>776544</v>
      </c>
      <c r="I375" s="2"/>
      <c r="J375" s="2"/>
      <c r="K375" s="17">
        <v>776544</v>
      </c>
      <c r="L375" s="17">
        <v>83201.14</v>
      </c>
      <c r="M375" s="17">
        <v>693342.86</v>
      </c>
      <c r="N375" s="17">
        <v>776544</v>
      </c>
      <c r="O375" s="2"/>
      <c r="P375" s="2"/>
      <c r="Q375" s="31" t="s">
        <v>56</v>
      </c>
      <c r="R375" s="63"/>
      <c r="S375" s="62"/>
      <c r="T375" s="5"/>
    </row>
    <row r="376" spans="1:20" hidden="1">
      <c r="A376" s="2" t="s">
        <v>93</v>
      </c>
      <c r="B376" s="2" t="s">
        <v>189</v>
      </c>
      <c r="C376" s="2" t="s">
        <v>60</v>
      </c>
      <c r="D376" s="16">
        <v>0</v>
      </c>
      <c r="E376" s="2" t="s">
        <v>93</v>
      </c>
      <c r="F376" s="2" t="s">
        <v>190</v>
      </c>
      <c r="G376" s="2" t="s">
        <v>191</v>
      </c>
      <c r="H376" s="17">
        <v>73932</v>
      </c>
      <c r="I376" s="2"/>
      <c r="J376" s="2"/>
      <c r="K376" s="17">
        <v>73932</v>
      </c>
      <c r="L376" s="17">
        <v>7921.29</v>
      </c>
      <c r="M376" s="17">
        <v>66010.710000000006</v>
      </c>
      <c r="N376" s="17">
        <v>73932</v>
      </c>
      <c r="O376" s="2"/>
      <c r="P376" s="2"/>
      <c r="Q376" s="31" t="s">
        <v>56</v>
      </c>
      <c r="R376" s="61">
        <f>+K376+K377+K378+K379+K380+K381+K382+K383+K384+K385+K386+K387+K388+K389+K390+K391+K392+K393+K394+K395+K396+K397+K398</f>
        <v>3518043.02</v>
      </c>
      <c r="S376" s="62"/>
      <c r="T376" s="5"/>
    </row>
    <row r="377" spans="1:20" hidden="1">
      <c r="A377" s="2" t="s">
        <v>199</v>
      </c>
      <c r="B377" s="2" t="s">
        <v>220</v>
      </c>
      <c r="C377" s="2" t="s">
        <v>60</v>
      </c>
      <c r="D377" s="16">
        <v>0</v>
      </c>
      <c r="E377" s="2" t="s">
        <v>199</v>
      </c>
      <c r="F377" s="2" t="s">
        <v>190</v>
      </c>
      <c r="G377" s="2" t="s">
        <v>221</v>
      </c>
      <c r="H377" s="17">
        <v>11407.2</v>
      </c>
      <c r="I377" s="2"/>
      <c r="J377" s="2"/>
      <c r="K377" s="17">
        <v>11407.2</v>
      </c>
      <c r="L377" s="17">
        <v>1222.2</v>
      </c>
      <c r="M377" s="17">
        <v>10185</v>
      </c>
      <c r="N377" s="17">
        <v>11407.2</v>
      </c>
      <c r="O377" s="2"/>
      <c r="P377" s="2"/>
      <c r="Q377" s="31" t="s">
        <v>56</v>
      </c>
      <c r="R377" s="62"/>
      <c r="S377" s="62"/>
      <c r="T377" s="5"/>
    </row>
    <row r="378" spans="1:20" hidden="1">
      <c r="A378" s="2" t="s">
        <v>199</v>
      </c>
      <c r="B378" s="2" t="s">
        <v>240</v>
      </c>
      <c r="C378" s="2" t="s">
        <v>60</v>
      </c>
      <c r="D378" s="16">
        <v>0</v>
      </c>
      <c r="E378" s="2" t="s">
        <v>199</v>
      </c>
      <c r="F378" s="2" t="s">
        <v>190</v>
      </c>
      <c r="G378" s="2" t="s">
        <v>241</v>
      </c>
      <c r="H378" s="17">
        <v>7760</v>
      </c>
      <c r="I378" s="2"/>
      <c r="J378" s="2"/>
      <c r="K378" s="17">
        <v>7760</v>
      </c>
      <c r="L378" s="18">
        <v>831.43</v>
      </c>
      <c r="M378" s="17">
        <v>6928.57</v>
      </c>
      <c r="N378" s="17">
        <v>7760</v>
      </c>
      <c r="O378" s="2"/>
      <c r="P378" s="2"/>
      <c r="Q378" s="31" t="s">
        <v>56</v>
      </c>
      <c r="R378" s="62"/>
      <c r="S378" s="62"/>
      <c r="T378" s="5"/>
    </row>
    <row r="379" spans="1:20" hidden="1">
      <c r="A379" s="2" t="s">
        <v>282</v>
      </c>
      <c r="B379" s="2" t="s">
        <v>361</v>
      </c>
      <c r="C379" s="2" t="s">
        <v>167</v>
      </c>
      <c r="D379" s="16">
        <v>90</v>
      </c>
      <c r="E379" s="2" t="s">
        <v>290</v>
      </c>
      <c r="F379" s="2" t="s">
        <v>190</v>
      </c>
      <c r="G379" s="2" t="s">
        <v>362</v>
      </c>
      <c r="H379" s="17">
        <v>260736</v>
      </c>
      <c r="I379" s="2"/>
      <c r="J379" s="2"/>
      <c r="K379" s="17">
        <v>260736</v>
      </c>
      <c r="L379" s="17">
        <v>27936</v>
      </c>
      <c r="M379" s="17">
        <v>232800</v>
      </c>
      <c r="N379" s="17">
        <v>260736</v>
      </c>
      <c r="O379" s="2"/>
      <c r="P379" s="2"/>
      <c r="Q379" s="31" t="s">
        <v>56</v>
      </c>
      <c r="R379" s="62"/>
      <c r="S379" s="62"/>
      <c r="T379" s="5"/>
    </row>
    <row r="380" spans="1:20" hidden="1">
      <c r="A380" s="2" t="s">
        <v>282</v>
      </c>
      <c r="B380" s="2" t="s">
        <v>365</v>
      </c>
      <c r="C380" s="2" t="s">
        <v>167</v>
      </c>
      <c r="D380" s="16">
        <v>90</v>
      </c>
      <c r="E380" s="2" t="s">
        <v>290</v>
      </c>
      <c r="F380" s="2" t="s">
        <v>190</v>
      </c>
      <c r="G380" s="2" t="s">
        <v>366</v>
      </c>
      <c r="H380" s="17">
        <v>229696</v>
      </c>
      <c r="I380" s="2"/>
      <c r="J380" s="2"/>
      <c r="K380" s="17">
        <v>229696</v>
      </c>
      <c r="L380" s="17">
        <v>24610.29</v>
      </c>
      <c r="M380" s="17">
        <v>205085.71</v>
      </c>
      <c r="N380" s="17">
        <v>229696</v>
      </c>
      <c r="O380" s="2"/>
      <c r="P380" s="2"/>
      <c r="Q380" s="31" t="s">
        <v>56</v>
      </c>
      <c r="R380" s="62"/>
      <c r="S380" s="62"/>
      <c r="T380" s="5"/>
    </row>
    <row r="381" spans="1:20" hidden="1">
      <c r="A381" s="2" t="s">
        <v>368</v>
      </c>
      <c r="B381" s="2" t="s">
        <v>386</v>
      </c>
      <c r="C381" s="2" t="s">
        <v>60</v>
      </c>
      <c r="D381" s="16">
        <v>0</v>
      </c>
      <c r="E381" s="2" t="s">
        <v>368</v>
      </c>
      <c r="F381" s="2" t="s">
        <v>190</v>
      </c>
      <c r="G381" s="2" t="s">
        <v>387</v>
      </c>
      <c r="H381" s="17">
        <v>208317.2</v>
      </c>
      <c r="I381" s="2"/>
      <c r="J381" s="2"/>
      <c r="K381" s="17">
        <v>208317.2</v>
      </c>
      <c r="L381" s="17">
        <v>22319.7</v>
      </c>
      <c r="M381" s="17">
        <v>185997.5</v>
      </c>
      <c r="N381" s="17">
        <v>208317.2</v>
      </c>
      <c r="O381" s="2"/>
      <c r="P381" s="2"/>
      <c r="Q381" s="31" t="s">
        <v>56</v>
      </c>
      <c r="R381" s="62"/>
      <c r="S381" s="62"/>
      <c r="T381" s="5"/>
    </row>
    <row r="382" spans="1:20" hidden="1">
      <c r="A382" s="2" t="s">
        <v>448</v>
      </c>
      <c r="B382" s="2" t="s">
        <v>492</v>
      </c>
      <c r="C382" s="2" t="s">
        <v>167</v>
      </c>
      <c r="D382" s="16">
        <v>90</v>
      </c>
      <c r="E382" s="2" t="s">
        <v>479</v>
      </c>
      <c r="F382" s="2" t="s">
        <v>190</v>
      </c>
      <c r="G382" s="2" t="s">
        <v>493</v>
      </c>
      <c r="H382" s="17">
        <v>270048</v>
      </c>
      <c r="I382" s="2"/>
      <c r="J382" s="2"/>
      <c r="K382" s="17">
        <v>270048</v>
      </c>
      <c r="L382" s="17">
        <v>28933.71</v>
      </c>
      <c r="M382" s="17">
        <v>241114.29</v>
      </c>
      <c r="N382" s="17">
        <v>270048</v>
      </c>
      <c r="O382" s="2"/>
      <c r="P382" s="2"/>
      <c r="Q382" s="31" t="s">
        <v>56</v>
      </c>
      <c r="R382" s="62"/>
      <c r="S382" s="62"/>
      <c r="T382" s="5"/>
    </row>
    <row r="383" spans="1:20" hidden="1">
      <c r="A383" s="2" t="s">
        <v>505</v>
      </c>
      <c r="B383" s="2" t="s">
        <v>526</v>
      </c>
      <c r="C383" s="2" t="s">
        <v>60</v>
      </c>
      <c r="D383" s="16">
        <v>0</v>
      </c>
      <c r="E383" s="2" t="s">
        <v>505</v>
      </c>
      <c r="F383" s="2" t="s">
        <v>190</v>
      </c>
      <c r="G383" s="2" t="s">
        <v>527</v>
      </c>
      <c r="H383" s="17">
        <v>32000</v>
      </c>
      <c r="I383" s="2"/>
      <c r="J383" s="2"/>
      <c r="K383" s="17">
        <v>32000</v>
      </c>
      <c r="L383" s="17">
        <v>3428.57</v>
      </c>
      <c r="M383" s="17">
        <v>28571.43</v>
      </c>
      <c r="N383" s="17">
        <v>32000</v>
      </c>
      <c r="O383" s="2"/>
      <c r="P383" s="2"/>
      <c r="Q383" s="31" t="s">
        <v>56</v>
      </c>
      <c r="R383" s="62"/>
      <c r="S383" s="62"/>
      <c r="T383" s="5"/>
    </row>
    <row r="384" spans="1:20" hidden="1">
      <c r="A384" s="2" t="s">
        <v>505</v>
      </c>
      <c r="B384" s="2" t="s">
        <v>531</v>
      </c>
      <c r="C384" s="2" t="s">
        <v>167</v>
      </c>
      <c r="D384" s="16">
        <v>90</v>
      </c>
      <c r="E384" s="2" t="s">
        <v>532</v>
      </c>
      <c r="F384" s="2" t="s">
        <v>190</v>
      </c>
      <c r="G384" s="2" t="s">
        <v>533</v>
      </c>
      <c r="H384" s="17">
        <v>470460</v>
      </c>
      <c r="I384" s="2"/>
      <c r="J384" s="2"/>
      <c r="K384" s="17">
        <v>470460</v>
      </c>
      <c r="L384" s="17">
        <v>50406.43</v>
      </c>
      <c r="M384" s="17">
        <v>420053.57</v>
      </c>
      <c r="N384" s="17">
        <v>470460</v>
      </c>
      <c r="O384" s="2"/>
      <c r="P384" s="2"/>
      <c r="Q384" s="31" t="s">
        <v>56</v>
      </c>
      <c r="R384" s="62"/>
      <c r="S384" s="62"/>
      <c r="T384" s="5"/>
    </row>
    <row r="385" spans="1:20" hidden="1">
      <c r="A385" s="2" t="s">
        <v>505</v>
      </c>
      <c r="B385" s="2" t="s">
        <v>534</v>
      </c>
      <c r="C385" s="2" t="s">
        <v>60</v>
      </c>
      <c r="D385" s="16">
        <v>0</v>
      </c>
      <c r="E385" s="2" t="s">
        <v>505</v>
      </c>
      <c r="F385" s="2" t="s">
        <v>190</v>
      </c>
      <c r="G385" s="2" t="s">
        <v>535</v>
      </c>
      <c r="H385" s="17">
        <v>98552</v>
      </c>
      <c r="I385" s="2"/>
      <c r="J385" s="2"/>
      <c r="K385" s="17">
        <v>98552</v>
      </c>
      <c r="L385" s="17">
        <v>10559.14</v>
      </c>
      <c r="M385" s="17">
        <v>87992.86</v>
      </c>
      <c r="N385" s="17">
        <v>98552</v>
      </c>
      <c r="O385" s="2"/>
      <c r="P385" s="2"/>
      <c r="Q385" s="31" t="s">
        <v>56</v>
      </c>
      <c r="R385" s="62"/>
      <c r="S385" s="62"/>
      <c r="T385" s="5"/>
    </row>
    <row r="386" spans="1:20" hidden="1">
      <c r="A386" s="2" t="s">
        <v>505</v>
      </c>
      <c r="B386" s="2" t="s">
        <v>536</v>
      </c>
      <c r="C386" s="2" t="s">
        <v>60</v>
      </c>
      <c r="D386" s="16">
        <v>0</v>
      </c>
      <c r="E386" s="2" t="s">
        <v>505</v>
      </c>
      <c r="F386" s="2" t="s">
        <v>190</v>
      </c>
      <c r="G386" s="2" t="s">
        <v>537</v>
      </c>
      <c r="H386" s="17">
        <v>78570</v>
      </c>
      <c r="I386" s="2"/>
      <c r="J386" s="2"/>
      <c r="K386" s="17">
        <v>78570</v>
      </c>
      <c r="L386" s="17">
        <v>8418.2099999999991</v>
      </c>
      <c r="M386" s="17">
        <v>70151.789999999994</v>
      </c>
      <c r="N386" s="17">
        <v>78570</v>
      </c>
      <c r="O386" s="2"/>
      <c r="P386" s="2"/>
      <c r="Q386" s="31" t="s">
        <v>56</v>
      </c>
      <c r="R386" s="62"/>
      <c r="S386" s="62"/>
      <c r="T386" s="5"/>
    </row>
    <row r="387" spans="1:20" hidden="1">
      <c r="A387" s="2" t="s">
        <v>505</v>
      </c>
      <c r="B387" s="2" t="s">
        <v>538</v>
      </c>
      <c r="C387" s="2" t="s">
        <v>60</v>
      </c>
      <c r="D387" s="16">
        <v>0</v>
      </c>
      <c r="E387" s="2" t="s">
        <v>505</v>
      </c>
      <c r="F387" s="2" t="s">
        <v>190</v>
      </c>
      <c r="G387" s="2" t="s">
        <v>539</v>
      </c>
      <c r="H387" s="17">
        <v>9506</v>
      </c>
      <c r="I387" s="2"/>
      <c r="J387" s="2"/>
      <c r="K387" s="17">
        <v>9506</v>
      </c>
      <c r="L387" s="17">
        <v>1018.5</v>
      </c>
      <c r="M387" s="17">
        <v>8487.5</v>
      </c>
      <c r="N387" s="17">
        <v>9506</v>
      </c>
      <c r="O387" s="2"/>
      <c r="P387" s="2"/>
      <c r="Q387" s="31" t="s">
        <v>56</v>
      </c>
      <c r="R387" s="62"/>
      <c r="S387" s="62"/>
      <c r="T387" s="5"/>
    </row>
    <row r="388" spans="1:20" hidden="1">
      <c r="A388" s="2" t="s">
        <v>505</v>
      </c>
      <c r="B388" s="2" t="s">
        <v>571</v>
      </c>
      <c r="C388" s="2" t="s">
        <v>167</v>
      </c>
      <c r="D388" s="16">
        <v>90</v>
      </c>
      <c r="E388" s="2" t="s">
        <v>532</v>
      </c>
      <c r="F388" s="2" t="s">
        <v>190</v>
      </c>
      <c r="G388" s="2" t="s">
        <v>572</v>
      </c>
      <c r="H388" s="17">
        <v>260736</v>
      </c>
      <c r="I388" s="2"/>
      <c r="J388" s="2"/>
      <c r="K388" s="17">
        <v>260736</v>
      </c>
      <c r="L388" s="17">
        <v>27936</v>
      </c>
      <c r="M388" s="17">
        <v>232800</v>
      </c>
      <c r="N388" s="17">
        <v>260736</v>
      </c>
      <c r="O388" s="2"/>
      <c r="P388" s="2"/>
      <c r="Q388" s="31" t="s">
        <v>56</v>
      </c>
      <c r="R388" s="62"/>
      <c r="S388" s="62"/>
      <c r="T388" s="5"/>
    </row>
    <row r="389" spans="1:20" hidden="1">
      <c r="A389" s="2" t="s">
        <v>596</v>
      </c>
      <c r="B389" s="2" t="s">
        <v>602</v>
      </c>
      <c r="C389" s="2" t="s">
        <v>167</v>
      </c>
      <c r="D389" s="16">
        <v>90</v>
      </c>
      <c r="E389" s="2" t="s">
        <v>597</v>
      </c>
      <c r="F389" s="2" t="s">
        <v>190</v>
      </c>
      <c r="G389" s="2" t="s">
        <v>603</v>
      </c>
      <c r="H389" s="17">
        <v>313116</v>
      </c>
      <c r="I389" s="2"/>
      <c r="J389" s="2"/>
      <c r="K389" s="17">
        <v>313116</v>
      </c>
      <c r="L389" s="17">
        <v>33548.14</v>
      </c>
      <c r="M389" s="17">
        <v>279567.86</v>
      </c>
      <c r="N389" s="17">
        <v>313116</v>
      </c>
      <c r="O389" s="2"/>
      <c r="P389" s="2"/>
      <c r="Q389" s="31" t="s">
        <v>56</v>
      </c>
      <c r="R389" s="62"/>
      <c r="S389" s="62"/>
      <c r="T389" s="5"/>
    </row>
    <row r="390" spans="1:20" hidden="1">
      <c r="A390" s="2" t="s">
        <v>637</v>
      </c>
      <c r="B390" s="2" t="s">
        <v>654</v>
      </c>
      <c r="C390" s="2" t="s">
        <v>167</v>
      </c>
      <c r="D390" s="16">
        <v>90</v>
      </c>
      <c r="E390" s="2" t="s">
        <v>655</v>
      </c>
      <c r="F390" s="2" t="s">
        <v>190</v>
      </c>
      <c r="G390" s="2" t="s">
        <v>656</v>
      </c>
      <c r="H390" s="17">
        <v>205540</v>
      </c>
      <c r="I390" s="2"/>
      <c r="J390" s="2"/>
      <c r="K390" s="17">
        <v>205540</v>
      </c>
      <c r="L390" s="17">
        <v>22022.14</v>
      </c>
      <c r="M390" s="17">
        <v>183517.86</v>
      </c>
      <c r="N390" s="17">
        <v>205540</v>
      </c>
      <c r="O390" s="2"/>
      <c r="P390" s="2"/>
      <c r="Q390" s="31" t="s">
        <v>56</v>
      </c>
      <c r="R390" s="62"/>
      <c r="S390" s="62"/>
      <c r="T390" s="5"/>
    </row>
    <row r="391" spans="1:20" hidden="1">
      <c r="A391" s="2" t="s">
        <v>915</v>
      </c>
      <c r="B391" s="2" t="s">
        <v>949</v>
      </c>
      <c r="C391" s="2" t="s">
        <v>60</v>
      </c>
      <c r="D391" s="16">
        <v>0</v>
      </c>
      <c r="E391" s="2" t="s">
        <v>915</v>
      </c>
      <c r="F391" s="2" t="s">
        <v>190</v>
      </c>
      <c r="G391" s="2" t="s">
        <v>950</v>
      </c>
      <c r="H391" s="17">
        <v>27760</v>
      </c>
      <c r="I391" s="2"/>
      <c r="J391" s="2"/>
      <c r="K391" s="17">
        <v>27760</v>
      </c>
      <c r="L391" s="17">
        <v>2974.29</v>
      </c>
      <c r="M391" s="17">
        <v>24785.71</v>
      </c>
      <c r="N391" s="17">
        <v>27760</v>
      </c>
      <c r="O391" s="2"/>
      <c r="P391" s="2"/>
      <c r="Q391" s="31" t="s">
        <v>56</v>
      </c>
      <c r="R391" s="62"/>
      <c r="S391" s="62"/>
      <c r="T391" s="5"/>
    </row>
    <row r="392" spans="1:20" hidden="1">
      <c r="A392" s="2" t="s">
        <v>971</v>
      </c>
      <c r="B392" s="2" t="s">
        <v>983</v>
      </c>
      <c r="C392" s="2" t="s">
        <v>60</v>
      </c>
      <c r="D392" s="16">
        <v>0</v>
      </c>
      <c r="E392" s="2" t="s">
        <v>971</v>
      </c>
      <c r="F392" s="2" t="s">
        <v>190</v>
      </c>
      <c r="G392" s="2" t="s">
        <v>984</v>
      </c>
      <c r="H392" s="17">
        <v>2489.9</v>
      </c>
      <c r="I392" s="2"/>
      <c r="J392" s="2"/>
      <c r="K392" s="17">
        <v>2489.9</v>
      </c>
      <c r="L392" s="18">
        <v>266.77</v>
      </c>
      <c r="M392" s="17">
        <v>2223.13</v>
      </c>
      <c r="N392" s="17">
        <v>2489.9</v>
      </c>
      <c r="O392" s="2"/>
      <c r="P392" s="2"/>
      <c r="Q392" s="31" t="s">
        <v>56</v>
      </c>
      <c r="R392" s="62"/>
      <c r="S392" s="62"/>
      <c r="T392" s="5"/>
    </row>
    <row r="393" spans="1:20" hidden="1">
      <c r="A393" s="2" t="s">
        <v>971</v>
      </c>
      <c r="B393" s="2" t="s">
        <v>1033</v>
      </c>
      <c r="C393" s="2" t="s">
        <v>60</v>
      </c>
      <c r="D393" s="16">
        <v>0</v>
      </c>
      <c r="E393" s="2" t="s">
        <v>971</v>
      </c>
      <c r="F393" s="2" t="s">
        <v>190</v>
      </c>
      <c r="G393" s="2" t="s">
        <v>1034</v>
      </c>
      <c r="H393" s="17">
        <v>165070.72</v>
      </c>
      <c r="I393" s="2"/>
      <c r="J393" s="2"/>
      <c r="K393" s="17">
        <v>165070.72</v>
      </c>
      <c r="L393" s="17">
        <v>17686.150000000001</v>
      </c>
      <c r="M393" s="17">
        <v>147384.57</v>
      </c>
      <c r="N393" s="17">
        <v>165070.72</v>
      </c>
      <c r="O393" s="2"/>
      <c r="P393" s="2"/>
      <c r="Q393" s="31" t="s">
        <v>56</v>
      </c>
      <c r="R393" s="62"/>
      <c r="S393" s="62"/>
      <c r="T393" s="5"/>
    </row>
    <row r="394" spans="1:20" hidden="1">
      <c r="A394" s="2" t="s">
        <v>1048</v>
      </c>
      <c r="B394" s="2" t="s">
        <v>1063</v>
      </c>
      <c r="C394" s="2" t="s">
        <v>167</v>
      </c>
      <c r="D394" s="16">
        <v>90</v>
      </c>
      <c r="E394" s="2" t="s">
        <v>1064</v>
      </c>
      <c r="F394" s="2" t="s">
        <v>190</v>
      </c>
      <c r="G394" s="2" t="s">
        <v>1065</v>
      </c>
      <c r="H394" s="17">
        <v>191136</v>
      </c>
      <c r="I394" s="2"/>
      <c r="J394" s="2"/>
      <c r="K394" s="17">
        <v>191136</v>
      </c>
      <c r="L394" s="17">
        <v>20478.86</v>
      </c>
      <c r="M394" s="17">
        <v>170657.14</v>
      </c>
      <c r="N394" s="17">
        <v>191136</v>
      </c>
      <c r="O394" s="2"/>
      <c r="P394" s="2"/>
      <c r="Q394" s="31" t="s">
        <v>56</v>
      </c>
      <c r="R394" s="62"/>
      <c r="S394" s="62"/>
      <c r="T394" s="5"/>
    </row>
    <row r="395" spans="1:20" hidden="1">
      <c r="A395" s="2" t="s">
        <v>1117</v>
      </c>
      <c r="B395" s="2" t="s">
        <v>1173</v>
      </c>
      <c r="C395" s="2" t="s">
        <v>60</v>
      </c>
      <c r="D395" s="16">
        <v>0</v>
      </c>
      <c r="E395" s="2" t="s">
        <v>1117</v>
      </c>
      <c r="F395" s="2" t="s">
        <v>190</v>
      </c>
      <c r="G395" s="2" t="s">
        <v>1174</v>
      </c>
      <c r="H395" s="17">
        <v>204476</v>
      </c>
      <c r="I395" s="2"/>
      <c r="J395" s="2"/>
      <c r="K395" s="17">
        <v>204476</v>
      </c>
      <c r="L395" s="17">
        <v>21908.14</v>
      </c>
      <c r="M395" s="17">
        <v>182567.86</v>
      </c>
      <c r="N395" s="17">
        <v>204476</v>
      </c>
      <c r="O395" s="2"/>
      <c r="P395" s="2"/>
      <c r="Q395" s="31" t="s">
        <v>56</v>
      </c>
      <c r="R395" s="62"/>
      <c r="S395" s="62"/>
      <c r="T395" s="5"/>
    </row>
    <row r="396" spans="1:20" hidden="1">
      <c r="A396" s="2" t="s">
        <v>1117</v>
      </c>
      <c r="B396" s="2" t="s">
        <v>1186</v>
      </c>
      <c r="C396" s="2" t="s">
        <v>60</v>
      </c>
      <c r="D396" s="16">
        <v>0</v>
      </c>
      <c r="E396" s="2" t="s">
        <v>1117</v>
      </c>
      <c r="F396" s="2" t="s">
        <v>190</v>
      </c>
      <c r="G396" s="2" t="s">
        <v>1187</v>
      </c>
      <c r="H396" s="17">
        <v>119504</v>
      </c>
      <c r="I396" s="2"/>
      <c r="J396" s="2"/>
      <c r="K396" s="17">
        <v>119504</v>
      </c>
      <c r="L396" s="17">
        <v>12804</v>
      </c>
      <c r="M396" s="17">
        <v>106700</v>
      </c>
      <c r="N396" s="17">
        <v>119504</v>
      </c>
      <c r="O396" s="2"/>
      <c r="P396" s="2"/>
      <c r="Q396" s="31" t="s">
        <v>56</v>
      </c>
      <c r="R396" s="62"/>
      <c r="S396" s="62"/>
      <c r="T396" s="5"/>
    </row>
    <row r="397" spans="1:20" hidden="1">
      <c r="A397" s="2" t="s">
        <v>1217</v>
      </c>
      <c r="B397" s="2" t="s">
        <v>1239</v>
      </c>
      <c r="C397" s="2" t="s">
        <v>60</v>
      </c>
      <c r="D397" s="16">
        <v>0</v>
      </c>
      <c r="E397" s="2" t="s">
        <v>1217</v>
      </c>
      <c r="F397" s="2" t="s">
        <v>190</v>
      </c>
      <c r="G397" s="2" t="s">
        <v>1240</v>
      </c>
      <c r="H397" s="17">
        <v>28240</v>
      </c>
      <c r="I397" s="2"/>
      <c r="J397" s="2"/>
      <c r="K397" s="17">
        <v>28240</v>
      </c>
      <c r="L397" s="17">
        <v>3025.71</v>
      </c>
      <c r="M397" s="17">
        <v>25214.29</v>
      </c>
      <c r="N397" s="17">
        <v>28240</v>
      </c>
      <c r="O397" s="2"/>
      <c r="P397" s="2"/>
      <c r="Q397" s="31" t="s">
        <v>56</v>
      </c>
      <c r="R397" s="62"/>
      <c r="S397" s="62"/>
      <c r="T397" s="5"/>
    </row>
    <row r="398" spans="1:20" hidden="1">
      <c r="A398" s="2" t="s">
        <v>1287</v>
      </c>
      <c r="B398" s="2" t="s">
        <v>1312</v>
      </c>
      <c r="C398" s="2" t="s">
        <v>60</v>
      </c>
      <c r="D398" s="16">
        <v>0</v>
      </c>
      <c r="E398" s="2" t="s">
        <v>1287</v>
      </c>
      <c r="F398" s="2" t="s">
        <v>190</v>
      </c>
      <c r="G398" s="2" t="s">
        <v>1313</v>
      </c>
      <c r="H398" s="17">
        <v>248990</v>
      </c>
      <c r="I398" s="2"/>
      <c r="J398" s="2"/>
      <c r="K398" s="17">
        <v>248990</v>
      </c>
      <c r="L398" s="17">
        <v>26677.5</v>
      </c>
      <c r="M398" s="17">
        <v>222312.5</v>
      </c>
      <c r="N398" s="17">
        <v>248990</v>
      </c>
      <c r="O398" s="2"/>
      <c r="P398" s="2"/>
      <c r="Q398" s="31" t="s">
        <v>56</v>
      </c>
      <c r="R398" s="63"/>
      <c r="S398" s="62"/>
      <c r="T398" s="5"/>
    </row>
    <row r="399" spans="1:20" hidden="1">
      <c r="A399" s="2" t="s">
        <v>199</v>
      </c>
      <c r="B399" s="2" t="s">
        <v>232</v>
      </c>
      <c r="C399" s="2" t="s">
        <v>162</v>
      </c>
      <c r="D399" s="16">
        <v>90</v>
      </c>
      <c r="E399" s="2" t="s">
        <v>233</v>
      </c>
      <c r="F399" s="2" t="s">
        <v>234</v>
      </c>
      <c r="G399" s="2" t="s">
        <v>235</v>
      </c>
      <c r="H399" s="17">
        <v>15682</v>
      </c>
      <c r="I399" s="2"/>
      <c r="J399" s="2"/>
      <c r="K399" s="17">
        <v>15682</v>
      </c>
      <c r="L399" s="17">
        <v>1680.21</v>
      </c>
      <c r="M399" s="17">
        <v>14001.79</v>
      </c>
      <c r="N399" s="17">
        <v>15682</v>
      </c>
      <c r="O399" s="2"/>
      <c r="P399" s="2"/>
      <c r="Q399" s="31" t="s">
        <v>56</v>
      </c>
      <c r="R399" s="32">
        <f>+K399</f>
        <v>15682</v>
      </c>
      <c r="S399" s="62"/>
      <c r="T399" s="5"/>
    </row>
    <row r="400" spans="1:20" hidden="1">
      <c r="A400" s="2" t="s">
        <v>93</v>
      </c>
      <c r="B400" s="2" t="s">
        <v>150</v>
      </c>
      <c r="C400" s="2" t="s">
        <v>151</v>
      </c>
      <c r="D400" s="16">
        <v>60</v>
      </c>
      <c r="E400" s="2" t="s">
        <v>136</v>
      </c>
      <c r="F400" s="2" t="s">
        <v>152</v>
      </c>
      <c r="G400" s="2" t="s">
        <v>153</v>
      </c>
      <c r="H400" s="17">
        <v>71884</v>
      </c>
      <c r="I400" s="2"/>
      <c r="J400" s="2"/>
      <c r="K400" s="17">
        <v>71884</v>
      </c>
      <c r="L400" s="17">
        <v>7701.86</v>
      </c>
      <c r="M400" s="17">
        <v>64182.14</v>
      </c>
      <c r="N400" s="17">
        <v>71884</v>
      </c>
      <c r="O400" s="2"/>
      <c r="P400" s="2"/>
      <c r="Q400" s="31" t="s">
        <v>56</v>
      </c>
      <c r="R400" s="61">
        <f>+K400+K401+K402+K403</f>
        <v>169929</v>
      </c>
      <c r="S400" s="62"/>
      <c r="T400" s="5"/>
    </row>
    <row r="401" spans="1:20" hidden="1">
      <c r="A401" s="2" t="s">
        <v>1048</v>
      </c>
      <c r="B401" s="2" t="s">
        <v>1066</v>
      </c>
      <c r="C401" s="2" t="s">
        <v>151</v>
      </c>
      <c r="D401" s="16">
        <v>60</v>
      </c>
      <c r="E401" s="2" t="s">
        <v>1067</v>
      </c>
      <c r="F401" s="2" t="s">
        <v>152</v>
      </c>
      <c r="G401" s="2" t="s">
        <v>1068</v>
      </c>
      <c r="H401" s="17">
        <v>68700</v>
      </c>
      <c r="I401" s="2"/>
      <c r="J401" s="2"/>
      <c r="K401" s="17">
        <v>68700</v>
      </c>
      <c r="L401" s="17">
        <v>7360.71</v>
      </c>
      <c r="M401" s="17">
        <v>61339.29</v>
      </c>
      <c r="N401" s="17">
        <v>68700</v>
      </c>
      <c r="O401" s="2"/>
      <c r="P401" s="2"/>
      <c r="Q401" s="31" t="s">
        <v>56</v>
      </c>
      <c r="R401" s="62"/>
      <c r="S401" s="62"/>
      <c r="T401" s="5"/>
    </row>
    <row r="402" spans="1:20" hidden="1">
      <c r="A402" s="2" t="s">
        <v>1048</v>
      </c>
      <c r="B402" s="2" t="s">
        <v>1069</v>
      </c>
      <c r="C402" s="2" t="s">
        <v>151</v>
      </c>
      <c r="D402" s="16">
        <v>60</v>
      </c>
      <c r="E402" s="2" t="s">
        <v>1067</v>
      </c>
      <c r="F402" s="2" t="s">
        <v>152</v>
      </c>
      <c r="G402" s="2" t="s">
        <v>1070</v>
      </c>
      <c r="H402" s="17">
        <v>7841</v>
      </c>
      <c r="I402" s="2"/>
      <c r="J402" s="2"/>
      <c r="K402" s="17">
        <v>7841</v>
      </c>
      <c r="L402" s="18">
        <v>840.11</v>
      </c>
      <c r="M402" s="17">
        <v>7000.89</v>
      </c>
      <c r="N402" s="17">
        <v>7841</v>
      </c>
      <c r="O402" s="2"/>
      <c r="P402" s="2"/>
      <c r="Q402" s="31" t="s">
        <v>56</v>
      </c>
      <c r="R402" s="62"/>
      <c r="S402" s="62"/>
      <c r="T402" s="5"/>
    </row>
    <row r="403" spans="1:20" hidden="1">
      <c r="A403" s="2" t="s">
        <v>1553</v>
      </c>
      <c r="B403" s="2" t="s">
        <v>1618</v>
      </c>
      <c r="C403" s="2" t="s">
        <v>151</v>
      </c>
      <c r="D403" s="16">
        <v>60</v>
      </c>
      <c r="E403" s="2" t="s">
        <v>1557</v>
      </c>
      <c r="F403" s="2" t="s">
        <v>152</v>
      </c>
      <c r="G403" s="2" t="s">
        <v>1619</v>
      </c>
      <c r="H403" s="17">
        <v>21504</v>
      </c>
      <c r="I403" s="2"/>
      <c r="J403" s="2"/>
      <c r="K403" s="17">
        <v>21504</v>
      </c>
      <c r="L403" s="17">
        <v>2304</v>
      </c>
      <c r="M403" s="17">
        <v>19200</v>
      </c>
      <c r="N403" s="17">
        <v>21504</v>
      </c>
      <c r="O403" s="2"/>
      <c r="P403" s="2"/>
      <c r="Q403" s="31" t="s">
        <v>56</v>
      </c>
      <c r="R403" s="63"/>
      <c r="S403" s="62"/>
      <c r="T403" s="5"/>
    </row>
    <row r="404" spans="1:20" hidden="1">
      <c r="A404" s="2" t="s">
        <v>282</v>
      </c>
      <c r="B404" s="2" t="s">
        <v>315</v>
      </c>
      <c r="C404" s="2" t="s">
        <v>151</v>
      </c>
      <c r="D404" s="16">
        <v>60</v>
      </c>
      <c r="E404" s="2" t="s">
        <v>286</v>
      </c>
      <c r="F404" s="2" t="s">
        <v>316</v>
      </c>
      <c r="G404" s="2" t="s">
        <v>317</v>
      </c>
      <c r="H404" s="17">
        <v>77013</v>
      </c>
      <c r="I404" s="2"/>
      <c r="J404" s="2"/>
      <c r="K404" s="17">
        <v>77013</v>
      </c>
      <c r="L404" s="17">
        <v>8251.39</v>
      </c>
      <c r="M404" s="17">
        <v>68761.61</v>
      </c>
      <c r="N404" s="17">
        <v>77013</v>
      </c>
      <c r="O404" s="2"/>
      <c r="P404" s="2"/>
      <c r="Q404" s="31" t="s">
        <v>56</v>
      </c>
      <c r="R404" s="32">
        <f>+K404</f>
        <v>77013</v>
      </c>
      <c r="S404" s="62"/>
      <c r="T404" s="5"/>
    </row>
    <row r="405" spans="1:20" hidden="1">
      <c r="A405" s="2" t="s">
        <v>637</v>
      </c>
      <c r="B405" s="2" t="s">
        <v>668</v>
      </c>
      <c r="C405" s="2" t="s">
        <v>151</v>
      </c>
      <c r="D405" s="16">
        <v>60</v>
      </c>
      <c r="E405" s="2" t="s">
        <v>659</v>
      </c>
      <c r="F405" s="2" t="s">
        <v>669</v>
      </c>
      <c r="G405" s="2" t="s">
        <v>670</v>
      </c>
      <c r="H405" s="17">
        <v>23500</v>
      </c>
      <c r="I405" s="2"/>
      <c r="J405" s="2"/>
      <c r="K405" s="17">
        <v>23500</v>
      </c>
      <c r="L405" s="17">
        <v>2517.86</v>
      </c>
      <c r="M405" s="17">
        <v>20982.14</v>
      </c>
      <c r="N405" s="17">
        <v>23500</v>
      </c>
      <c r="O405" s="2"/>
      <c r="P405" s="2"/>
      <c r="Q405" s="31" t="s">
        <v>56</v>
      </c>
      <c r="R405" s="32">
        <f>+K405</f>
        <v>23500</v>
      </c>
      <c r="S405" s="62"/>
      <c r="T405" s="5"/>
    </row>
    <row r="406" spans="1:20" hidden="1">
      <c r="A406" s="2" t="s">
        <v>769</v>
      </c>
      <c r="B406" s="2" t="s">
        <v>811</v>
      </c>
      <c r="C406" s="2" t="s">
        <v>73</v>
      </c>
      <c r="D406" s="16">
        <v>30</v>
      </c>
      <c r="E406" s="2" t="s">
        <v>805</v>
      </c>
      <c r="F406" s="2" t="s">
        <v>812</v>
      </c>
      <c r="G406" s="2" t="s">
        <v>813</v>
      </c>
      <c r="H406" s="17">
        <v>966395</v>
      </c>
      <c r="I406" s="2"/>
      <c r="J406" s="2"/>
      <c r="K406" s="17">
        <v>966395</v>
      </c>
      <c r="L406" s="17">
        <v>103542.32</v>
      </c>
      <c r="M406" s="17">
        <v>862852.68</v>
      </c>
      <c r="N406" s="17">
        <v>966395</v>
      </c>
      <c r="O406" s="2"/>
      <c r="P406" s="2"/>
      <c r="Q406" s="31" t="s">
        <v>56</v>
      </c>
      <c r="R406" s="61">
        <f>+K406+K407+K408+K409+K410+K411+K412</f>
        <v>1866726</v>
      </c>
      <c r="S406" s="62"/>
      <c r="T406" s="5"/>
    </row>
    <row r="407" spans="1:20" hidden="1">
      <c r="A407" s="2" t="s">
        <v>769</v>
      </c>
      <c r="B407" s="2" t="s">
        <v>848</v>
      </c>
      <c r="C407" s="2" t="s">
        <v>73</v>
      </c>
      <c r="D407" s="16">
        <v>30</v>
      </c>
      <c r="E407" s="2" t="s">
        <v>805</v>
      </c>
      <c r="F407" s="2" t="s">
        <v>812</v>
      </c>
      <c r="G407" s="2" t="s">
        <v>849</v>
      </c>
      <c r="H407" s="17">
        <v>127702</v>
      </c>
      <c r="I407" s="2"/>
      <c r="J407" s="2"/>
      <c r="K407" s="17">
        <v>127702</v>
      </c>
      <c r="L407" s="17">
        <v>13682.36</v>
      </c>
      <c r="M407" s="17">
        <v>114019.64</v>
      </c>
      <c r="N407" s="17">
        <v>127702</v>
      </c>
      <c r="O407" s="2"/>
      <c r="P407" s="2"/>
      <c r="Q407" s="31" t="s">
        <v>56</v>
      </c>
      <c r="R407" s="62"/>
      <c r="S407" s="62"/>
      <c r="T407" s="5"/>
    </row>
    <row r="408" spans="1:20" hidden="1">
      <c r="A408" s="2" t="s">
        <v>915</v>
      </c>
      <c r="B408" s="2" t="s">
        <v>914</v>
      </c>
      <c r="C408" s="2" t="s">
        <v>73</v>
      </c>
      <c r="D408" s="16">
        <v>30</v>
      </c>
      <c r="E408" s="2" t="s">
        <v>916</v>
      </c>
      <c r="F408" s="2" t="s">
        <v>812</v>
      </c>
      <c r="G408" s="2" t="s">
        <v>849</v>
      </c>
      <c r="H408" s="17">
        <v>127702</v>
      </c>
      <c r="I408" s="2"/>
      <c r="J408" s="2"/>
      <c r="K408" s="17">
        <v>127702</v>
      </c>
      <c r="L408" s="17">
        <v>13682.36</v>
      </c>
      <c r="M408" s="17">
        <v>114019.64</v>
      </c>
      <c r="N408" s="17">
        <v>127702</v>
      </c>
      <c r="O408" s="2"/>
      <c r="P408" s="2"/>
      <c r="Q408" s="31" t="s">
        <v>56</v>
      </c>
      <c r="R408" s="62"/>
      <c r="S408" s="62"/>
      <c r="T408" s="5"/>
    </row>
    <row r="409" spans="1:20" hidden="1">
      <c r="A409" s="2" t="s">
        <v>1217</v>
      </c>
      <c r="B409" s="2" t="s">
        <v>1278</v>
      </c>
      <c r="C409" s="2" t="s">
        <v>73</v>
      </c>
      <c r="D409" s="16">
        <v>30</v>
      </c>
      <c r="E409" s="2" t="s">
        <v>1231</v>
      </c>
      <c r="F409" s="2" t="s">
        <v>812</v>
      </c>
      <c r="G409" s="2" t="s">
        <v>1279</v>
      </c>
      <c r="H409" s="17">
        <v>147233</v>
      </c>
      <c r="I409" s="2"/>
      <c r="J409" s="2"/>
      <c r="K409" s="17">
        <v>147233</v>
      </c>
      <c r="L409" s="17">
        <v>15774.96</v>
      </c>
      <c r="M409" s="17">
        <v>131458.04</v>
      </c>
      <c r="N409" s="17">
        <v>147233</v>
      </c>
      <c r="O409" s="2"/>
      <c r="P409" s="2"/>
      <c r="Q409" s="31" t="s">
        <v>56</v>
      </c>
      <c r="R409" s="62"/>
      <c r="S409" s="62"/>
      <c r="T409" s="5"/>
    </row>
    <row r="410" spans="1:20" hidden="1">
      <c r="A410" s="2" t="s">
        <v>1467</v>
      </c>
      <c r="B410" s="2" t="s">
        <v>1491</v>
      </c>
      <c r="C410" s="2" t="s">
        <v>73</v>
      </c>
      <c r="D410" s="16">
        <v>30</v>
      </c>
      <c r="E410" s="2" t="s">
        <v>1492</v>
      </c>
      <c r="F410" s="2" t="s">
        <v>812</v>
      </c>
      <c r="G410" s="2" t="s">
        <v>1493</v>
      </c>
      <c r="H410" s="17">
        <v>217400</v>
      </c>
      <c r="I410" s="2"/>
      <c r="J410" s="2"/>
      <c r="K410" s="17">
        <v>217400</v>
      </c>
      <c r="L410" s="17">
        <v>23292.86</v>
      </c>
      <c r="M410" s="17">
        <v>194107.14</v>
      </c>
      <c r="N410" s="17">
        <v>217400</v>
      </c>
      <c r="O410" s="2"/>
      <c r="P410" s="2"/>
      <c r="Q410" s="31" t="s">
        <v>56</v>
      </c>
      <c r="R410" s="62"/>
      <c r="S410" s="62"/>
      <c r="T410" s="5"/>
    </row>
    <row r="411" spans="1:20" hidden="1">
      <c r="A411" s="2" t="s">
        <v>1553</v>
      </c>
      <c r="B411" s="2" t="s">
        <v>1577</v>
      </c>
      <c r="C411" s="2" t="s">
        <v>73</v>
      </c>
      <c r="D411" s="16">
        <v>30</v>
      </c>
      <c r="E411" s="2" t="s">
        <v>1569</v>
      </c>
      <c r="F411" s="2" t="s">
        <v>812</v>
      </c>
      <c r="G411" s="2" t="s">
        <v>1578</v>
      </c>
      <c r="H411" s="17">
        <v>33964</v>
      </c>
      <c r="I411" s="2"/>
      <c r="J411" s="2"/>
      <c r="K411" s="17">
        <v>33964</v>
      </c>
      <c r="L411" s="17">
        <v>3639</v>
      </c>
      <c r="M411" s="17">
        <v>30325</v>
      </c>
      <c r="N411" s="17">
        <v>33964</v>
      </c>
      <c r="O411" s="2"/>
      <c r="P411" s="2"/>
      <c r="Q411" s="31" t="s">
        <v>56</v>
      </c>
      <c r="R411" s="62"/>
      <c r="S411" s="62"/>
      <c r="T411" s="5"/>
    </row>
    <row r="412" spans="1:20" hidden="1">
      <c r="A412" s="2" t="s">
        <v>1553</v>
      </c>
      <c r="B412" s="2" t="s">
        <v>1597</v>
      </c>
      <c r="C412" s="2" t="s">
        <v>73</v>
      </c>
      <c r="D412" s="16">
        <v>30</v>
      </c>
      <c r="E412" s="2" t="s">
        <v>1569</v>
      </c>
      <c r="F412" s="2" t="s">
        <v>812</v>
      </c>
      <c r="G412" s="2" t="s">
        <v>1598</v>
      </c>
      <c r="H412" s="17">
        <v>246330</v>
      </c>
      <c r="I412" s="2"/>
      <c r="J412" s="2"/>
      <c r="K412" s="17">
        <v>246330</v>
      </c>
      <c r="L412" s="17">
        <v>26392.5</v>
      </c>
      <c r="M412" s="17">
        <v>219937.5</v>
      </c>
      <c r="N412" s="17">
        <v>246330</v>
      </c>
      <c r="O412" s="2"/>
      <c r="P412" s="2"/>
      <c r="Q412" s="31" t="s">
        <v>56</v>
      </c>
      <c r="R412" s="63"/>
      <c r="S412" s="62"/>
      <c r="T412" s="5"/>
    </row>
    <row r="413" spans="1:20" hidden="1">
      <c r="A413" s="2" t="s">
        <v>448</v>
      </c>
      <c r="B413" s="2" t="s">
        <v>456</v>
      </c>
      <c r="C413" s="2" t="s">
        <v>132</v>
      </c>
      <c r="D413" s="16">
        <v>0</v>
      </c>
      <c r="E413" s="2" t="s">
        <v>448</v>
      </c>
      <c r="F413" s="2" t="s">
        <v>457</v>
      </c>
      <c r="G413" s="2" t="s">
        <v>458</v>
      </c>
      <c r="H413" s="17">
        <v>7218</v>
      </c>
      <c r="I413" s="2"/>
      <c r="J413" s="2"/>
      <c r="K413" s="17">
        <v>7218</v>
      </c>
      <c r="L413" s="18">
        <v>773.36</v>
      </c>
      <c r="M413" s="17">
        <v>6444.64</v>
      </c>
      <c r="N413" s="17">
        <v>7218</v>
      </c>
      <c r="O413" s="2"/>
      <c r="P413" s="2"/>
      <c r="Q413" s="31" t="s">
        <v>56</v>
      </c>
      <c r="R413" s="61">
        <f>+K413+K414+K415+K416</f>
        <v>1902453</v>
      </c>
      <c r="S413" s="62"/>
      <c r="T413" s="5"/>
    </row>
    <row r="414" spans="1:20" hidden="1">
      <c r="A414" s="2" t="s">
        <v>448</v>
      </c>
      <c r="B414" s="2" t="s">
        <v>459</v>
      </c>
      <c r="C414" s="2" t="s">
        <v>18</v>
      </c>
      <c r="D414" s="16">
        <v>0</v>
      </c>
      <c r="E414" s="2" t="s">
        <v>448</v>
      </c>
      <c r="F414" s="2" t="s">
        <v>457</v>
      </c>
      <c r="G414" s="2" t="s">
        <v>460</v>
      </c>
      <c r="H414" s="17">
        <v>1897500</v>
      </c>
      <c r="I414" s="2"/>
      <c r="J414" s="20">
        <v>60000</v>
      </c>
      <c r="K414" s="17">
        <f>1897500-J414</f>
        <v>1837500</v>
      </c>
      <c r="L414" s="17">
        <v>203303.57</v>
      </c>
      <c r="M414" s="17">
        <v>1694196.43</v>
      </c>
      <c r="N414" s="17">
        <v>1897500</v>
      </c>
      <c r="O414" s="17" t="s">
        <v>1784</v>
      </c>
      <c r="P414" s="2" t="s">
        <v>1768</v>
      </c>
      <c r="Q414" s="31" t="s">
        <v>56</v>
      </c>
      <c r="R414" s="62"/>
      <c r="S414" s="62"/>
      <c r="T414" s="32">
        <f>+J414</f>
        <v>60000</v>
      </c>
    </row>
    <row r="415" spans="1:20" hidden="1">
      <c r="A415" s="2" t="s">
        <v>1217</v>
      </c>
      <c r="B415" s="2" t="s">
        <v>1252</v>
      </c>
      <c r="C415" s="2" t="s">
        <v>23</v>
      </c>
      <c r="D415" s="16">
        <v>30</v>
      </c>
      <c r="E415" s="2" t="s">
        <v>1231</v>
      </c>
      <c r="F415" s="2" t="s">
        <v>457</v>
      </c>
      <c r="G415" s="2" t="s">
        <v>1253</v>
      </c>
      <c r="H415" s="17">
        <v>9800</v>
      </c>
      <c r="I415" s="2"/>
      <c r="J415" s="2"/>
      <c r="K415" s="17">
        <v>9800</v>
      </c>
      <c r="L415" s="17">
        <v>1050</v>
      </c>
      <c r="M415" s="17">
        <v>8750</v>
      </c>
      <c r="N415" s="17">
        <v>9800</v>
      </c>
      <c r="O415" s="2"/>
      <c r="P415" s="2"/>
      <c r="Q415" s="31" t="s">
        <v>56</v>
      </c>
      <c r="R415" s="62"/>
      <c r="S415" s="62"/>
      <c r="T415" s="5"/>
    </row>
    <row r="416" spans="1:20" hidden="1">
      <c r="A416" s="2" t="s">
        <v>1287</v>
      </c>
      <c r="B416" s="2" t="s">
        <v>1328</v>
      </c>
      <c r="C416" s="2" t="s">
        <v>60</v>
      </c>
      <c r="D416" s="16">
        <v>0</v>
      </c>
      <c r="E416" s="2" t="s">
        <v>1287</v>
      </c>
      <c r="F416" s="2" t="s">
        <v>457</v>
      </c>
      <c r="G416" s="2" t="s">
        <v>1329</v>
      </c>
      <c r="H416" s="17">
        <v>47935</v>
      </c>
      <c r="I416" s="2"/>
      <c r="J416" s="2"/>
      <c r="K416" s="17">
        <v>47935</v>
      </c>
      <c r="L416" s="17">
        <v>5135.8900000000003</v>
      </c>
      <c r="M416" s="17">
        <v>42799.11</v>
      </c>
      <c r="N416" s="17">
        <v>47935</v>
      </c>
      <c r="O416" s="2"/>
      <c r="P416" s="2"/>
      <c r="Q416" s="31" t="s">
        <v>56</v>
      </c>
      <c r="R416" s="63"/>
      <c r="S416" s="62"/>
      <c r="T416" s="5"/>
    </row>
    <row r="417" spans="1:20" hidden="1">
      <c r="A417" s="2" t="s">
        <v>282</v>
      </c>
      <c r="B417" s="2" t="s">
        <v>344</v>
      </c>
      <c r="C417" s="2" t="s">
        <v>18</v>
      </c>
      <c r="D417" s="16">
        <v>0</v>
      </c>
      <c r="E417" s="2" t="s">
        <v>282</v>
      </c>
      <c r="F417" s="2" t="s">
        <v>345</v>
      </c>
      <c r="G417" s="2" t="s">
        <v>346</v>
      </c>
      <c r="H417" s="17">
        <v>116996</v>
      </c>
      <c r="I417" s="2"/>
      <c r="J417" s="2"/>
      <c r="K417" s="17">
        <v>116996</v>
      </c>
      <c r="L417" s="17">
        <v>12535.29</v>
      </c>
      <c r="M417" s="17">
        <v>104460.71</v>
      </c>
      <c r="N417" s="17">
        <v>116996</v>
      </c>
      <c r="O417" s="2"/>
      <c r="P417" s="2"/>
      <c r="Q417" s="31" t="s">
        <v>56</v>
      </c>
      <c r="R417" s="61">
        <f>+K417+K418</f>
        <v>158103</v>
      </c>
      <c r="S417" s="62"/>
      <c r="T417" s="5"/>
    </row>
    <row r="418" spans="1:20" hidden="1">
      <c r="A418" s="2" t="s">
        <v>368</v>
      </c>
      <c r="B418" s="2" t="s">
        <v>426</v>
      </c>
      <c r="C418" s="2" t="s">
        <v>18</v>
      </c>
      <c r="D418" s="16">
        <v>0</v>
      </c>
      <c r="E418" s="2" t="s">
        <v>368</v>
      </c>
      <c r="F418" s="2" t="s">
        <v>345</v>
      </c>
      <c r="G418" s="2" t="s">
        <v>427</v>
      </c>
      <c r="H418" s="17">
        <v>41107</v>
      </c>
      <c r="I418" s="2"/>
      <c r="J418" s="2"/>
      <c r="K418" s="17">
        <v>41107</v>
      </c>
      <c r="L418" s="17">
        <v>4404.32</v>
      </c>
      <c r="M418" s="17">
        <v>36702.68</v>
      </c>
      <c r="N418" s="17">
        <v>41107</v>
      </c>
      <c r="O418" s="2"/>
      <c r="P418" s="2"/>
      <c r="Q418" s="31" t="s">
        <v>56</v>
      </c>
      <c r="R418" s="63"/>
      <c r="S418" s="62"/>
      <c r="T418" s="5"/>
    </row>
    <row r="419" spans="1:20" hidden="1">
      <c r="A419" s="2" t="s">
        <v>17</v>
      </c>
      <c r="B419" s="2" t="s">
        <v>53</v>
      </c>
      <c r="C419" s="2" t="s">
        <v>54</v>
      </c>
      <c r="D419" s="16">
        <v>90</v>
      </c>
      <c r="E419" s="2" t="s">
        <v>55</v>
      </c>
      <c r="F419" s="2" t="s">
        <v>57</v>
      </c>
      <c r="G419" s="2" t="s">
        <v>58</v>
      </c>
      <c r="H419" s="17">
        <v>1176000</v>
      </c>
      <c r="I419" s="2"/>
      <c r="J419" s="2"/>
      <c r="K419" s="17">
        <v>1176000</v>
      </c>
      <c r="L419" s="17">
        <v>126000</v>
      </c>
      <c r="M419" s="17">
        <v>1050000</v>
      </c>
      <c r="N419" s="17">
        <v>1176000</v>
      </c>
      <c r="O419" s="2"/>
      <c r="P419" s="2"/>
      <c r="Q419" s="31" t="s">
        <v>56</v>
      </c>
      <c r="R419" s="32">
        <f>+K419</f>
        <v>1176000</v>
      </c>
      <c r="S419" s="62"/>
      <c r="T419" s="5"/>
    </row>
    <row r="420" spans="1:20" hidden="1">
      <c r="A420" s="2" t="s">
        <v>17</v>
      </c>
      <c r="B420" s="2" t="s">
        <v>59</v>
      </c>
      <c r="C420" s="2" t="s">
        <v>60</v>
      </c>
      <c r="D420" s="16">
        <v>0</v>
      </c>
      <c r="E420" s="2" t="s">
        <v>17</v>
      </c>
      <c r="F420" s="2" t="s">
        <v>61</v>
      </c>
      <c r="G420" s="2" t="s">
        <v>62</v>
      </c>
      <c r="H420" s="17">
        <v>26000</v>
      </c>
      <c r="I420" s="19">
        <v>-520</v>
      </c>
      <c r="J420" s="2"/>
      <c r="K420" s="17">
        <v>25480</v>
      </c>
      <c r="L420" s="17">
        <v>2730</v>
      </c>
      <c r="M420" s="17">
        <v>22750</v>
      </c>
      <c r="N420" s="17">
        <v>25480</v>
      </c>
      <c r="O420" s="2"/>
      <c r="P420" s="2"/>
      <c r="Q420" s="31" t="s">
        <v>56</v>
      </c>
      <c r="R420" s="61">
        <f>+K420+K421+K422+K423+K424</f>
        <v>353814.29999999993</v>
      </c>
      <c r="S420" s="62"/>
      <c r="T420" s="5"/>
    </row>
    <row r="421" spans="1:20" hidden="1">
      <c r="A421" s="2" t="s">
        <v>1372</v>
      </c>
      <c r="B421" s="2" t="s">
        <v>1391</v>
      </c>
      <c r="C421" s="2" t="s">
        <v>18</v>
      </c>
      <c r="D421" s="16">
        <v>0</v>
      </c>
      <c r="E421" s="2" t="s">
        <v>1372</v>
      </c>
      <c r="F421" s="2" t="s">
        <v>61</v>
      </c>
      <c r="G421" s="2" t="s">
        <v>1392</v>
      </c>
      <c r="H421" s="17">
        <v>256495</v>
      </c>
      <c r="I421" s="19">
        <v>-5129.8999999999996</v>
      </c>
      <c r="J421" s="2"/>
      <c r="K421" s="17">
        <v>251365.1</v>
      </c>
      <c r="L421" s="17">
        <v>26931.98</v>
      </c>
      <c r="M421" s="17">
        <v>224433.12</v>
      </c>
      <c r="N421" s="17">
        <v>251365.1</v>
      </c>
      <c r="O421" s="2"/>
      <c r="P421" s="2"/>
      <c r="Q421" s="31" t="s">
        <v>56</v>
      </c>
      <c r="R421" s="62"/>
      <c r="S421" s="62"/>
      <c r="T421" s="5"/>
    </row>
    <row r="422" spans="1:20" hidden="1">
      <c r="A422" s="2" t="s">
        <v>1372</v>
      </c>
      <c r="B422" s="2" t="s">
        <v>1430</v>
      </c>
      <c r="C422" s="2" t="s">
        <v>60</v>
      </c>
      <c r="D422" s="16">
        <v>0</v>
      </c>
      <c r="E422" s="2" t="s">
        <v>1372</v>
      </c>
      <c r="F422" s="2" t="s">
        <v>61</v>
      </c>
      <c r="G422" s="2" t="s">
        <v>1431</v>
      </c>
      <c r="H422" s="17">
        <v>27000</v>
      </c>
      <c r="I422" s="19">
        <v>-540</v>
      </c>
      <c r="J422" s="2"/>
      <c r="K422" s="17">
        <v>26460</v>
      </c>
      <c r="L422" s="17">
        <v>2835</v>
      </c>
      <c r="M422" s="17">
        <v>23625</v>
      </c>
      <c r="N422" s="17">
        <v>26460</v>
      </c>
      <c r="O422" s="2"/>
      <c r="P422" s="2"/>
      <c r="Q422" s="31" t="s">
        <v>56</v>
      </c>
      <c r="R422" s="62"/>
      <c r="S422" s="62"/>
      <c r="T422" s="5"/>
    </row>
    <row r="423" spans="1:20" hidden="1">
      <c r="A423" s="2" t="s">
        <v>1467</v>
      </c>
      <c r="B423" s="2" t="s">
        <v>1515</v>
      </c>
      <c r="C423" s="2" t="s">
        <v>60</v>
      </c>
      <c r="D423" s="16">
        <v>0</v>
      </c>
      <c r="E423" s="2" t="s">
        <v>1467</v>
      </c>
      <c r="F423" s="2" t="s">
        <v>61</v>
      </c>
      <c r="G423" s="2" t="s">
        <v>1516</v>
      </c>
      <c r="H423" s="17">
        <v>25770</v>
      </c>
      <c r="I423" s="19">
        <v>-515.4</v>
      </c>
      <c r="J423" s="2"/>
      <c r="K423" s="17">
        <v>25254.6</v>
      </c>
      <c r="L423" s="17">
        <v>2705.85</v>
      </c>
      <c r="M423" s="17">
        <v>22548.75</v>
      </c>
      <c r="N423" s="17">
        <v>25254.6</v>
      </c>
      <c r="O423" s="2"/>
      <c r="P423" s="2"/>
      <c r="Q423" s="31" t="s">
        <v>56</v>
      </c>
      <c r="R423" s="62"/>
      <c r="S423" s="62"/>
      <c r="T423" s="5"/>
    </row>
    <row r="424" spans="1:20" hidden="1">
      <c r="A424" s="2" t="s">
        <v>1467</v>
      </c>
      <c r="B424" s="2" t="s">
        <v>1530</v>
      </c>
      <c r="C424" s="2" t="s">
        <v>60</v>
      </c>
      <c r="D424" s="16">
        <v>0</v>
      </c>
      <c r="E424" s="2" t="s">
        <v>1467</v>
      </c>
      <c r="F424" s="2" t="s">
        <v>61</v>
      </c>
      <c r="G424" s="2" t="s">
        <v>1531</v>
      </c>
      <c r="H424" s="17">
        <v>25770</v>
      </c>
      <c r="I424" s="19">
        <v>-515.4</v>
      </c>
      <c r="J424" s="2"/>
      <c r="K424" s="17">
        <v>25254.6</v>
      </c>
      <c r="L424" s="17">
        <v>2705.85</v>
      </c>
      <c r="M424" s="17">
        <v>22548.75</v>
      </c>
      <c r="N424" s="17">
        <v>25254.6</v>
      </c>
      <c r="O424" s="2"/>
      <c r="P424" s="2"/>
      <c r="Q424" s="31" t="s">
        <v>56</v>
      </c>
      <c r="R424" s="63"/>
      <c r="S424" s="62"/>
      <c r="T424" s="5"/>
    </row>
    <row r="425" spans="1:20" hidden="1">
      <c r="A425" s="2" t="s">
        <v>971</v>
      </c>
      <c r="B425" s="2" t="s">
        <v>995</v>
      </c>
      <c r="C425" s="2" t="s">
        <v>60</v>
      </c>
      <c r="D425" s="16">
        <v>0</v>
      </c>
      <c r="E425" s="2" t="s">
        <v>971</v>
      </c>
      <c r="F425" s="2" t="s">
        <v>996</v>
      </c>
      <c r="G425" s="2" t="s">
        <v>997</v>
      </c>
      <c r="H425" s="17">
        <v>233990</v>
      </c>
      <c r="I425" s="2"/>
      <c r="J425" s="2"/>
      <c r="K425" s="17">
        <v>233990</v>
      </c>
      <c r="L425" s="17">
        <v>25070.36</v>
      </c>
      <c r="M425" s="17">
        <v>208919.64</v>
      </c>
      <c r="N425" s="17">
        <v>233990</v>
      </c>
      <c r="O425" s="2"/>
      <c r="P425" s="2"/>
      <c r="Q425" s="31" t="s">
        <v>56</v>
      </c>
      <c r="R425" s="61">
        <f>+K425+K426</f>
        <v>409270</v>
      </c>
      <c r="S425" s="62"/>
      <c r="T425" s="5"/>
    </row>
    <row r="426" spans="1:20" hidden="1">
      <c r="A426" s="2" t="s">
        <v>1467</v>
      </c>
      <c r="B426" s="2" t="s">
        <v>1481</v>
      </c>
      <c r="C426" s="2" t="s">
        <v>60</v>
      </c>
      <c r="D426" s="16">
        <v>0</v>
      </c>
      <c r="E426" s="2" t="s">
        <v>1467</v>
      </c>
      <c r="F426" s="2" t="s">
        <v>996</v>
      </c>
      <c r="G426" s="2" t="s">
        <v>1482</v>
      </c>
      <c r="H426" s="17">
        <v>175280</v>
      </c>
      <c r="I426" s="2"/>
      <c r="J426" s="2"/>
      <c r="K426" s="17">
        <v>175280</v>
      </c>
      <c r="L426" s="17">
        <v>18780</v>
      </c>
      <c r="M426" s="17">
        <v>156500</v>
      </c>
      <c r="N426" s="17">
        <v>175280</v>
      </c>
      <c r="O426" s="2"/>
      <c r="P426" s="2"/>
      <c r="Q426" s="31" t="s">
        <v>56</v>
      </c>
      <c r="R426" s="63"/>
      <c r="S426" s="62"/>
      <c r="T426" s="5"/>
    </row>
    <row r="427" spans="1:20" hidden="1">
      <c r="A427" s="2" t="s">
        <v>1287</v>
      </c>
      <c r="B427" s="2" t="s">
        <v>1299</v>
      </c>
      <c r="C427" s="2" t="s">
        <v>60</v>
      </c>
      <c r="D427" s="16">
        <v>0</v>
      </c>
      <c r="E427" s="2" t="s">
        <v>1287</v>
      </c>
      <c r="F427" s="2" t="s">
        <v>1300</v>
      </c>
      <c r="G427" s="2" t="s">
        <v>1301</v>
      </c>
      <c r="H427" s="17">
        <v>50875</v>
      </c>
      <c r="I427" s="2"/>
      <c r="J427" s="2"/>
      <c r="K427" s="17">
        <v>50875</v>
      </c>
      <c r="L427" s="17">
        <v>5450.89</v>
      </c>
      <c r="M427" s="17">
        <v>45424.11</v>
      </c>
      <c r="N427" s="17">
        <v>50875</v>
      </c>
      <c r="O427" s="2"/>
      <c r="P427" s="2"/>
      <c r="Q427" s="31" t="s">
        <v>56</v>
      </c>
      <c r="R427" s="61">
        <f>+K427+K428</f>
        <v>54415</v>
      </c>
      <c r="S427" s="62"/>
      <c r="T427" s="5"/>
    </row>
    <row r="428" spans="1:20" hidden="1">
      <c r="A428" s="2" t="s">
        <v>1287</v>
      </c>
      <c r="B428" s="2" t="s">
        <v>1302</v>
      </c>
      <c r="C428" s="2" t="s">
        <v>60</v>
      </c>
      <c r="D428" s="16">
        <v>0</v>
      </c>
      <c r="E428" s="2" t="s">
        <v>1287</v>
      </c>
      <c r="F428" s="2" t="s">
        <v>1300</v>
      </c>
      <c r="G428" s="2" t="s">
        <v>1303</v>
      </c>
      <c r="H428" s="17">
        <v>3540</v>
      </c>
      <c r="I428" s="2"/>
      <c r="J428" s="2"/>
      <c r="K428" s="17">
        <v>3540</v>
      </c>
      <c r="L428" s="18">
        <v>379.29</v>
      </c>
      <c r="M428" s="17">
        <v>3160.71</v>
      </c>
      <c r="N428" s="17">
        <v>3540</v>
      </c>
      <c r="O428" s="2"/>
      <c r="P428" s="2"/>
      <c r="Q428" s="31" t="s">
        <v>56</v>
      </c>
      <c r="R428" s="63"/>
      <c r="S428" s="62"/>
      <c r="T428" s="5"/>
    </row>
    <row r="429" spans="1:20" hidden="1">
      <c r="A429" s="2" t="s">
        <v>596</v>
      </c>
      <c r="B429" s="2" t="s">
        <v>604</v>
      </c>
      <c r="C429" s="2" t="s">
        <v>60</v>
      </c>
      <c r="D429" s="16">
        <v>0</v>
      </c>
      <c r="E429" s="2" t="s">
        <v>596</v>
      </c>
      <c r="F429" s="2" t="s">
        <v>605</v>
      </c>
      <c r="G429" s="2" t="s">
        <v>606</v>
      </c>
      <c r="H429" s="17">
        <v>117620</v>
      </c>
      <c r="I429" s="2"/>
      <c r="J429" s="2"/>
      <c r="K429" s="17">
        <v>117620</v>
      </c>
      <c r="L429" s="17">
        <v>12602.14</v>
      </c>
      <c r="M429" s="17">
        <v>105017.86</v>
      </c>
      <c r="N429" s="17">
        <v>117620</v>
      </c>
      <c r="O429" s="2"/>
      <c r="P429" s="2"/>
      <c r="Q429" s="31" t="s">
        <v>56</v>
      </c>
      <c r="R429" s="61">
        <f>+K429+K430+K431+K432+K433+K434+K435+K436</f>
        <v>3637774.09</v>
      </c>
      <c r="S429" s="62"/>
      <c r="T429" s="5"/>
    </row>
    <row r="430" spans="1:20" hidden="1">
      <c r="A430" s="2" t="s">
        <v>1217</v>
      </c>
      <c r="B430" s="2" t="s">
        <v>1266</v>
      </c>
      <c r="C430" s="2" t="s">
        <v>60</v>
      </c>
      <c r="D430" s="16">
        <v>0</v>
      </c>
      <c r="E430" s="2" t="s">
        <v>1217</v>
      </c>
      <c r="F430" s="2" t="s">
        <v>605</v>
      </c>
      <c r="G430" s="2" t="s">
        <v>1267</v>
      </c>
      <c r="H430" s="17">
        <v>1154454.3999999999</v>
      </c>
      <c r="I430" s="2"/>
      <c r="J430" s="2"/>
      <c r="K430" s="17">
        <v>1154454.3999999999</v>
      </c>
      <c r="L430" s="17">
        <v>123691.54</v>
      </c>
      <c r="M430" s="17">
        <v>1030762.86</v>
      </c>
      <c r="N430" s="17">
        <v>1154454.3999999999</v>
      </c>
      <c r="O430" s="2"/>
      <c r="P430" s="2"/>
      <c r="Q430" s="31" t="s">
        <v>56</v>
      </c>
      <c r="R430" s="62"/>
      <c r="S430" s="62"/>
      <c r="T430" s="5"/>
    </row>
    <row r="431" spans="1:20" hidden="1">
      <c r="A431" s="2" t="s">
        <v>1217</v>
      </c>
      <c r="B431" s="2" t="s">
        <v>1280</v>
      </c>
      <c r="C431" s="2" t="s">
        <v>60</v>
      </c>
      <c r="D431" s="16">
        <v>0</v>
      </c>
      <c r="E431" s="2" t="s">
        <v>1217</v>
      </c>
      <c r="F431" s="2" t="s">
        <v>605</v>
      </c>
      <c r="G431" s="2" t="s">
        <v>1281</v>
      </c>
      <c r="H431" s="17">
        <v>255000</v>
      </c>
      <c r="I431" s="2"/>
      <c r="J431" s="2"/>
      <c r="K431" s="17">
        <v>255000</v>
      </c>
      <c r="L431" s="17">
        <v>27321.43</v>
      </c>
      <c r="M431" s="17">
        <v>227678.57</v>
      </c>
      <c r="N431" s="17">
        <v>255000</v>
      </c>
      <c r="O431" s="2"/>
      <c r="P431" s="2"/>
      <c r="Q431" s="31" t="s">
        <v>56</v>
      </c>
      <c r="R431" s="62"/>
      <c r="S431" s="62"/>
      <c r="T431" s="5"/>
    </row>
    <row r="432" spans="1:20" hidden="1">
      <c r="A432" s="2" t="s">
        <v>1287</v>
      </c>
      <c r="B432" s="2" t="s">
        <v>1336</v>
      </c>
      <c r="C432" s="2" t="s">
        <v>60</v>
      </c>
      <c r="D432" s="16">
        <v>0</v>
      </c>
      <c r="E432" s="2" t="s">
        <v>1287</v>
      </c>
      <c r="F432" s="2" t="s">
        <v>605</v>
      </c>
      <c r="G432" s="2" t="s">
        <v>1337</v>
      </c>
      <c r="H432" s="17">
        <v>1126635.48</v>
      </c>
      <c r="I432" s="2"/>
      <c r="J432" s="2"/>
      <c r="K432" s="17">
        <v>1126635.48</v>
      </c>
      <c r="L432" s="17">
        <v>120710.94</v>
      </c>
      <c r="M432" s="17">
        <v>1005924.54</v>
      </c>
      <c r="N432" s="17">
        <v>1126635.48</v>
      </c>
      <c r="O432" s="2"/>
      <c r="P432" s="2"/>
      <c r="Q432" s="31" t="s">
        <v>56</v>
      </c>
      <c r="R432" s="62"/>
      <c r="S432" s="62"/>
      <c r="T432" s="5"/>
    </row>
    <row r="433" spans="1:20" hidden="1">
      <c r="A433" s="2" t="s">
        <v>1287</v>
      </c>
      <c r="B433" s="2" t="s">
        <v>1338</v>
      </c>
      <c r="C433" s="2" t="s">
        <v>60</v>
      </c>
      <c r="D433" s="16">
        <v>0</v>
      </c>
      <c r="E433" s="2" t="s">
        <v>1287</v>
      </c>
      <c r="F433" s="2" t="s">
        <v>605</v>
      </c>
      <c r="G433" s="2" t="s">
        <v>1339</v>
      </c>
      <c r="H433" s="17">
        <v>280110</v>
      </c>
      <c r="I433" s="2"/>
      <c r="J433" s="2"/>
      <c r="K433" s="17">
        <v>280110</v>
      </c>
      <c r="L433" s="17">
        <v>30011.79</v>
      </c>
      <c r="M433" s="17">
        <v>250098.21</v>
      </c>
      <c r="N433" s="17">
        <v>280110</v>
      </c>
      <c r="O433" s="2"/>
      <c r="P433" s="2"/>
      <c r="Q433" s="31" t="s">
        <v>56</v>
      </c>
      <c r="R433" s="62"/>
      <c r="S433" s="62"/>
      <c r="T433" s="5"/>
    </row>
    <row r="434" spans="1:20" hidden="1">
      <c r="A434" s="2" t="s">
        <v>1372</v>
      </c>
      <c r="B434" s="2" t="s">
        <v>1452</v>
      </c>
      <c r="C434" s="2" t="s">
        <v>60</v>
      </c>
      <c r="D434" s="16">
        <v>0</v>
      </c>
      <c r="E434" s="2" t="s">
        <v>1372</v>
      </c>
      <c r="F434" s="2" t="s">
        <v>605</v>
      </c>
      <c r="G434" s="2" t="s">
        <v>1453</v>
      </c>
      <c r="H434" s="17">
        <v>90409.05</v>
      </c>
      <c r="I434" s="2"/>
      <c r="J434" s="2"/>
      <c r="K434" s="17">
        <v>90409.05</v>
      </c>
      <c r="L434" s="17">
        <v>9686.68</v>
      </c>
      <c r="M434" s="17">
        <v>80722.37</v>
      </c>
      <c r="N434" s="17">
        <v>90409.05</v>
      </c>
      <c r="O434" s="2"/>
      <c r="P434" s="2"/>
      <c r="Q434" s="31" t="s">
        <v>56</v>
      </c>
      <c r="R434" s="62"/>
      <c r="S434" s="62"/>
      <c r="T434" s="5"/>
    </row>
    <row r="435" spans="1:20" hidden="1">
      <c r="A435" s="2" t="s">
        <v>1372</v>
      </c>
      <c r="B435" s="2" t="s">
        <v>1454</v>
      </c>
      <c r="C435" s="2" t="s">
        <v>60</v>
      </c>
      <c r="D435" s="16">
        <v>0</v>
      </c>
      <c r="E435" s="2" t="s">
        <v>1372</v>
      </c>
      <c r="F435" s="2" t="s">
        <v>605</v>
      </c>
      <c r="G435" s="2" t="s">
        <v>1455</v>
      </c>
      <c r="H435" s="17">
        <v>307545.40000000002</v>
      </c>
      <c r="I435" s="2"/>
      <c r="J435" s="2"/>
      <c r="K435" s="17">
        <v>307545.40000000002</v>
      </c>
      <c r="L435" s="17">
        <v>32951.29</v>
      </c>
      <c r="M435" s="17">
        <v>274594.11</v>
      </c>
      <c r="N435" s="17">
        <v>307545.40000000002</v>
      </c>
      <c r="O435" s="2"/>
      <c r="P435" s="2"/>
      <c r="Q435" s="31" t="s">
        <v>56</v>
      </c>
      <c r="R435" s="62"/>
      <c r="S435" s="62"/>
      <c r="T435" s="5"/>
    </row>
    <row r="436" spans="1:20" hidden="1">
      <c r="A436" s="2" t="s">
        <v>1467</v>
      </c>
      <c r="B436" s="2" t="s">
        <v>1520</v>
      </c>
      <c r="C436" s="2" t="s">
        <v>60</v>
      </c>
      <c r="D436" s="16">
        <v>0</v>
      </c>
      <c r="E436" s="2" t="s">
        <v>1467</v>
      </c>
      <c r="F436" s="2" t="s">
        <v>605</v>
      </c>
      <c r="G436" s="2" t="s">
        <v>1521</v>
      </c>
      <c r="H436" s="17">
        <v>305999.76</v>
      </c>
      <c r="I436" s="2"/>
      <c r="J436" s="2"/>
      <c r="K436" s="17">
        <v>305999.76</v>
      </c>
      <c r="L436" s="17">
        <v>32785.69</v>
      </c>
      <c r="M436" s="17">
        <v>273214.07</v>
      </c>
      <c r="N436" s="17">
        <v>305999.76</v>
      </c>
      <c r="O436" s="2"/>
      <c r="P436" s="2"/>
      <c r="Q436" s="31" t="s">
        <v>56</v>
      </c>
      <c r="R436" s="63"/>
      <c r="S436" s="62"/>
      <c r="T436" s="5"/>
    </row>
    <row r="437" spans="1:20" hidden="1">
      <c r="A437" s="2" t="s">
        <v>1217</v>
      </c>
      <c r="B437" s="2" t="s">
        <v>1244</v>
      </c>
      <c r="C437" s="2" t="s">
        <v>64</v>
      </c>
      <c r="D437" s="16">
        <v>30</v>
      </c>
      <c r="E437" s="2" t="s">
        <v>1231</v>
      </c>
      <c r="F437" s="2" t="s">
        <v>1245</v>
      </c>
      <c r="G437" s="2" t="s">
        <v>1246</v>
      </c>
      <c r="H437" s="17">
        <v>1442300</v>
      </c>
      <c r="I437" s="2"/>
      <c r="J437" s="2"/>
      <c r="K437" s="17">
        <v>1442300</v>
      </c>
      <c r="L437" s="17">
        <v>154532.14000000001</v>
      </c>
      <c r="M437" s="17">
        <v>1287767.8600000001</v>
      </c>
      <c r="N437" s="17">
        <v>1442300</v>
      </c>
      <c r="O437" s="2"/>
      <c r="P437" s="2"/>
      <c r="Q437" s="31" t="s">
        <v>56</v>
      </c>
      <c r="R437" s="32">
        <f>+K437</f>
        <v>1442300</v>
      </c>
      <c r="S437" s="62"/>
      <c r="T437" s="5"/>
    </row>
    <row r="438" spans="1:20" hidden="1">
      <c r="A438" s="2" t="s">
        <v>93</v>
      </c>
      <c r="B438" s="2" t="s">
        <v>145</v>
      </c>
      <c r="C438" s="2" t="s">
        <v>146</v>
      </c>
      <c r="D438" s="16">
        <v>90</v>
      </c>
      <c r="E438" s="2" t="s">
        <v>147</v>
      </c>
      <c r="F438" s="2" t="s">
        <v>148</v>
      </c>
      <c r="G438" s="2" t="s">
        <v>149</v>
      </c>
      <c r="H438" s="17">
        <v>91954.87</v>
      </c>
      <c r="I438" s="2"/>
      <c r="J438" s="2"/>
      <c r="K438" s="17">
        <v>91954.87</v>
      </c>
      <c r="L438" s="17">
        <v>9852.31</v>
      </c>
      <c r="M438" s="17">
        <v>82102.559999999998</v>
      </c>
      <c r="N438" s="17">
        <v>91954.87</v>
      </c>
      <c r="O438" s="2"/>
      <c r="P438" s="2"/>
      <c r="Q438" s="31" t="s">
        <v>69</v>
      </c>
      <c r="R438" s="41">
        <f>+K438</f>
        <v>91954.87</v>
      </c>
      <c r="S438" s="61">
        <f>+R438+R439+R446+R451+R457+R458+R460+R464+R469+R476+R477+R479+R480+R482+R483+R488+R490+R501</f>
        <v>43871956.170000002</v>
      </c>
      <c r="T438" s="5"/>
    </row>
    <row r="439" spans="1:20" hidden="1">
      <c r="A439" s="2" t="s">
        <v>93</v>
      </c>
      <c r="B439" s="2" t="s">
        <v>97</v>
      </c>
      <c r="C439" s="2" t="s">
        <v>98</v>
      </c>
      <c r="D439" s="16">
        <v>0</v>
      </c>
      <c r="E439" s="2" t="s">
        <v>93</v>
      </c>
      <c r="F439" s="2" t="s">
        <v>99</v>
      </c>
      <c r="G439" s="2" t="s">
        <v>100</v>
      </c>
      <c r="H439" s="17">
        <v>96500</v>
      </c>
      <c r="I439" s="19">
        <v>-2895</v>
      </c>
      <c r="J439" s="2"/>
      <c r="K439" s="17">
        <v>93605</v>
      </c>
      <c r="L439" s="17">
        <v>10029.11</v>
      </c>
      <c r="M439" s="17">
        <v>83575.89</v>
      </c>
      <c r="N439" s="17">
        <v>93605</v>
      </c>
      <c r="O439" s="2"/>
      <c r="P439" s="2"/>
      <c r="Q439" s="31" t="s">
        <v>69</v>
      </c>
      <c r="R439" s="64">
        <f>+K439+K440+K441+K442+K443+K444+K445</f>
        <v>1144163.5</v>
      </c>
      <c r="S439" s="62"/>
      <c r="T439" s="5"/>
    </row>
    <row r="440" spans="1:20" hidden="1">
      <c r="A440" s="2" t="s">
        <v>93</v>
      </c>
      <c r="B440" s="2" t="s">
        <v>101</v>
      </c>
      <c r="C440" s="2" t="s">
        <v>98</v>
      </c>
      <c r="D440" s="16">
        <v>0</v>
      </c>
      <c r="E440" s="2" t="s">
        <v>93</v>
      </c>
      <c r="F440" s="2" t="s">
        <v>99</v>
      </c>
      <c r="G440" s="2" t="s">
        <v>102</v>
      </c>
      <c r="H440" s="17">
        <v>205360</v>
      </c>
      <c r="I440" s="19">
        <v>-6160.8</v>
      </c>
      <c r="J440" s="2"/>
      <c r="K440" s="17">
        <v>199199.2</v>
      </c>
      <c r="L440" s="17">
        <v>21342.77</v>
      </c>
      <c r="M440" s="17">
        <v>177856.43</v>
      </c>
      <c r="N440" s="17">
        <v>199199.2</v>
      </c>
      <c r="O440" s="2"/>
      <c r="P440" s="2"/>
      <c r="Q440" s="31" t="s">
        <v>69</v>
      </c>
      <c r="R440" s="66"/>
      <c r="S440" s="62"/>
      <c r="T440" s="5"/>
    </row>
    <row r="441" spans="1:20" hidden="1">
      <c r="A441" s="2" t="s">
        <v>505</v>
      </c>
      <c r="B441" s="2" t="s">
        <v>511</v>
      </c>
      <c r="C441" s="2" t="s">
        <v>98</v>
      </c>
      <c r="D441" s="16">
        <v>0</v>
      </c>
      <c r="E441" s="2" t="s">
        <v>505</v>
      </c>
      <c r="F441" s="2" t="s">
        <v>99</v>
      </c>
      <c r="G441" s="2" t="s">
        <v>512</v>
      </c>
      <c r="H441" s="17">
        <v>47500</v>
      </c>
      <c r="I441" s="19">
        <v>-1425</v>
      </c>
      <c r="J441" s="2"/>
      <c r="K441" s="17">
        <v>46075</v>
      </c>
      <c r="L441" s="17">
        <v>4936.6099999999997</v>
      </c>
      <c r="M441" s="17">
        <v>41138.39</v>
      </c>
      <c r="N441" s="17">
        <v>46075</v>
      </c>
      <c r="O441" s="2"/>
      <c r="P441" s="2"/>
      <c r="Q441" s="31" t="s">
        <v>69</v>
      </c>
      <c r="R441" s="66"/>
      <c r="S441" s="62"/>
      <c r="T441" s="5"/>
    </row>
    <row r="442" spans="1:20" hidden="1">
      <c r="A442" s="2" t="s">
        <v>505</v>
      </c>
      <c r="B442" s="2" t="s">
        <v>513</v>
      </c>
      <c r="C442" s="2" t="s">
        <v>98</v>
      </c>
      <c r="D442" s="16">
        <v>0</v>
      </c>
      <c r="E442" s="2" t="s">
        <v>505</v>
      </c>
      <c r="F442" s="2" t="s">
        <v>99</v>
      </c>
      <c r="G442" s="2" t="s">
        <v>514</v>
      </c>
      <c r="H442" s="17">
        <v>348100</v>
      </c>
      <c r="I442" s="19">
        <v>-10443</v>
      </c>
      <c r="J442" s="2"/>
      <c r="K442" s="17">
        <v>337657</v>
      </c>
      <c r="L442" s="17">
        <v>36177.54</v>
      </c>
      <c r="M442" s="17">
        <v>301479.46000000002</v>
      </c>
      <c r="N442" s="17">
        <v>337657</v>
      </c>
      <c r="O442" s="2"/>
      <c r="P442" s="2"/>
      <c r="Q442" s="31" t="s">
        <v>69</v>
      </c>
      <c r="R442" s="66"/>
      <c r="S442" s="62"/>
      <c r="T442" s="5"/>
    </row>
    <row r="443" spans="1:20" hidden="1">
      <c r="A443" s="2" t="s">
        <v>505</v>
      </c>
      <c r="B443" s="2" t="s">
        <v>515</v>
      </c>
      <c r="C443" s="2" t="s">
        <v>98</v>
      </c>
      <c r="D443" s="16">
        <v>0</v>
      </c>
      <c r="E443" s="2" t="s">
        <v>505</v>
      </c>
      <c r="F443" s="2" t="s">
        <v>99</v>
      </c>
      <c r="G443" s="2" t="s">
        <v>516</v>
      </c>
      <c r="H443" s="17">
        <v>51340</v>
      </c>
      <c r="I443" s="19">
        <v>-1540.2</v>
      </c>
      <c r="J443" s="2"/>
      <c r="K443" s="17">
        <v>49799.8</v>
      </c>
      <c r="L443" s="17">
        <v>5335.69</v>
      </c>
      <c r="M443" s="17">
        <v>44464.11</v>
      </c>
      <c r="N443" s="17">
        <v>49799.8</v>
      </c>
      <c r="O443" s="2"/>
      <c r="P443" s="2"/>
      <c r="Q443" s="31" t="s">
        <v>69</v>
      </c>
      <c r="R443" s="66"/>
      <c r="S443" s="62"/>
      <c r="T443" s="5"/>
    </row>
    <row r="444" spans="1:20" hidden="1">
      <c r="A444" s="2" t="s">
        <v>866</v>
      </c>
      <c r="B444" s="2" t="s">
        <v>868</v>
      </c>
      <c r="C444" s="2" t="s">
        <v>98</v>
      </c>
      <c r="D444" s="16">
        <v>0</v>
      </c>
      <c r="E444" s="2" t="s">
        <v>866</v>
      </c>
      <c r="F444" s="2" t="s">
        <v>99</v>
      </c>
      <c r="G444" s="2" t="s">
        <v>869</v>
      </c>
      <c r="H444" s="17">
        <v>256700</v>
      </c>
      <c r="I444" s="19">
        <v>-7701</v>
      </c>
      <c r="J444" s="2"/>
      <c r="K444" s="17">
        <v>248999</v>
      </c>
      <c r="L444" s="17">
        <v>26678.46</v>
      </c>
      <c r="M444" s="17">
        <v>222320.54</v>
      </c>
      <c r="N444" s="17">
        <v>248999</v>
      </c>
      <c r="O444" s="2"/>
      <c r="P444" s="2"/>
      <c r="Q444" s="31" t="s">
        <v>69</v>
      </c>
      <c r="R444" s="66"/>
      <c r="S444" s="62"/>
      <c r="T444" s="5"/>
    </row>
    <row r="445" spans="1:20" hidden="1">
      <c r="A445" s="2" t="s">
        <v>1467</v>
      </c>
      <c r="B445" s="2" t="s">
        <v>1466</v>
      </c>
      <c r="C445" s="2" t="s">
        <v>98</v>
      </c>
      <c r="D445" s="16">
        <v>0</v>
      </c>
      <c r="E445" s="2" t="s">
        <v>1467</v>
      </c>
      <c r="F445" s="2" t="s">
        <v>99</v>
      </c>
      <c r="G445" s="2" t="s">
        <v>1468</v>
      </c>
      <c r="H445" s="17">
        <v>174050</v>
      </c>
      <c r="I445" s="19">
        <v>-5221.5</v>
      </c>
      <c r="J445" s="2"/>
      <c r="K445" s="17">
        <v>168828.5</v>
      </c>
      <c r="L445" s="17">
        <v>18088.77</v>
      </c>
      <c r="M445" s="17">
        <v>150739.73000000001</v>
      </c>
      <c r="N445" s="17">
        <v>168828.5</v>
      </c>
      <c r="O445" s="2"/>
      <c r="P445" s="2"/>
      <c r="Q445" s="31" t="s">
        <v>69</v>
      </c>
      <c r="R445" s="65"/>
      <c r="S445" s="62"/>
      <c r="T445" s="5"/>
    </row>
    <row r="446" spans="1:20" hidden="1">
      <c r="A446" s="2" t="s">
        <v>199</v>
      </c>
      <c r="B446" s="2" t="s">
        <v>276</v>
      </c>
      <c r="C446" s="2" t="s">
        <v>104</v>
      </c>
      <c r="D446" s="16">
        <v>0</v>
      </c>
      <c r="E446" s="2" t="s">
        <v>199</v>
      </c>
      <c r="F446" s="2" t="s">
        <v>277</v>
      </c>
      <c r="G446" s="2" t="s">
        <v>278</v>
      </c>
      <c r="H446" s="17">
        <v>39907</v>
      </c>
      <c r="I446" s="2"/>
      <c r="J446" s="2"/>
      <c r="K446" s="17">
        <v>39907</v>
      </c>
      <c r="L446" s="17">
        <v>4275.75</v>
      </c>
      <c r="M446" s="17">
        <v>35631.25</v>
      </c>
      <c r="N446" s="17">
        <v>39907</v>
      </c>
      <c r="O446" s="2"/>
      <c r="P446" s="2"/>
      <c r="Q446" s="31" t="s">
        <v>69</v>
      </c>
      <c r="R446" s="64">
        <f>+K446+K447+K448+K449+K450</f>
        <v>6405817</v>
      </c>
      <c r="S446" s="62"/>
      <c r="T446" s="5"/>
    </row>
    <row r="447" spans="1:20" hidden="1">
      <c r="A447" s="2" t="s">
        <v>689</v>
      </c>
      <c r="B447" s="2" t="s">
        <v>707</v>
      </c>
      <c r="C447" s="2" t="s">
        <v>104</v>
      </c>
      <c r="D447" s="16">
        <v>0</v>
      </c>
      <c r="E447" s="2" t="s">
        <v>689</v>
      </c>
      <c r="F447" s="2" t="s">
        <v>277</v>
      </c>
      <c r="G447" s="2" t="s">
        <v>708</v>
      </c>
      <c r="H447" s="17">
        <v>191660</v>
      </c>
      <c r="I447" s="2"/>
      <c r="J447" s="2"/>
      <c r="K447" s="17">
        <v>191660</v>
      </c>
      <c r="L447" s="17">
        <v>20535</v>
      </c>
      <c r="M447" s="17">
        <v>171125</v>
      </c>
      <c r="N447" s="17">
        <v>191660</v>
      </c>
      <c r="O447" s="2"/>
      <c r="P447" s="2"/>
      <c r="Q447" s="31" t="s">
        <v>69</v>
      </c>
      <c r="R447" s="66"/>
      <c r="S447" s="62"/>
      <c r="T447" s="5"/>
    </row>
    <row r="448" spans="1:20" hidden="1">
      <c r="A448" s="2" t="s">
        <v>769</v>
      </c>
      <c r="B448" s="2" t="s">
        <v>818</v>
      </c>
      <c r="C448" s="2" t="s">
        <v>104</v>
      </c>
      <c r="D448" s="16">
        <v>0</v>
      </c>
      <c r="E448" s="2" t="s">
        <v>769</v>
      </c>
      <c r="F448" s="2" t="s">
        <v>277</v>
      </c>
      <c r="G448" s="2" t="s">
        <v>819</v>
      </c>
      <c r="H448" s="17">
        <v>2179150</v>
      </c>
      <c r="I448" s="2"/>
      <c r="J448" s="2"/>
      <c r="K448" s="17">
        <v>2179150</v>
      </c>
      <c r="L448" s="17">
        <v>233480.36</v>
      </c>
      <c r="M448" s="17">
        <v>1945669.64</v>
      </c>
      <c r="N448" s="17">
        <v>2179150</v>
      </c>
      <c r="O448" s="2"/>
      <c r="P448" s="2"/>
      <c r="Q448" s="31" t="s">
        <v>69</v>
      </c>
      <c r="R448" s="66"/>
      <c r="S448" s="62"/>
      <c r="T448" s="5"/>
    </row>
    <row r="449" spans="1:20" hidden="1">
      <c r="A449" s="2" t="s">
        <v>1372</v>
      </c>
      <c r="B449" s="2" t="s">
        <v>1393</v>
      </c>
      <c r="C449" s="2" t="s">
        <v>104</v>
      </c>
      <c r="D449" s="16">
        <v>0</v>
      </c>
      <c r="E449" s="2" t="s">
        <v>1372</v>
      </c>
      <c r="F449" s="2" t="s">
        <v>277</v>
      </c>
      <c r="G449" s="2" t="s">
        <v>1394</v>
      </c>
      <c r="H449" s="17">
        <v>2179150</v>
      </c>
      <c r="I449" s="2"/>
      <c r="J449" s="2"/>
      <c r="K449" s="17">
        <v>2179150</v>
      </c>
      <c r="L449" s="17">
        <v>233480.36</v>
      </c>
      <c r="M449" s="17">
        <v>1945669.64</v>
      </c>
      <c r="N449" s="17">
        <v>2179150</v>
      </c>
      <c r="O449" s="2"/>
      <c r="P449" s="2"/>
      <c r="Q449" s="31" t="s">
        <v>69</v>
      </c>
      <c r="R449" s="66"/>
      <c r="S449" s="62"/>
      <c r="T449" s="5"/>
    </row>
    <row r="450" spans="1:20" hidden="1">
      <c r="A450" s="2" t="s">
        <v>1372</v>
      </c>
      <c r="B450" s="2" t="s">
        <v>1411</v>
      </c>
      <c r="C450" s="2" t="s">
        <v>104</v>
      </c>
      <c r="D450" s="16">
        <v>0</v>
      </c>
      <c r="E450" s="2" t="s">
        <v>1372</v>
      </c>
      <c r="F450" s="2" t="s">
        <v>277</v>
      </c>
      <c r="G450" s="2" t="s">
        <v>1412</v>
      </c>
      <c r="H450" s="17">
        <v>1815950</v>
      </c>
      <c r="I450" s="2"/>
      <c r="J450" s="2"/>
      <c r="K450" s="17">
        <v>1815950</v>
      </c>
      <c r="L450" s="17">
        <v>194566.07</v>
      </c>
      <c r="M450" s="17">
        <v>1621383.93</v>
      </c>
      <c r="N450" s="17">
        <v>1815950</v>
      </c>
      <c r="O450" s="2"/>
      <c r="P450" s="2"/>
      <c r="Q450" s="31" t="s">
        <v>69</v>
      </c>
      <c r="R450" s="65"/>
      <c r="S450" s="62"/>
      <c r="T450" s="5"/>
    </row>
    <row r="451" spans="1:20" hidden="1">
      <c r="A451" s="2" t="s">
        <v>199</v>
      </c>
      <c r="B451" s="2" t="s">
        <v>252</v>
      </c>
      <c r="C451" s="2" t="s">
        <v>68</v>
      </c>
      <c r="D451" s="16">
        <v>60</v>
      </c>
      <c r="E451" s="2" t="s">
        <v>200</v>
      </c>
      <c r="F451" s="2" t="s">
        <v>253</v>
      </c>
      <c r="G451" s="2" t="s">
        <v>254</v>
      </c>
      <c r="H451" s="17">
        <v>219190</v>
      </c>
      <c r="I451" s="2"/>
      <c r="J451" s="2"/>
      <c r="K451" s="17">
        <v>219190</v>
      </c>
      <c r="L451" s="17">
        <v>23484.639999999999</v>
      </c>
      <c r="M451" s="17">
        <v>195705.36</v>
      </c>
      <c r="N451" s="17">
        <v>219190</v>
      </c>
      <c r="O451" s="2"/>
      <c r="P451" s="2"/>
      <c r="Q451" s="31" t="s">
        <v>69</v>
      </c>
      <c r="R451" s="64">
        <f>+K451+K452+K453+K454+K455+K456</f>
        <v>2176670</v>
      </c>
      <c r="S451" s="62"/>
      <c r="T451" s="5"/>
    </row>
    <row r="452" spans="1:20" hidden="1">
      <c r="A452" s="2" t="s">
        <v>199</v>
      </c>
      <c r="B452" s="2" t="s">
        <v>255</v>
      </c>
      <c r="C452" s="2" t="s">
        <v>68</v>
      </c>
      <c r="D452" s="16">
        <v>60</v>
      </c>
      <c r="E452" s="2" t="s">
        <v>200</v>
      </c>
      <c r="F452" s="2" t="s">
        <v>253</v>
      </c>
      <c r="G452" s="2" t="s">
        <v>256</v>
      </c>
      <c r="H452" s="17">
        <v>255015</v>
      </c>
      <c r="I452" s="2"/>
      <c r="J452" s="2"/>
      <c r="K452" s="17">
        <v>255015</v>
      </c>
      <c r="L452" s="17">
        <v>27323.040000000001</v>
      </c>
      <c r="M452" s="17">
        <v>227691.96</v>
      </c>
      <c r="N452" s="17">
        <v>255015</v>
      </c>
      <c r="O452" s="2"/>
      <c r="P452" s="2"/>
      <c r="Q452" s="31" t="s">
        <v>69</v>
      </c>
      <c r="R452" s="66"/>
      <c r="S452" s="62"/>
      <c r="T452" s="5"/>
    </row>
    <row r="453" spans="1:20" hidden="1">
      <c r="A453" s="2" t="s">
        <v>199</v>
      </c>
      <c r="B453" s="2" t="s">
        <v>257</v>
      </c>
      <c r="C453" s="2" t="s">
        <v>68</v>
      </c>
      <c r="D453" s="16">
        <v>60</v>
      </c>
      <c r="E453" s="2" t="s">
        <v>200</v>
      </c>
      <c r="F453" s="2" t="s">
        <v>253</v>
      </c>
      <c r="G453" s="2" t="s">
        <v>258</v>
      </c>
      <c r="H453" s="17">
        <v>264015</v>
      </c>
      <c r="I453" s="2"/>
      <c r="J453" s="2"/>
      <c r="K453" s="17">
        <v>264015</v>
      </c>
      <c r="L453" s="17">
        <v>28287.32</v>
      </c>
      <c r="M453" s="17">
        <v>235727.68</v>
      </c>
      <c r="N453" s="17">
        <v>264015</v>
      </c>
      <c r="O453" s="2"/>
      <c r="P453" s="2"/>
      <c r="Q453" s="31" t="s">
        <v>69</v>
      </c>
      <c r="R453" s="66"/>
      <c r="S453" s="62"/>
      <c r="T453" s="5"/>
    </row>
    <row r="454" spans="1:20" hidden="1">
      <c r="A454" s="2" t="s">
        <v>199</v>
      </c>
      <c r="B454" s="2" t="s">
        <v>259</v>
      </c>
      <c r="C454" s="2" t="s">
        <v>68</v>
      </c>
      <c r="D454" s="16">
        <v>60</v>
      </c>
      <c r="E454" s="2" t="s">
        <v>200</v>
      </c>
      <c r="F454" s="2" t="s">
        <v>253</v>
      </c>
      <c r="G454" s="2" t="s">
        <v>260</v>
      </c>
      <c r="H454" s="17">
        <v>168550</v>
      </c>
      <c r="I454" s="2"/>
      <c r="J454" s="2"/>
      <c r="K454" s="17">
        <v>168550</v>
      </c>
      <c r="L454" s="17">
        <v>18058.93</v>
      </c>
      <c r="M454" s="17">
        <v>150491.07</v>
      </c>
      <c r="N454" s="17">
        <v>168550</v>
      </c>
      <c r="O454" s="2"/>
      <c r="P454" s="2"/>
      <c r="Q454" s="31" t="s">
        <v>69</v>
      </c>
      <c r="R454" s="66"/>
      <c r="S454" s="62"/>
      <c r="T454" s="5"/>
    </row>
    <row r="455" spans="1:20" hidden="1">
      <c r="A455" s="2" t="s">
        <v>199</v>
      </c>
      <c r="B455" s="2" t="s">
        <v>261</v>
      </c>
      <c r="C455" s="2" t="s">
        <v>68</v>
      </c>
      <c r="D455" s="16">
        <v>60</v>
      </c>
      <c r="E455" s="2" t="s">
        <v>200</v>
      </c>
      <c r="F455" s="2" t="s">
        <v>253</v>
      </c>
      <c r="G455" s="2" t="s">
        <v>262</v>
      </c>
      <c r="H455" s="17">
        <v>228290</v>
      </c>
      <c r="I455" s="2"/>
      <c r="J455" s="2"/>
      <c r="K455" s="17">
        <v>228290</v>
      </c>
      <c r="L455" s="17">
        <v>24459.64</v>
      </c>
      <c r="M455" s="17">
        <v>203830.36</v>
      </c>
      <c r="N455" s="17">
        <v>228290</v>
      </c>
      <c r="O455" s="2"/>
      <c r="P455" s="2"/>
      <c r="Q455" s="31" t="s">
        <v>69</v>
      </c>
      <c r="R455" s="66"/>
      <c r="S455" s="62"/>
      <c r="T455" s="5"/>
    </row>
    <row r="456" spans="1:20" hidden="1">
      <c r="A456" s="2" t="s">
        <v>1287</v>
      </c>
      <c r="B456" s="2" t="s">
        <v>1351</v>
      </c>
      <c r="C456" s="2" t="s">
        <v>151</v>
      </c>
      <c r="D456" s="16">
        <v>60</v>
      </c>
      <c r="E456" s="2" t="s">
        <v>1331</v>
      </c>
      <c r="F456" s="2" t="s">
        <v>253</v>
      </c>
      <c r="G456" s="2" t="s">
        <v>1352</v>
      </c>
      <c r="H456" s="17">
        <v>1041610</v>
      </c>
      <c r="I456" s="2"/>
      <c r="J456" s="2"/>
      <c r="K456" s="17">
        <v>1041610</v>
      </c>
      <c r="L456" s="17">
        <v>111601.07</v>
      </c>
      <c r="M456" s="17">
        <v>930008.93</v>
      </c>
      <c r="N456" s="17">
        <v>1041610</v>
      </c>
      <c r="O456" s="2"/>
      <c r="P456" s="2"/>
      <c r="Q456" s="31" t="s">
        <v>69</v>
      </c>
      <c r="R456" s="65"/>
      <c r="S456" s="62"/>
      <c r="T456" s="5"/>
    </row>
    <row r="457" spans="1:20" hidden="1">
      <c r="A457" s="2" t="s">
        <v>368</v>
      </c>
      <c r="B457" s="2" t="s">
        <v>419</v>
      </c>
      <c r="C457" s="2" t="s">
        <v>73</v>
      </c>
      <c r="D457" s="16">
        <v>30</v>
      </c>
      <c r="E457" s="2" t="s">
        <v>370</v>
      </c>
      <c r="F457" s="2" t="s">
        <v>420</v>
      </c>
      <c r="G457" s="2" t="s">
        <v>421</v>
      </c>
      <c r="H457" s="17">
        <v>140025</v>
      </c>
      <c r="I457" s="2"/>
      <c r="J457" s="17">
        <v>25000</v>
      </c>
      <c r="K457" s="17">
        <f>165025-J457</f>
        <v>140025</v>
      </c>
      <c r="L457" s="17">
        <v>17681.25</v>
      </c>
      <c r="M457" s="17">
        <v>147343.75</v>
      </c>
      <c r="N457" s="17">
        <v>165025</v>
      </c>
      <c r="O457" s="2" t="s">
        <v>1784</v>
      </c>
      <c r="P457" s="2" t="s">
        <v>1771</v>
      </c>
      <c r="Q457" s="31" t="s">
        <v>69</v>
      </c>
      <c r="R457" s="41">
        <f>+K457</f>
        <v>140025</v>
      </c>
      <c r="S457" s="62"/>
      <c r="T457" s="32">
        <f>+J457</f>
        <v>25000</v>
      </c>
    </row>
    <row r="458" spans="1:20" hidden="1">
      <c r="A458" s="2" t="s">
        <v>1467</v>
      </c>
      <c r="B458" s="2" t="s">
        <v>1517</v>
      </c>
      <c r="C458" s="2" t="s">
        <v>151</v>
      </c>
      <c r="D458" s="16">
        <v>60</v>
      </c>
      <c r="E458" s="2" t="s">
        <v>1495</v>
      </c>
      <c r="F458" s="2" t="s">
        <v>1518</v>
      </c>
      <c r="G458" s="2" t="s">
        <v>1519</v>
      </c>
      <c r="H458" s="17">
        <v>159600</v>
      </c>
      <c r="I458" s="2"/>
      <c r="J458" s="2"/>
      <c r="K458" s="17">
        <v>159600</v>
      </c>
      <c r="L458" s="17">
        <v>17100</v>
      </c>
      <c r="M458" s="17">
        <v>142500</v>
      </c>
      <c r="N458" s="17">
        <v>159600</v>
      </c>
      <c r="O458" s="2"/>
      <c r="P458" s="2"/>
      <c r="Q458" s="31" t="s">
        <v>69</v>
      </c>
      <c r="R458" s="64">
        <f>+K458+K459</f>
        <v>390600</v>
      </c>
      <c r="S458" s="62"/>
      <c r="T458" s="5"/>
    </row>
    <row r="459" spans="1:20" hidden="1">
      <c r="A459" s="2" t="s">
        <v>1553</v>
      </c>
      <c r="B459" s="2" t="s">
        <v>1556</v>
      </c>
      <c r="C459" s="2" t="s">
        <v>151</v>
      </c>
      <c r="D459" s="16">
        <v>60</v>
      </c>
      <c r="E459" s="2" t="s">
        <v>1557</v>
      </c>
      <c r="F459" s="2" t="s">
        <v>1518</v>
      </c>
      <c r="G459" s="2" t="s">
        <v>1558</v>
      </c>
      <c r="H459" s="17">
        <v>231000</v>
      </c>
      <c r="I459" s="2"/>
      <c r="J459" s="2"/>
      <c r="K459" s="17">
        <v>231000</v>
      </c>
      <c r="L459" s="17">
        <v>24750</v>
      </c>
      <c r="M459" s="17">
        <v>206250</v>
      </c>
      <c r="N459" s="17">
        <v>231000</v>
      </c>
      <c r="O459" s="2"/>
      <c r="P459" s="2"/>
      <c r="Q459" s="31" t="s">
        <v>69</v>
      </c>
      <c r="R459" s="65"/>
      <c r="S459" s="62"/>
      <c r="T459" s="5"/>
    </row>
    <row r="460" spans="1:20" hidden="1">
      <c r="A460" s="2" t="s">
        <v>769</v>
      </c>
      <c r="B460" s="2" t="s">
        <v>778</v>
      </c>
      <c r="C460" s="2" t="s">
        <v>779</v>
      </c>
      <c r="D460" s="16">
        <v>0</v>
      </c>
      <c r="E460" s="2" t="s">
        <v>769</v>
      </c>
      <c r="F460" s="2" t="s">
        <v>780</v>
      </c>
      <c r="G460" s="2" t="s">
        <v>781</v>
      </c>
      <c r="H460" s="17">
        <v>443290</v>
      </c>
      <c r="I460" s="2"/>
      <c r="J460" s="2"/>
      <c r="K460" s="17">
        <v>443290</v>
      </c>
      <c r="L460" s="17">
        <v>47495.360000000001</v>
      </c>
      <c r="M460" s="17">
        <v>395794.64</v>
      </c>
      <c r="N460" s="17">
        <v>443290</v>
      </c>
      <c r="O460" s="2"/>
      <c r="P460" s="2"/>
      <c r="Q460" s="31" t="s">
        <v>69</v>
      </c>
      <c r="R460" s="64">
        <f>+K460+K461+K462+K463</f>
        <v>1492153</v>
      </c>
      <c r="S460" s="62"/>
      <c r="T460" s="5"/>
    </row>
    <row r="461" spans="1:20" hidden="1">
      <c r="A461" s="2" t="s">
        <v>769</v>
      </c>
      <c r="B461" s="2" t="s">
        <v>782</v>
      </c>
      <c r="C461" s="2" t="s">
        <v>779</v>
      </c>
      <c r="D461" s="16">
        <v>0</v>
      </c>
      <c r="E461" s="2" t="s">
        <v>769</v>
      </c>
      <c r="F461" s="2" t="s">
        <v>780</v>
      </c>
      <c r="G461" s="2" t="s">
        <v>783</v>
      </c>
      <c r="H461" s="17">
        <v>353465</v>
      </c>
      <c r="I461" s="2"/>
      <c r="J461" s="2"/>
      <c r="K461" s="17">
        <v>353465</v>
      </c>
      <c r="L461" s="17">
        <v>37871.25</v>
      </c>
      <c r="M461" s="17">
        <v>315593.75</v>
      </c>
      <c r="N461" s="17">
        <v>353465</v>
      </c>
      <c r="O461" s="2"/>
      <c r="P461" s="2"/>
      <c r="Q461" s="31" t="s">
        <v>69</v>
      </c>
      <c r="R461" s="66"/>
      <c r="S461" s="62"/>
      <c r="T461" s="5"/>
    </row>
    <row r="462" spans="1:20" hidden="1">
      <c r="A462" s="2" t="s">
        <v>769</v>
      </c>
      <c r="B462" s="2" t="s">
        <v>784</v>
      </c>
      <c r="C462" s="2" t="s">
        <v>779</v>
      </c>
      <c r="D462" s="16">
        <v>0</v>
      </c>
      <c r="E462" s="2" t="s">
        <v>769</v>
      </c>
      <c r="F462" s="2" t="s">
        <v>780</v>
      </c>
      <c r="G462" s="2" t="s">
        <v>785</v>
      </c>
      <c r="H462" s="17">
        <v>94498</v>
      </c>
      <c r="I462" s="2"/>
      <c r="J462" s="2"/>
      <c r="K462" s="17">
        <v>94498</v>
      </c>
      <c r="L462" s="17">
        <v>10124.790000000001</v>
      </c>
      <c r="M462" s="17">
        <v>84373.21</v>
      </c>
      <c r="N462" s="17">
        <v>94498</v>
      </c>
      <c r="O462" s="2"/>
      <c r="P462" s="2"/>
      <c r="Q462" s="31" t="s">
        <v>69</v>
      </c>
      <c r="R462" s="66"/>
      <c r="S462" s="62"/>
      <c r="T462" s="5"/>
    </row>
    <row r="463" spans="1:20" hidden="1">
      <c r="A463" s="2" t="s">
        <v>915</v>
      </c>
      <c r="B463" s="2" t="s">
        <v>968</v>
      </c>
      <c r="C463" s="2" t="s">
        <v>779</v>
      </c>
      <c r="D463" s="16">
        <v>0</v>
      </c>
      <c r="E463" s="2" t="s">
        <v>915</v>
      </c>
      <c r="F463" s="2" t="s">
        <v>780</v>
      </c>
      <c r="G463" s="2" t="s">
        <v>969</v>
      </c>
      <c r="H463" s="17">
        <v>600900</v>
      </c>
      <c r="I463" s="2"/>
      <c r="J463" s="2"/>
      <c r="K463" s="17">
        <v>600900</v>
      </c>
      <c r="L463" s="17">
        <v>64382.14</v>
      </c>
      <c r="M463" s="17">
        <v>536517.86</v>
      </c>
      <c r="N463" s="17">
        <v>600900</v>
      </c>
      <c r="O463" s="2"/>
      <c r="P463" s="2"/>
      <c r="Q463" s="31" t="s">
        <v>69</v>
      </c>
      <c r="R463" s="65"/>
      <c r="S463" s="62"/>
      <c r="T463" s="5"/>
    </row>
    <row r="464" spans="1:20" hidden="1">
      <c r="A464" s="2" t="s">
        <v>971</v>
      </c>
      <c r="B464" s="2" t="s">
        <v>1024</v>
      </c>
      <c r="C464" s="2" t="s">
        <v>151</v>
      </c>
      <c r="D464" s="16">
        <v>60</v>
      </c>
      <c r="E464" s="2" t="s">
        <v>991</v>
      </c>
      <c r="F464" s="2" t="s">
        <v>1025</v>
      </c>
      <c r="G464" s="2" t="s">
        <v>1026</v>
      </c>
      <c r="H464" s="17">
        <v>28145</v>
      </c>
      <c r="I464" s="2"/>
      <c r="J464" s="2"/>
      <c r="K464" s="17">
        <v>28145</v>
      </c>
      <c r="L464" s="17">
        <v>3015.54</v>
      </c>
      <c r="M464" s="17">
        <v>25129.46</v>
      </c>
      <c r="N464" s="17">
        <v>28145</v>
      </c>
      <c r="O464" s="2"/>
      <c r="P464" s="2"/>
      <c r="Q464" s="31" t="s">
        <v>69</v>
      </c>
      <c r="R464" s="64">
        <f>+K464+K465+K466+K467+K468</f>
        <v>323130</v>
      </c>
      <c r="S464" s="62"/>
      <c r="T464" s="5"/>
    </row>
    <row r="465" spans="1:20" hidden="1">
      <c r="A465" s="2" t="s">
        <v>971</v>
      </c>
      <c r="B465" s="2" t="s">
        <v>1027</v>
      </c>
      <c r="C465" s="2" t="s">
        <v>151</v>
      </c>
      <c r="D465" s="16">
        <v>60</v>
      </c>
      <c r="E465" s="2" t="s">
        <v>991</v>
      </c>
      <c r="F465" s="2" t="s">
        <v>1025</v>
      </c>
      <c r="G465" s="2" t="s">
        <v>1028</v>
      </c>
      <c r="H465" s="17">
        <v>54780</v>
      </c>
      <c r="I465" s="2"/>
      <c r="J465" s="2"/>
      <c r="K465" s="17">
        <v>54780</v>
      </c>
      <c r="L465" s="17">
        <v>5869.29</v>
      </c>
      <c r="M465" s="17">
        <v>48910.71</v>
      </c>
      <c r="N465" s="17">
        <v>54780</v>
      </c>
      <c r="O465" s="2"/>
      <c r="P465" s="2"/>
      <c r="Q465" s="31" t="s">
        <v>69</v>
      </c>
      <c r="R465" s="66"/>
      <c r="S465" s="62"/>
      <c r="T465" s="5"/>
    </row>
    <row r="466" spans="1:20" hidden="1">
      <c r="A466" s="2" t="s">
        <v>971</v>
      </c>
      <c r="B466" s="2" t="s">
        <v>1029</v>
      </c>
      <c r="C466" s="2" t="s">
        <v>151</v>
      </c>
      <c r="D466" s="16">
        <v>60</v>
      </c>
      <c r="E466" s="2" t="s">
        <v>991</v>
      </c>
      <c r="F466" s="2" t="s">
        <v>1025</v>
      </c>
      <c r="G466" s="2" t="s">
        <v>1030</v>
      </c>
      <c r="H466" s="17">
        <v>21925</v>
      </c>
      <c r="I466" s="2"/>
      <c r="J466" s="2"/>
      <c r="K466" s="17">
        <v>21925</v>
      </c>
      <c r="L466" s="17">
        <v>2349.11</v>
      </c>
      <c r="M466" s="17">
        <v>19575.89</v>
      </c>
      <c r="N466" s="17">
        <v>21925</v>
      </c>
      <c r="O466" s="2"/>
      <c r="P466" s="2"/>
      <c r="Q466" s="31" t="s">
        <v>69</v>
      </c>
      <c r="R466" s="66"/>
      <c r="S466" s="62"/>
      <c r="T466" s="5"/>
    </row>
    <row r="467" spans="1:20" hidden="1">
      <c r="A467" s="2" t="s">
        <v>971</v>
      </c>
      <c r="B467" s="2" t="s">
        <v>1031</v>
      </c>
      <c r="C467" s="2" t="s">
        <v>237</v>
      </c>
      <c r="D467" s="16">
        <v>60</v>
      </c>
      <c r="E467" s="2" t="s">
        <v>991</v>
      </c>
      <c r="F467" s="2" t="s">
        <v>1025</v>
      </c>
      <c r="G467" s="2" t="s">
        <v>1032</v>
      </c>
      <c r="H467" s="17">
        <v>98130</v>
      </c>
      <c r="I467" s="2"/>
      <c r="J467" s="2"/>
      <c r="K467" s="17">
        <v>98130</v>
      </c>
      <c r="L467" s="17">
        <v>10513.93</v>
      </c>
      <c r="M467" s="17">
        <v>87616.07</v>
      </c>
      <c r="N467" s="17">
        <v>98130</v>
      </c>
      <c r="O467" s="2"/>
      <c r="P467" s="2"/>
      <c r="Q467" s="31" t="s">
        <v>69</v>
      </c>
      <c r="R467" s="66"/>
      <c r="S467" s="62"/>
      <c r="T467" s="5"/>
    </row>
    <row r="468" spans="1:20" hidden="1">
      <c r="A468" s="2" t="s">
        <v>1372</v>
      </c>
      <c r="B468" s="2" t="s">
        <v>1450</v>
      </c>
      <c r="C468" s="2" t="s">
        <v>68</v>
      </c>
      <c r="D468" s="16">
        <v>60</v>
      </c>
      <c r="E468" s="2" t="s">
        <v>1373</v>
      </c>
      <c r="F468" s="2" t="s">
        <v>1025</v>
      </c>
      <c r="G468" s="2" t="s">
        <v>1451</v>
      </c>
      <c r="H468" s="17">
        <v>120150</v>
      </c>
      <c r="I468" s="2"/>
      <c r="J468" s="2"/>
      <c r="K468" s="17">
        <v>120150</v>
      </c>
      <c r="L468" s="17">
        <v>12873.21</v>
      </c>
      <c r="M468" s="17">
        <v>107276.79</v>
      </c>
      <c r="N468" s="17">
        <v>120150</v>
      </c>
      <c r="O468" s="2"/>
      <c r="P468" s="2"/>
      <c r="Q468" s="31" t="s">
        <v>69</v>
      </c>
      <c r="R468" s="65"/>
      <c r="S468" s="62"/>
      <c r="T468" s="5"/>
    </row>
    <row r="469" spans="1:20" hidden="1">
      <c r="A469" s="2" t="s">
        <v>282</v>
      </c>
      <c r="B469" s="2" t="s">
        <v>302</v>
      </c>
      <c r="C469" s="2" t="s">
        <v>237</v>
      </c>
      <c r="D469" s="16">
        <v>60</v>
      </c>
      <c r="E469" s="2" t="s">
        <v>286</v>
      </c>
      <c r="F469" s="2" t="s">
        <v>303</v>
      </c>
      <c r="G469" s="2" t="s">
        <v>304</v>
      </c>
      <c r="H469" s="17">
        <v>112895</v>
      </c>
      <c r="I469" s="2"/>
      <c r="J469" s="2"/>
      <c r="K469" s="17">
        <v>112895</v>
      </c>
      <c r="L469" s="17">
        <v>12095.89</v>
      </c>
      <c r="M469" s="17">
        <v>100799.11</v>
      </c>
      <c r="N469" s="17">
        <v>112895</v>
      </c>
      <c r="O469" s="2"/>
      <c r="P469" s="2"/>
      <c r="Q469" s="31" t="s">
        <v>69</v>
      </c>
      <c r="R469" s="64">
        <f>+K469+K470+K471+K472+K473+K474+K475</f>
        <v>938248</v>
      </c>
      <c r="S469" s="62"/>
      <c r="T469" s="5"/>
    </row>
    <row r="470" spans="1:20" hidden="1">
      <c r="A470" s="2" t="s">
        <v>282</v>
      </c>
      <c r="B470" s="2" t="s">
        <v>305</v>
      </c>
      <c r="C470" s="2" t="s">
        <v>237</v>
      </c>
      <c r="D470" s="16">
        <v>60</v>
      </c>
      <c r="E470" s="2" t="s">
        <v>286</v>
      </c>
      <c r="F470" s="2" t="s">
        <v>303</v>
      </c>
      <c r="G470" s="2" t="s">
        <v>306</v>
      </c>
      <c r="H470" s="17">
        <v>300000</v>
      </c>
      <c r="I470" s="2"/>
      <c r="J470" s="2"/>
      <c r="K470" s="17">
        <v>300000</v>
      </c>
      <c r="L470" s="17">
        <v>32142.86</v>
      </c>
      <c r="M470" s="17">
        <v>267857.14</v>
      </c>
      <c r="N470" s="17">
        <v>300000</v>
      </c>
      <c r="O470" s="2"/>
      <c r="P470" s="2"/>
      <c r="Q470" s="31" t="s">
        <v>69</v>
      </c>
      <c r="R470" s="66"/>
      <c r="S470" s="62"/>
      <c r="T470" s="5"/>
    </row>
    <row r="471" spans="1:20" hidden="1">
      <c r="A471" s="2" t="s">
        <v>282</v>
      </c>
      <c r="B471" s="2" t="s">
        <v>307</v>
      </c>
      <c r="C471" s="2" t="s">
        <v>237</v>
      </c>
      <c r="D471" s="16">
        <v>60</v>
      </c>
      <c r="E471" s="2" t="s">
        <v>286</v>
      </c>
      <c r="F471" s="2" t="s">
        <v>303</v>
      </c>
      <c r="G471" s="2" t="s">
        <v>308</v>
      </c>
      <c r="H471" s="17">
        <v>120000</v>
      </c>
      <c r="I471" s="2"/>
      <c r="J471" s="2"/>
      <c r="K471" s="17">
        <v>120000</v>
      </c>
      <c r="L471" s="17">
        <v>12857.14</v>
      </c>
      <c r="M471" s="17">
        <v>107142.86</v>
      </c>
      <c r="N471" s="17">
        <v>120000</v>
      </c>
      <c r="O471" s="2"/>
      <c r="P471" s="2"/>
      <c r="Q471" s="31" t="s">
        <v>69</v>
      </c>
      <c r="R471" s="66"/>
      <c r="S471" s="62"/>
      <c r="T471" s="5"/>
    </row>
    <row r="472" spans="1:20" hidden="1">
      <c r="A472" s="2" t="s">
        <v>282</v>
      </c>
      <c r="B472" s="2" t="s">
        <v>309</v>
      </c>
      <c r="C472" s="2" t="s">
        <v>237</v>
      </c>
      <c r="D472" s="16">
        <v>60</v>
      </c>
      <c r="E472" s="2" t="s">
        <v>286</v>
      </c>
      <c r="F472" s="2" t="s">
        <v>303</v>
      </c>
      <c r="G472" s="2" t="s">
        <v>310</v>
      </c>
      <c r="H472" s="17">
        <v>24000</v>
      </c>
      <c r="I472" s="2"/>
      <c r="J472" s="2"/>
      <c r="K472" s="17">
        <v>24000</v>
      </c>
      <c r="L472" s="17">
        <v>2571.4299999999998</v>
      </c>
      <c r="M472" s="17">
        <v>21428.57</v>
      </c>
      <c r="N472" s="17">
        <v>24000</v>
      </c>
      <c r="O472" s="2"/>
      <c r="P472" s="2"/>
      <c r="Q472" s="31" t="s">
        <v>69</v>
      </c>
      <c r="R472" s="66"/>
      <c r="S472" s="62"/>
      <c r="T472" s="5"/>
    </row>
    <row r="473" spans="1:20" hidden="1">
      <c r="A473" s="2" t="s">
        <v>769</v>
      </c>
      <c r="B473" s="2" t="s">
        <v>768</v>
      </c>
      <c r="C473" s="2" t="s">
        <v>237</v>
      </c>
      <c r="D473" s="16">
        <v>60</v>
      </c>
      <c r="E473" s="2" t="s">
        <v>770</v>
      </c>
      <c r="F473" s="2" t="s">
        <v>303</v>
      </c>
      <c r="G473" s="2" t="s">
        <v>771</v>
      </c>
      <c r="H473" s="17">
        <v>113650</v>
      </c>
      <c r="I473" s="2"/>
      <c r="J473" s="2"/>
      <c r="K473" s="17">
        <v>113650</v>
      </c>
      <c r="L473" s="17">
        <v>12176.79</v>
      </c>
      <c r="M473" s="17">
        <v>101473.21</v>
      </c>
      <c r="N473" s="17">
        <v>113650</v>
      </c>
      <c r="O473" s="2"/>
      <c r="P473" s="2"/>
      <c r="Q473" s="31" t="s">
        <v>69</v>
      </c>
      <c r="R473" s="66"/>
      <c r="S473" s="62"/>
      <c r="T473" s="5"/>
    </row>
    <row r="474" spans="1:20" hidden="1">
      <c r="A474" s="2" t="s">
        <v>769</v>
      </c>
      <c r="B474" s="2" t="s">
        <v>772</v>
      </c>
      <c r="C474" s="2" t="s">
        <v>237</v>
      </c>
      <c r="D474" s="16">
        <v>60</v>
      </c>
      <c r="E474" s="2" t="s">
        <v>770</v>
      </c>
      <c r="F474" s="2" t="s">
        <v>303</v>
      </c>
      <c r="G474" s="2" t="s">
        <v>773</v>
      </c>
      <c r="H474" s="17">
        <v>113650</v>
      </c>
      <c r="I474" s="2"/>
      <c r="J474" s="2"/>
      <c r="K474" s="17">
        <v>113650</v>
      </c>
      <c r="L474" s="17">
        <v>12176.79</v>
      </c>
      <c r="M474" s="17">
        <v>101473.21</v>
      </c>
      <c r="N474" s="17">
        <v>113650</v>
      </c>
      <c r="O474" s="2"/>
      <c r="P474" s="2"/>
      <c r="Q474" s="31" t="s">
        <v>69</v>
      </c>
      <c r="R474" s="66"/>
      <c r="S474" s="62"/>
      <c r="T474" s="5"/>
    </row>
    <row r="475" spans="1:20" hidden="1">
      <c r="A475" s="2" t="s">
        <v>769</v>
      </c>
      <c r="B475" s="2" t="s">
        <v>774</v>
      </c>
      <c r="C475" s="2" t="s">
        <v>237</v>
      </c>
      <c r="D475" s="16">
        <v>60</v>
      </c>
      <c r="E475" s="2" t="s">
        <v>770</v>
      </c>
      <c r="F475" s="2" t="s">
        <v>303</v>
      </c>
      <c r="G475" s="2" t="s">
        <v>775</v>
      </c>
      <c r="H475" s="17">
        <v>154053</v>
      </c>
      <c r="I475" s="2"/>
      <c r="J475" s="2"/>
      <c r="K475" s="17">
        <v>154053</v>
      </c>
      <c r="L475" s="17">
        <v>16505.68</v>
      </c>
      <c r="M475" s="17">
        <v>137547.32</v>
      </c>
      <c r="N475" s="17">
        <v>154053</v>
      </c>
      <c r="O475" s="2"/>
      <c r="P475" s="2"/>
      <c r="Q475" s="31" t="s">
        <v>69</v>
      </c>
      <c r="R475" s="65"/>
      <c r="S475" s="62"/>
      <c r="T475" s="5"/>
    </row>
    <row r="476" spans="1:20" hidden="1">
      <c r="A476" s="2" t="s">
        <v>866</v>
      </c>
      <c r="B476" s="2" t="s">
        <v>884</v>
      </c>
      <c r="C476" s="2" t="s">
        <v>146</v>
      </c>
      <c r="D476" s="16">
        <v>90</v>
      </c>
      <c r="E476" s="2" t="s">
        <v>885</v>
      </c>
      <c r="F476" s="2" t="s">
        <v>886</v>
      </c>
      <c r="G476" s="2" t="s">
        <v>887</v>
      </c>
      <c r="H476" s="17">
        <v>169280</v>
      </c>
      <c r="I476" s="2"/>
      <c r="J476" s="2"/>
      <c r="K476" s="17">
        <v>169280</v>
      </c>
      <c r="L476" s="17">
        <v>18137.14</v>
      </c>
      <c r="M476" s="17">
        <v>151142.85999999999</v>
      </c>
      <c r="N476" s="17">
        <v>169280</v>
      </c>
      <c r="O476" s="2"/>
      <c r="P476" s="2"/>
      <c r="Q476" s="31" t="s">
        <v>69</v>
      </c>
      <c r="R476" s="41">
        <f>+K476</f>
        <v>169280</v>
      </c>
      <c r="S476" s="62"/>
      <c r="T476" s="5"/>
    </row>
    <row r="477" spans="1:20" hidden="1">
      <c r="A477" s="2" t="s">
        <v>689</v>
      </c>
      <c r="B477" s="2" t="s">
        <v>696</v>
      </c>
      <c r="C477" s="2" t="s">
        <v>34</v>
      </c>
      <c r="D477" s="16">
        <v>60</v>
      </c>
      <c r="E477" s="2" t="s">
        <v>692</v>
      </c>
      <c r="F477" s="2" t="s">
        <v>697</v>
      </c>
      <c r="G477" s="2" t="s">
        <v>698</v>
      </c>
      <c r="H477" s="17">
        <v>167725</v>
      </c>
      <c r="I477" s="2"/>
      <c r="J477" s="2"/>
      <c r="K477" s="17">
        <v>167725</v>
      </c>
      <c r="L477" s="17">
        <v>17970.54</v>
      </c>
      <c r="M477" s="17">
        <v>149754.46</v>
      </c>
      <c r="N477" s="17">
        <v>167725</v>
      </c>
      <c r="O477" s="2"/>
      <c r="P477" s="2"/>
      <c r="Q477" s="31" t="s">
        <v>69</v>
      </c>
      <c r="R477" s="64">
        <f>+K477+K478</f>
        <v>216905</v>
      </c>
      <c r="S477" s="62"/>
      <c r="T477" s="5"/>
    </row>
    <row r="478" spans="1:20" hidden="1">
      <c r="A478" s="2" t="s">
        <v>1117</v>
      </c>
      <c r="B478" s="2" t="s">
        <v>1202</v>
      </c>
      <c r="C478" s="2" t="s">
        <v>34</v>
      </c>
      <c r="D478" s="16">
        <v>60</v>
      </c>
      <c r="E478" s="2" t="s">
        <v>1139</v>
      </c>
      <c r="F478" s="2" t="s">
        <v>697</v>
      </c>
      <c r="G478" s="2" t="s">
        <v>1203</v>
      </c>
      <c r="H478" s="17">
        <v>49180</v>
      </c>
      <c r="I478" s="2"/>
      <c r="J478" s="2"/>
      <c r="K478" s="17">
        <v>49180</v>
      </c>
      <c r="L478" s="17">
        <v>5269.29</v>
      </c>
      <c r="M478" s="17">
        <v>43910.71</v>
      </c>
      <c r="N478" s="17">
        <v>49180</v>
      </c>
      <c r="O478" s="2"/>
      <c r="P478" s="2"/>
      <c r="Q478" s="31" t="s">
        <v>69</v>
      </c>
      <c r="R478" s="65"/>
      <c r="S478" s="62"/>
      <c r="T478" s="5"/>
    </row>
    <row r="479" spans="1:20" hidden="1">
      <c r="A479" s="2" t="s">
        <v>1372</v>
      </c>
      <c r="B479" s="2" t="s">
        <v>1395</v>
      </c>
      <c r="C479" s="2" t="s">
        <v>54</v>
      </c>
      <c r="D479" s="16">
        <v>90</v>
      </c>
      <c r="E479" s="2" t="s">
        <v>1376</v>
      </c>
      <c r="F479" s="2" t="s">
        <v>1396</v>
      </c>
      <c r="G479" s="2" t="s">
        <v>1397</v>
      </c>
      <c r="H479" s="17">
        <v>412500</v>
      </c>
      <c r="I479" s="2"/>
      <c r="J479" s="2"/>
      <c r="K479" s="17">
        <v>412500</v>
      </c>
      <c r="L479" s="17">
        <v>44196.43</v>
      </c>
      <c r="M479" s="17">
        <v>368303.57</v>
      </c>
      <c r="N479" s="17">
        <v>412500</v>
      </c>
      <c r="O479" s="2"/>
      <c r="P479" s="2"/>
      <c r="Q479" s="31" t="s">
        <v>69</v>
      </c>
      <c r="R479" s="41">
        <f>+K479</f>
        <v>412500</v>
      </c>
      <c r="S479" s="62"/>
      <c r="T479" s="5"/>
    </row>
    <row r="480" spans="1:20" hidden="1">
      <c r="A480" s="2" t="s">
        <v>637</v>
      </c>
      <c r="B480" s="2" t="s">
        <v>662</v>
      </c>
      <c r="C480" s="2" t="s">
        <v>146</v>
      </c>
      <c r="D480" s="16">
        <v>90</v>
      </c>
      <c r="E480" s="2" t="s">
        <v>655</v>
      </c>
      <c r="F480" s="2" t="s">
        <v>663</v>
      </c>
      <c r="G480" s="2" t="s">
        <v>664</v>
      </c>
      <c r="H480" s="17">
        <v>643242.6</v>
      </c>
      <c r="I480" s="2"/>
      <c r="J480" s="2"/>
      <c r="K480" s="17">
        <v>643242.6</v>
      </c>
      <c r="L480" s="17">
        <v>68918.850000000006</v>
      </c>
      <c r="M480" s="17">
        <v>574323.75</v>
      </c>
      <c r="N480" s="17">
        <v>643242.6</v>
      </c>
      <c r="O480" s="2"/>
      <c r="P480" s="2"/>
      <c r="Q480" s="31" t="s">
        <v>69</v>
      </c>
      <c r="R480" s="64">
        <f>+K480+K481</f>
        <v>1010809.8</v>
      </c>
      <c r="S480" s="62"/>
      <c r="T480" s="5"/>
    </row>
    <row r="481" spans="1:20" hidden="1">
      <c r="A481" s="2" t="s">
        <v>971</v>
      </c>
      <c r="B481" s="2" t="s">
        <v>1014</v>
      </c>
      <c r="C481" s="2" t="s">
        <v>146</v>
      </c>
      <c r="D481" s="16">
        <v>90</v>
      </c>
      <c r="E481" s="2" t="s">
        <v>986</v>
      </c>
      <c r="F481" s="2" t="s">
        <v>663</v>
      </c>
      <c r="G481" s="2" t="s">
        <v>1015</v>
      </c>
      <c r="H481" s="17">
        <v>367567.2</v>
      </c>
      <c r="I481" s="2"/>
      <c r="J481" s="2"/>
      <c r="K481" s="17">
        <v>367567.2</v>
      </c>
      <c r="L481" s="17">
        <v>39382.199999999997</v>
      </c>
      <c r="M481" s="17">
        <v>328185</v>
      </c>
      <c r="N481" s="17">
        <v>367567.2</v>
      </c>
      <c r="O481" s="2"/>
      <c r="P481" s="2"/>
      <c r="Q481" s="31" t="s">
        <v>69</v>
      </c>
      <c r="R481" s="65"/>
      <c r="S481" s="62"/>
      <c r="T481" s="5"/>
    </row>
    <row r="482" spans="1:20" hidden="1">
      <c r="A482" s="2" t="s">
        <v>769</v>
      </c>
      <c r="B482" s="2" t="s">
        <v>852</v>
      </c>
      <c r="C482" s="2" t="s">
        <v>162</v>
      </c>
      <c r="D482" s="16">
        <v>90</v>
      </c>
      <c r="E482" s="2" t="s">
        <v>815</v>
      </c>
      <c r="F482" s="2" t="s">
        <v>853</v>
      </c>
      <c r="G482" s="2" t="s">
        <v>854</v>
      </c>
      <c r="H482" s="17">
        <v>586795</v>
      </c>
      <c r="I482" s="2"/>
      <c r="J482" s="2"/>
      <c r="K482" s="17">
        <v>586795</v>
      </c>
      <c r="L482" s="17">
        <v>62870.89</v>
      </c>
      <c r="M482" s="17">
        <v>523924.11</v>
      </c>
      <c r="N482" s="17">
        <v>586795</v>
      </c>
      <c r="O482" s="2"/>
      <c r="P482" s="2"/>
      <c r="Q482" s="31" t="s">
        <v>69</v>
      </c>
      <c r="R482" s="41">
        <f>+K482</f>
        <v>586795</v>
      </c>
      <c r="S482" s="62"/>
      <c r="T482" s="5"/>
    </row>
    <row r="483" spans="1:20" hidden="1">
      <c r="A483" s="2" t="s">
        <v>505</v>
      </c>
      <c r="B483" s="2" t="s">
        <v>573</v>
      </c>
      <c r="C483" s="2" t="s">
        <v>68</v>
      </c>
      <c r="D483" s="16">
        <v>60</v>
      </c>
      <c r="E483" s="2" t="s">
        <v>509</v>
      </c>
      <c r="F483" s="2" t="s">
        <v>574</v>
      </c>
      <c r="G483" s="2" t="s">
        <v>575</v>
      </c>
      <c r="H483" s="17">
        <v>988600</v>
      </c>
      <c r="I483" s="2"/>
      <c r="J483" s="2"/>
      <c r="K483" s="17">
        <v>988600</v>
      </c>
      <c r="L483" s="17">
        <v>105921.43</v>
      </c>
      <c r="M483" s="17">
        <v>882678.57</v>
      </c>
      <c r="N483" s="17">
        <v>988600</v>
      </c>
      <c r="O483" s="2"/>
      <c r="P483" s="2"/>
      <c r="Q483" s="31" t="s">
        <v>69</v>
      </c>
      <c r="R483" s="64">
        <f>+K483+K484+K485+K486+K487</f>
        <v>6348560</v>
      </c>
      <c r="S483" s="62"/>
      <c r="T483" s="5"/>
    </row>
    <row r="484" spans="1:20" hidden="1">
      <c r="A484" s="2" t="s">
        <v>505</v>
      </c>
      <c r="B484" s="2" t="s">
        <v>591</v>
      </c>
      <c r="C484" s="2" t="s">
        <v>68</v>
      </c>
      <c r="D484" s="16">
        <v>60</v>
      </c>
      <c r="E484" s="2" t="s">
        <v>509</v>
      </c>
      <c r="F484" s="2" t="s">
        <v>574</v>
      </c>
      <c r="G484" s="2" t="s">
        <v>592</v>
      </c>
      <c r="H484" s="17">
        <v>70510</v>
      </c>
      <c r="I484" s="2"/>
      <c r="J484" s="2"/>
      <c r="K484" s="17">
        <v>70510</v>
      </c>
      <c r="L484" s="17">
        <v>7554.64</v>
      </c>
      <c r="M484" s="17">
        <v>62955.360000000001</v>
      </c>
      <c r="N484" s="17">
        <v>70510</v>
      </c>
      <c r="O484" s="2"/>
      <c r="P484" s="2"/>
      <c r="Q484" s="31" t="s">
        <v>69</v>
      </c>
      <c r="R484" s="66"/>
      <c r="S484" s="62"/>
      <c r="T484" s="5"/>
    </row>
    <row r="485" spans="1:20" hidden="1">
      <c r="A485" s="2" t="s">
        <v>505</v>
      </c>
      <c r="B485" s="2" t="s">
        <v>593</v>
      </c>
      <c r="C485" s="2" t="s">
        <v>68</v>
      </c>
      <c r="D485" s="16">
        <v>60</v>
      </c>
      <c r="E485" s="2" t="s">
        <v>509</v>
      </c>
      <c r="F485" s="2" t="s">
        <v>574</v>
      </c>
      <c r="G485" s="2" t="s">
        <v>594</v>
      </c>
      <c r="H485" s="17">
        <v>2221065</v>
      </c>
      <c r="I485" s="2"/>
      <c r="J485" s="2"/>
      <c r="K485" s="17">
        <v>2221065</v>
      </c>
      <c r="L485" s="17">
        <v>237971.25</v>
      </c>
      <c r="M485" s="17">
        <v>1983093.75</v>
      </c>
      <c r="N485" s="17">
        <v>2221065</v>
      </c>
      <c r="O485" s="2"/>
      <c r="P485" s="2"/>
      <c r="Q485" s="31" t="s">
        <v>69</v>
      </c>
      <c r="R485" s="66"/>
      <c r="S485" s="62"/>
      <c r="T485" s="5"/>
    </row>
    <row r="486" spans="1:20" hidden="1">
      <c r="A486" s="2" t="s">
        <v>866</v>
      </c>
      <c r="B486" s="2" t="s">
        <v>888</v>
      </c>
      <c r="C486" s="2" t="s">
        <v>68</v>
      </c>
      <c r="D486" s="16">
        <v>60</v>
      </c>
      <c r="E486" s="2" t="s">
        <v>873</v>
      </c>
      <c r="F486" s="2" t="s">
        <v>574</v>
      </c>
      <c r="G486" s="2" t="s">
        <v>889</v>
      </c>
      <c r="H486" s="17">
        <v>2539560</v>
      </c>
      <c r="I486" s="2"/>
      <c r="J486" s="2"/>
      <c r="K486" s="17">
        <v>2539560</v>
      </c>
      <c r="L486" s="17">
        <v>272095.71000000002</v>
      </c>
      <c r="M486" s="17">
        <v>2267464.29</v>
      </c>
      <c r="N486" s="17">
        <v>2539560</v>
      </c>
      <c r="O486" s="2"/>
      <c r="P486" s="2"/>
      <c r="Q486" s="31" t="s">
        <v>69</v>
      </c>
      <c r="R486" s="66"/>
      <c r="S486" s="62"/>
      <c r="T486" s="5"/>
    </row>
    <row r="487" spans="1:20" hidden="1">
      <c r="A487" s="2" t="s">
        <v>1117</v>
      </c>
      <c r="B487" s="2" t="s">
        <v>1146</v>
      </c>
      <c r="C487" s="2" t="s">
        <v>151</v>
      </c>
      <c r="D487" s="16">
        <v>60</v>
      </c>
      <c r="E487" s="2" t="s">
        <v>1139</v>
      </c>
      <c r="F487" s="2" t="s">
        <v>574</v>
      </c>
      <c r="G487" s="2" t="s">
        <v>1147</v>
      </c>
      <c r="H487" s="17">
        <v>528825</v>
      </c>
      <c r="I487" s="2"/>
      <c r="J487" s="2"/>
      <c r="K487" s="17">
        <v>528825</v>
      </c>
      <c r="L487" s="17">
        <v>56659.82</v>
      </c>
      <c r="M487" s="17">
        <v>472165.18</v>
      </c>
      <c r="N487" s="17">
        <v>528825</v>
      </c>
      <c r="O487" s="2"/>
      <c r="P487" s="2"/>
      <c r="Q487" s="31" t="s">
        <v>69</v>
      </c>
      <c r="R487" s="65"/>
      <c r="S487" s="62"/>
      <c r="T487" s="5"/>
    </row>
    <row r="488" spans="1:20" hidden="1">
      <c r="A488" s="2" t="s">
        <v>17</v>
      </c>
      <c r="B488" s="2" t="s">
        <v>78</v>
      </c>
      <c r="C488" s="2" t="s">
        <v>79</v>
      </c>
      <c r="D488" s="16">
        <v>30</v>
      </c>
      <c r="E488" s="2" t="s">
        <v>24</v>
      </c>
      <c r="F488" s="2" t="s">
        <v>80</v>
      </c>
      <c r="G488" s="2" t="s">
        <v>81</v>
      </c>
      <c r="H488" s="17">
        <v>23350</v>
      </c>
      <c r="I488" s="2"/>
      <c r="J488" s="2"/>
      <c r="K488" s="17">
        <v>23350</v>
      </c>
      <c r="L488" s="17">
        <v>2501.79</v>
      </c>
      <c r="M488" s="17">
        <v>20848.21</v>
      </c>
      <c r="N488" s="17">
        <v>23350</v>
      </c>
      <c r="O488" s="2"/>
      <c r="P488" s="2"/>
      <c r="Q488" s="31" t="s">
        <v>69</v>
      </c>
      <c r="R488" s="64">
        <f>+K488+K489</f>
        <v>30025</v>
      </c>
      <c r="S488" s="62"/>
      <c r="T488" s="5"/>
    </row>
    <row r="489" spans="1:20" hidden="1">
      <c r="A489" s="2" t="s">
        <v>17</v>
      </c>
      <c r="B489" s="2" t="s">
        <v>82</v>
      </c>
      <c r="C489" s="2" t="s">
        <v>79</v>
      </c>
      <c r="D489" s="16">
        <v>30</v>
      </c>
      <c r="E489" s="2" t="s">
        <v>24</v>
      </c>
      <c r="F489" s="2" t="s">
        <v>80</v>
      </c>
      <c r="G489" s="2" t="s">
        <v>83</v>
      </c>
      <c r="H489" s="17">
        <v>6675</v>
      </c>
      <c r="I489" s="2"/>
      <c r="J489" s="2"/>
      <c r="K489" s="17">
        <v>6675</v>
      </c>
      <c r="L489" s="18">
        <v>715.18</v>
      </c>
      <c r="M489" s="17">
        <v>5959.82</v>
      </c>
      <c r="N489" s="17">
        <v>6675</v>
      </c>
      <c r="O489" s="2"/>
      <c r="P489" s="2"/>
      <c r="Q489" s="31" t="s">
        <v>69</v>
      </c>
      <c r="R489" s="65"/>
      <c r="S489" s="62"/>
      <c r="T489" s="5"/>
    </row>
    <row r="490" spans="1:20" hidden="1">
      <c r="A490" s="2" t="s">
        <v>17</v>
      </c>
      <c r="B490" s="2" t="s">
        <v>67</v>
      </c>
      <c r="C490" s="2" t="s">
        <v>68</v>
      </c>
      <c r="D490" s="16">
        <v>60</v>
      </c>
      <c r="E490" s="2" t="s">
        <v>35</v>
      </c>
      <c r="F490" s="2" t="s">
        <v>70</v>
      </c>
      <c r="G490" s="2" t="s">
        <v>71</v>
      </c>
      <c r="H490" s="17">
        <v>2419200</v>
      </c>
      <c r="I490" s="2"/>
      <c r="J490" s="2"/>
      <c r="K490" s="17">
        <v>2419200</v>
      </c>
      <c r="L490" s="17">
        <v>259200</v>
      </c>
      <c r="M490" s="17">
        <v>2160000</v>
      </c>
      <c r="N490" s="17">
        <v>2419200</v>
      </c>
      <c r="O490" s="2"/>
      <c r="P490" s="2"/>
      <c r="Q490" s="31" t="s">
        <v>69</v>
      </c>
      <c r="R490" s="64">
        <f>+K490+K491+K492+K493+K494+K495+K496+K497+K498+K499+K500</f>
        <v>20938320</v>
      </c>
      <c r="S490" s="62"/>
      <c r="T490" s="5"/>
    </row>
    <row r="491" spans="1:20" hidden="1">
      <c r="A491" s="2" t="s">
        <v>17</v>
      </c>
      <c r="B491" s="2" t="s">
        <v>76</v>
      </c>
      <c r="C491" s="2" t="s">
        <v>68</v>
      </c>
      <c r="D491" s="16">
        <v>60</v>
      </c>
      <c r="E491" s="2" t="s">
        <v>35</v>
      </c>
      <c r="F491" s="2" t="s">
        <v>70</v>
      </c>
      <c r="G491" s="2" t="s">
        <v>77</v>
      </c>
      <c r="H491" s="17">
        <v>316320</v>
      </c>
      <c r="I491" s="2"/>
      <c r="J491" s="2"/>
      <c r="K491" s="17">
        <v>316320</v>
      </c>
      <c r="L491" s="17">
        <v>33891.43</v>
      </c>
      <c r="M491" s="17">
        <v>282428.57</v>
      </c>
      <c r="N491" s="17">
        <v>316320</v>
      </c>
      <c r="O491" s="2"/>
      <c r="P491" s="2"/>
      <c r="Q491" s="31" t="s">
        <v>69</v>
      </c>
      <c r="R491" s="66"/>
      <c r="S491" s="62"/>
      <c r="T491" s="5"/>
    </row>
    <row r="492" spans="1:20" hidden="1">
      <c r="A492" s="2" t="s">
        <v>199</v>
      </c>
      <c r="B492" s="2" t="s">
        <v>230</v>
      </c>
      <c r="C492" s="2" t="s">
        <v>68</v>
      </c>
      <c r="D492" s="16">
        <v>60</v>
      </c>
      <c r="E492" s="2" t="s">
        <v>200</v>
      </c>
      <c r="F492" s="2" t="s">
        <v>70</v>
      </c>
      <c r="G492" s="2" t="s">
        <v>231</v>
      </c>
      <c r="H492" s="17">
        <v>2419200</v>
      </c>
      <c r="I492" s="2"/>
      <c r="J492" s="2"/>
      <c r="K492" s="17">
        <v>2419200</v>
      </c>
      <c r="L492" s="17">
        <v>259200</v>
      </c>
      <c r="M492" s="17">
        <v>2160000</v>
      </c>
      <c r="N492" s="17">
        <v>2419200</v>
      </c>
      <c r="O492" s="2"/>
      <c r="P492" s="2"/>
      <c r="Q492" s="31" t="s">
        <v>69</v>
      </c>
      <c r="R492" s="66"/>
      <c r="S492" s="62"/>
      <c r="T492" s="5"/>
    </row>
    <row r="493" spans="1:20" hidden="1">
      <c r="A493" s="2" t="s">
        <v>505</v>
      </c>
      <c r="B493" s="2" t="s">
        <v>550</v>
      </c>
      <c r="C493" s="2" t="s">
        <v>68</v>
      </c>
      <c r="D493" s="16">
        <v>60</v>
      </c>
      <c r="E493" s="2" t="s">
        <v>509</v>
      </c>
      <c r="F493" s="2" t="s">
        <v>70</v>
      </c>
      <c r="G493" s="2" t="s">
        <v>551</v>
      </c>
      <c r="H493" s="17">
        <v>2419200</v>
      </c>
      <c r="I493" s="2"/>
      <c r="J493" s="2"/>
      <c r="K493" s="17">
        <v>2419200</v>
      </c>
      <c r="L493" s="17">
        <v>259200</v>
      </c>
      <c r="M493" s="17">
        <v>2160000</v>
      </c>
      <c r="N493" s="17">
        <v>2419200</v>
      </c>
      <c r="O493" s="2"/>
      <c r="P493" s="2"/>
      <c r="Q493" s="31" t="s">
        <v>69</v>
      </c>
      <c r="R493" s="66"/>
      <c r="S493" s="62"/>
      <c r="T493" s="5"/>
    </row>
    <row r="494" spans="1:20" hidden="1">
      <c r="A494" s="2" t="s">
        <v>596</v>
      </c>
      <c r="B494" s="2" t="s">
        <v>630</v>
      </c>
      <c r="C494" s="2" t="s">
        <v>68</v>
      </c>
      <c r="D494" s="16">
        <v>60</v>
      </c>
      <c r="E494" s="2" t="s">
        <v>613</v>
      </c>
      <c r="F494" s="2" t="s">
        <v>70</v>
      </c>
      <c r="G494" s="2" t="s">
        <v>631</v>
      </c>
      <c r="H494" s="17">
        <v>2419200</v>
      </c>
      <c r="I494" s="2"/>
      <c r="J494" s="2"/>
      <c r="K494" s="17">
        <v>2419200</v>
      </c>
      <c r="L494" s="17">
        <v>259200</v>
      </c>
      <c r="M494" s="17">
        <v>2160000</v>
      </c>
      <c r="N494" s="17">
        <v>2419200</v>
      </c>
      <c r="O494" s="2"/>
      <c r="P494" s="2"/>
      <c r="Q494" s="31" t="s">
        <v>69</v>
      </c>
      <c r="R494" s="66"/>
      <c r="S494" s="62"/>
      <c r="T494" s="5"/>
    </row>
    <row r="495" spans="1:20" hidden="1">
      <c r="A495" s="2" t="s">
        <v>689</v>
      </c>
      <c r="B495" s="2" t="s">
        <v>756</v>
      </c>
      <c r="C495" s="2" t="s">
        <v>68</v>
      </c>
      <c r="D495" s="16">
        <v>60</v>
      </c>
      <c r="E495" s="2" t="s">
        <v>692</v>
      </c>
      <c r="F495" s="2" t="s">
        <v>70</v>
      </c>
      <c r="G495" s="2" t="s">
        <v>757</v>
      </c>
      <c r="H495" s="17">
        <v>2419200</v>
      </c>
      <c r="I495" s="2"/>
      <c r="J495" s="2"/>
      <c r="K495" s="17">
        <v>2419200</v>
      </c>
      <c r="L495" s="17">
        <v>259200</v>
      </c>
      <c r="M495" s="17">
        <v>2160000</v>
      </c>
      <c r="N495" s="17">
        <v>2419200</v>
      </c>
      <c r="O495" s="2"/>
      <c r="P495" s="2"/>
      <c r="Q495" s="31" t="s">
        <v>69</v>
      </c>
      <c r="R495" s="66"/>
      <c r="S495" s="62"/>
      <c r="T495" s="5"/>
    </row>
    <row r="496" spans="1:20" hidden="1">
      <c r="A496" s="2" t="s">
        <v>769</v>
      </c>
      <c r="B496" s="2" t="s">
        <v>850</v>
      </c>
      <c r="C496" s="2" t="s">
        <v>68</v>
      </c>
      <c r="D496" s="16">
        <v>60</v>
      </c>
      <c r="E496" s="2" t="s">
        <v>770</v>
      </c>
      <c r="F496" s="2" t="s">
        <v>70</v>
      </c>
      <c r="G496" s="2" t="s">
        <v>851</v>
      </c>
      <c r="H496" s="17">
        <v>1209600</v>
      </c>
      <c r="I496" s="2"/>
      <c r="J496" s="2"/>
      <c r="K496" s="17">
        <v>1209600</v>
      </c>
      <c r="L496" s="17">
        <v>129600</v>
      </c>
      <c r="M496" s="17">
        <v>1080000</v>
      </c>
      <c r="N496" s="17">
        <v>1209600</v>
      </c>
      <c r="O496" s="2"/>
      <c r="P496" s="2"/>
      <c r="Q496" s="31" t="s">
        <v>69</v>
      </c>
      <c r="R496" s="66"/>
      <c r="S496" s="62"/>
      <c r="T496" s="5"/>
    </row>
    <row r="497" spans="1:20" hidden="1">
      <c r="A497" s="2" t="s">
        <v>971</v>
      </c>
      <c r="B497" s="2" t="s">
        <v>990</v>
      </c>
      <c r="C497" s="2" t="s">
        <v>151</v>
      </c>
      <c r="D497" s="16">
        <v>60</v>
      </c>
      <c r="E497" s="2" t="s">
        <v>991</v>
      </c>
      <c r="F497" s="2" t="s">
        <v>70</v>
      </c>
      <c r="G497" s="2" t="s">
        <v>992</v>
      </c>
      <c r="H497" s="17">
        <v>58800</v>
      </c>
      <c r="I497" s="2"/>
      <c r="J497" s="2"/>
      <c r="K497" s="17">
        <v>58800</v>
      </c>
      <c r="L497" s="17">
        <v>6300</v>
      </c>
      <c r="M497" s="17">
        <v>52500</v>
      </c>
      <c r="N497" s="17">
        <v>58800</v>
      </c>
      <c r="O497" s="2"/>
      <c r="P497" s="2"/>
      <c r="Q497" s="31" t="s">
        <v>69</v>
      </c>
      <c r="R497" s="66"/>
      <c r="S497" s="62"/>
      <c r="T497" s="5"/>
    </row>
    <row r="498" spans="1:20" hidden="1">
      <c r="A498" s="2" t="s">
        <v>1217</v>
      </c>
      <c r="B498" s="2" t="s">
        <v>1282</v>
      </c>
      <c r="C498" s="2" t="s">
        <v>68</v>
      </c>
      <c r="D498" s="16">
        <v>60</v>
      </c>
      <c r="E498" s="2" t="s">
        <v>1223</v>
      </c>
      <c r="F498" s="2" t="s">
        <v>70</v>
      </c>
      <c r="G498" s="2" t="s">
        <v>1283</v>
      </c>
      <c r="H498" s="17">
        <v>2419200</v>
      </c>
      <c r="I498" s="2"/>
      <c r="J498" s="2"/>
      <c r="K498" s="17">
        <v>2419200</v>
      </c>
      <c r="L498" s="17">
        <v>259200</v>
      </c>
      <c r="M498" s="17">
        <v>2160000</v>
      </c>
      <c r="N498" s="17">
        <v>2419200</v>
      </c>
      <c r="O498" s="2"/>
      <c r="P498" s="2"/>
      <c r="Q498" s="31" t="s">
        <v>69</v>
      </c>
      <c r="R498" s="66"/>
      <c r="S498" s="62"/>
      <c r="T498" s="5"/>
    </row>
    <row r="499" spans="1:20" hidden="1">
      <c r="A499" s="2" t="s">
        <v>1467</v>
      </c>
      <c r="B499" s="2" t="s">
        <v>1550</v>
      </c>
      <c r="C499" s="2" t="s">
        <v>68</v>
      </c>
      <c r="D499" s="16">
        <v>60</v>
      </c>
      <c r="E499" s="2" t="s">
        <v>1495</v>
      </c>
      <c r="F499" s="2" t="s">
        <v>70</v>
      </c>
      <c r="G499" s="2" t="s">
        <v>1551</v>
      </c>
      <c r="H499" s="17">
        <v>2419200</v>
      </c>
      <c r="I499" s="2"/>
      <c r="J499" s="2"/>
      <c r="K499" s="17">
        <v>2419200</v>
      </c>
      <c r="L499" s="17">
        <v>259200</v>
      </c>
      <c r="M499" s="17">
        <v>2160000</v>
      </c>
      <c r="N499" s="17">
        <v>2419200</v>
      </c>
      <c r="O499" s="2"/>
      <c r="P499" s="2"/>
      <c r="Q499" s="31" t="s">
        <v>69</v>
      </c>
      <c r="R499" s="66"/>
      <c r="S499" s="62"/>
      <c r="T499" s="5"/>
    </row>
    <row r="500" spans="1:20" hidden="1">
      <c r="A500" s="2" t="s">
        <v>1553</v>
      </c>
      <c r="B500" s="2" t="s">
        <v>1620</v>
      </c>
      <c r="C500" s="2" t="s">
        <v>68</v>
      </c>
      <c r="D500" s="16">
        <v>60</v>
      </c>
      <c r="E500" s="2" t="s">
        <v>1557</v>
      </c>
      <c r="F500" s="2" t="s">
        <v>70</v>
      </c>
      <c r="G500" s="2" t="s">
        <v>1621</v>
      </c>
      <c r="H500" s="17">
        <v>2419200</v>
      </c>
      <c r="I500" s="2"/>
      <c r="J500" s="2"/>
      <c r="K500" s="17">
        <v>2419200</v>
      </c>
      <c r="L500" s="17">
        <v>259200</v>
      </c>
      <c r="M500" s="17">
        <v>2160000</v>
      </c>
      <c r="N500" s="17">
        <v>2419200</v>
      </c>
      <c r="O500" s="2"/>
      <c r="P500" s="2"/>
      <c r="Q500" s="31" t="s">
        <v>69</v>
      </c>
      <c r="R500" s="65"/>
      <c r="S500" s="62"/>
      <c r="T500" s="5"/>
    </row>
    <row r="501" spans="1:20" hidden="1">
      <c r="A501" s="2" t="s">
        <v>93</v>
      </c>
      <c r="B501" s="2" t="s">
        <v>175</v>
      </c>
      <c r="C501" s="2" t="s">
        <v>176</v>
      </c>
      <c r="D501" s="16">
        <v>60</v>
      </c>
      <c r="E501" s="2" t="s">
        <v>136</v>
      </c>
      <c r="F501" s="2" t="s">
        <v>177</v>
      </c>
      <c r="G501" s="2" t="s">
        <v>178</v>
      </c>
      <c r="H501" s="17">
        <v>408000</v>
      </c>
      <c r="I501" s="2"/>
      <c r="J501" s="2"/>
      <c r="K501" s="17">
        <v>408000</v>
      </c>
      <c r="L501" s="17">
        <v>43714.29</v>
      </c>
      <c r="M501" s="17">
        <v>364285.71</v>
      </c>
      <c r="N501" s="17">
        <v>408000</v>
      </c>
      <c r="O501" s="2"/>
      <c r="P501" s="2"/>
      <c r="Q501" s="31" t="s">
        <v>69</v>
      </c>
      <c r="R501" s="64">
        <f>+K501+K502+K503+K504</f>
        <v>1056000</v>
      </c>
      <c r="S501" s="62"/>
      <c r="T501" s="5"/>
    </row>
    <row r="502" spans="1:20" hidden="1">
      <c r="A502" s="2" t="s">
        <v>866</v>
      </c>
      <c r="B502" s="2" t="s">
        <v>872</v>
      </c>
      <c r="C502" s="2" t="s">
        <v>176</v>
      </c>
      <c r="D502" s="16">
        <v>60</v>
      </c>
      <c r="E502" s="2" t="s">
        <v>873</v>
      </c>
      <c r="F502" s="2" t="s">
        <v>177</v>
      </c>
      <c r="G502" s="2" t="s">
        <v>874</v>
      </c>
      <c r="H502" s="17">
        <v>480000</v>
      </c>
      <c r="I502" s="2"/>
      <c r="J502" s="2"/>
      <c r="K502" s="17">
        <v>480000</v>
      </c>
      <c r="L502" s="17">
        <v>51428.57</v>
      </c>
      <c r="M502" s="17">
        <v>428571.43</v>
      </c>
      <c r="N502" s="17">
        <v>480000</v>
      </c>
      <c r="O502" s="2"/>
      <c r="P502" s="2"/>
      <c r="Q502" s="31" t="s">
        <v>69</v>
      </c>
      <c r="R502" s="66"/>
      <c r="S502" s="62"/>
      <c r="T502" s="5"/>
    </row>
    <row r="503" spans="1:20" hidden="1">
      <c r="A503" s="2" t="s">
        <v>866</v>
      </c>
      <c r="B503" s="2" t="s">
        <v>875</v>
      </c>
      <c r="C503" s="2" t="s">
        <v>176</v>
      </c>
      <c r="D503" s="16">
        <v>60</v>
      </c>
      <c r="E503" s="2" t="s">
        <v>873</v>
      </c>
      <c r="F503" s="2" t="s">
        <v>177</v>
      </c>
      <c r="G503" s="2" t="s">
        <v>876</v>
      </c>
      <c r="H503" s="17">
        <v>72000</v>
      </c>
      <c r="I503" s="2"/>
      <c r="J503" s="2"/>
      <c r="K503" s="17">
        <v>72000</v>
      </c>
      <c r="L503" s="17">
        <v>7714.29</v>
      </c>
      <c r="M503" s="17">
        <v>64285.71</v>
      </c>
      <c r="N503" s="17">
        <v>72000</v>
      </c>
      <c r="O503" s="2"/>
      <c r="P503" s="2"/>
      <c r="Q503" s="31" t="s">
        <v>69</v>
      </c>
      <c r="R503" s="66"/>
      <c r="S503" s="62"/>
      <c r="T503" s="5"/>
    </row>
    <row r="504" spans="1:20" hidden="1">
      <c r="A504" s="2" t="s">
        <v>866</v>
      </c>
      <c r="B504" s="2" t="s">
        <v>877</v>
      </c>
      <c r="C504" s="2" t="s">
        <v>176</v>
      </c>
      <c r="D504" s="16">
        <v>60</v>
      </c>
      <c r="E504" s="2" t="s">
        <v>873</v>
      </c>
      <c r="F504" s="2" t="s">
        <v>177</v>
      </c>
      <c r="G504" s="2" t="s">
        <v>878</v>
      </c>
      <c r="H504" s="17">
        <v>96000</v>
      </c>
      <c r="I504" s="2"/>
      <c r="J504" s="2"/>
      <c r="K504" s="17">
        <v>96000</v>
      </c>
      <c r="L504" s="17">
        <v>10285.709999999999</v>
      </c>
      <c r="M504" s="17">
        <v>85714.29</v>
      </c>
      <c r="N504" s="17">
        <v>96000</v>
      </c>
      <c r="O504" s="2"/>
      <c r="P504" s="2"/>
      <c r="Q504" s="31" t="s">
        <v>69</v>
      </c>
      <c r="R504" s="65"/>
      <c r="S504" s="63"/>
      <c r="T504" s="5"/>
    </row>
    <row r="505" spans="1:20" hidden="1">
      <c r="A505" s="2" t="s">
        <v>769</v>
      </c>
      <c r="B505" s="2" t="s">
        <v>855</v>
      </c>
      <c r="C505" s="2" t="s">
        <v>68</v>
      </c>
      <c r="D505" s="16">
        <v>60</v>
      </c>
      <c r="E505" s="2" t="s">
        <v>770</v>
      </c>
      <c r="F505" s="2" t="s">
        <v>857</v>
      </c>
      <c r="G505" s="2" t="s">
        <v>858</v>
      </c>
      <c r="H505" s="17">
        <v>84296</v>
      </c>
      <c r="I505" s="2"/>
      <c r="J505" s="2"/>
      <c r="K505" s="17">
        <v>84296</v>
      </c>
      <c r="L505" s="17">
        <v>9031.7099999999991</v>
      </c>
      <c r="M505" s="17">
        <v>75264.289999999994</v>
      </c>
      <c r="N505" s="17">
        <v>84296</v>
      </c>
      <c r="O505" s="2"/>
      <c r="P505" s="2"/>
      <c r="Q505" s="31" t="s">
        <v>856</v>
      </c>
      <c r="R505" s="32">
        <f>+K505</f>
        <v>84296</v>
      </c>
      <c r="S505" s="32">
        <f>+R505</f>
        <v>84296</v>
      </c>
      <c r="T505" s="5"/>
    </row>
    <row r="506" spans="1:20" hidden="1">
      <c r="A506" s="2" t="s">
        <v>505</v>
      </c>
      <c r="B506" s="2" t="s">
        <v>576</v>
      </c>
      <c r="C506" s="2" t="s">
        <v>68</v>
      </c>
      <c r="D506" s="16">
        <v>60</v>
      </c>
      <c r="E506" s="2" t="s">
        <v>509</v>
      </c>
      <c r="F506" s="2" t="s">
        <v>578</v>
      </c>
      <c r="G506" s="2" t="s">
        <v>579</v>
      </c>
      <c r="H506" s="17">
        <v>1978634</v>
      </c>
      <c r="I506" s="2"/>
      <c r="J506" s="2"/>
      <c r="K506" s="17">
        <v>1978634</v>
      </c>
      <c r="L506" s="17">
        <v>211996.5</v>
      </c>
      <c r="M506" s="17">
        <v>1766637.5</v>
      </c>
      <c r="N506" s="17">
        <v>1978634</v>
      </c>
      <c r="O506" s="2"/>
      <c r="P506" s="2"/>
      <c r="Q506" s="31" t="s">
        <v>577</v>
      </c>
      <c r="R506" s="32">
        <f>+K506</f>
        <v>1978634</v>
      </c>
      <c r="S506" s="61">
        <f>+R506+R507</f>
        <v>3077256</v>
      </c>
      <c r="T506" s="5"/>
    </row>
    <row r="507" spans="1:20" hidden="1">
      <c r="A507" s="2" t="s">
        <v>1372</v>
      </c>
      <c r="B507" s="2" t="s">
        <v>1421</v>
      </c>
      <c r="C507" s="2" t="s">
        <v>68</v>
      </c>
      <c r="D507" s="16">
        <v>60</v>
      </c>
      <c r="E507" s="2" t="s">
        <v>1373</v>
      </c>
      <c r="F507" s="2" t="s">
        <v>1422</v>
      </c>
      <c r="G507" s="2" t="s">
        <v>1423</v>
      </c>
      <c r="H507" s="17">
        <v>652054</v>
      </c>
      <c r="I507" s="2"/>
      <c r="J507" s="2"/>
      <c r="K507" s="17">
        <v>652054</v>
      </c>
      <c r="L507" s="17">
        <v>69862.929999999993</v>
      </c>
      <c r="M507" s="17">
        <v>582191.06999999995</v>
      </c>
      <c r="N507" s="17">
        <v>652054</v>
      </c>
      <c r="O507" s="2"/>
      <c r="P507" s="2"/>
      <c r="Q507" s="31" t="s">
        <v>577</v>
      </c>
      <c r="R507" s="61">
        <f>+K507+K508</f>
        <v>1098622</v>
      </c>
      <c r="S507" s="62"/>
      <c r="T507" s="5"/>
    </row>
    <row r="508" spans="1:20" hidden="1">
      <c r="A508" s="2" t="s">
        <v>1372</v>
      </c>
      <c r="B508" s="2" t="s">
        <v>1424</v>
      </c>
      <c r="C508" s="2" t="s">
        <v>68</v>
      </c>
      <c r="D508" s="16">
        <v>60</v>
      </c>
      <c r="E508" s="2" t="s">
        <v>1373</v>
      </c>
      <c r="F508" s="2" t="s">
        <v>1422</v>
      </c>
      <c r="G508" s="2" t="s">
        <v>1425</v>
      </c>
      <c r="H508" s="17">
        <v>446568</v>
      </c>
      <c r="I508" s="2"/>
      <c r="J508" s="2"/>
      <c r="K508" s="17">
        <v>446568</v>
      </c>
      <c r="L508" s="17">
        <v>47846.57</v>
      </c>
      <c r="M508" s="17">
        <v>398721.43</v>
      </c>
      <c r="N508" s="17">
        <v>446568</v>
      </c>
      <c r="O508" s="2"/>
      <c r="P508" s="2"/>
      <c r="Q508" s="31" t="s">
        <v>577</v>
      </c>
      <c r="R508" s="63"/>
      <c r="S508" s="63"/>
      <c r="T508" s="5"/>
    </row>
    <row r="509" spans="1:20" hidden="1">
      <c r="A509" s="2" t="s">
        <v>93</v>
      </c>
      <c r="B509" s="2" t="s">
        <v>186</v>
      </c>
      <c r="C509" s="2" t="s">
        <v>68</v>
      </c>
      <c r="D509" s="16">
        <v>60</v>
      </c>
      <c r="E509" s="2" t="s">
        <v>136</v>
      </c>
      <c r="F509" s="2" t="s">
        <v>187</v>
      </c>
      <c r="G509" s="2" t="s">
        <v>188</v>
      </c>
      <c r="H509" s="17">
        <v>53180</v>
      </c>
      <c r="I509" s="2"/>
      <c r="J509" s="2"/>
      <c r="K509" s="17">
        <v>53180</v>
      </c>
      <c r="L509" s="17">
        <v>5697.86</v>
      </c>
      <c r="M509" s="17">
        <v>47482.14</v>
      </c>
      <c r="N509" s="17">
        <v>53180</v>
      </c>
      <c r="O509" s="2"/>
      <c r="P509" s="2"/>
      <c r="Q509" s="31" t="s">
        <v>36</v>
      </c>
      <c r="R509" s="61">
        <f>+K509+K510</f>
        <v>77724</v>
      </c>
      <c r="S509" s="61">
        <f>+R509+R511+R515+R531</f>
        <v>3831559.66</v>
      </c>
      <c r="T509" s="5"/>
    </row>
    <row r="510" spans="1:20" hidden="1">
      <c r="A510" s="2" t="s">
        <v>1553</v>
      </c>
      <c r="B510" s="2" t="s">
        <v>1566</v>
      </c>
      <c r="C510" s="2" t="s">
        <v>151</v>
      </c>
      <c r="D510" s="16">
        <v>60</v>
      </c>
      <c r="E510" s="2" t="s">
        <v>1557</v>
      </c>
      <c r="F510" s="2" t="s">
        <v>187</v>
      </c>
      <c r="G510" s="2" t="s">
        <v>1567</v>
      </c>
      <c r="H510" s="17">
        <v>24544</v>
      </c>
      <c r="I510" s="2"/>
      <c r="J510" s="2"/>
      <c r="K510" s="17">
        <v>24544</v>
      </c>
      <c r="L510" s="17">
        <v>2629.71</v>
      </c>
      <c r="M510" s="17">
        <v>21914.29</v>
      </c>
      <c r="N510" s="17">
        <v>24544</v>
      </c>
      <c r="O510" s="2"/>
      <c r="P510" s="2"/>
      <c r="Q510" s="31" t="s">
        <v>36</v>
      </c>
      <c r="R510" s="63"/>
      <c r="S510" s="62"/>
      <c r="T510" s="5"/>
    </row>
    <row r="511" spans="1:20" hidden="1">
      <c r="A511" s="2" t="s">
        <v>689</v>
      </c>
      <c r="B511" s="2" t="s">
        <v>753</v>
      </c>
      <c r="C511" s="2" t="s">
        <v>162</v>
      </c>
      <c r="D511" s="16">
        <v>90</v>
      </c>
      <c r="E511" s="2" t="s">
        <v>751</v>
      </c>
      <c r="F511" s="2" t="s">
        <v>754</v>
      </c>
      <c r="G511" s="2" t="s">
        <v>755</v>
      </c>
      <c r="H511" s="17">
        <v>18780</v>
      </c>
      <c r="I511" s="2"/>
      <c r="J511" s="2"/>
      <c r="K511" s="17">
        <v>18780</v>
      </c>
      <c r="L511" s="17">
        <v>2012.14</v>
      </c>
      <c r="M511" s="17">
        <v>16767.86</v>
      </c>
      <c r="N511" s="17">
        <v>18780</v>
      </c>
      <c r="O511" s="2"/>
      <c r="P511" s="2"/>
      <c r="Q511" s="31" t="s">
        <v>36</v>
      </c>
      <c r="R511" s="61">
        <f>+K511+K512+K513+K514</f>
        <v>1418430</v>
      </c>
      <c r="S511" s="62"/>
      <c r="T511" s="5"/>
    </row>
    <row r="512" spans="1:20" hidden="1">
      <c r="A512" s="2" t="s">
        <v>915</v>
      </c>
      <c r="B512" s="2" t="s">
        <v>962</v>
      </c>
      <c r="C512" s="2" t="s">
        <v>162</v>
      </c>
      <c r="D512" s="16">
        <v>90</v>
      </c>
      <c r="E512" s="2" t="s">
        <v>924</v>
      </c>
      <c r="F512" s="2" t="s">
        <v>754</v>
      </c>
      <c r="G512" s="2" t="s">
        <v>963</v>
      </c>
      <c r="H512" s="17">
        <v>150500</v>
      </c>
      <c r="I512" s="2"/>
      <c r="J512" s="2"/>
      <c r="K512" s="17">
        <v>150500</v>
      </c>
      <c r="L512" s="17">
        <v>16125</v>
      </c>
      <c r="M512" s="17">
        <v>134375</v>
      </c>
      <c r="N512" s="17">
        <v>150500</v>
      </c>
      <c r="O512" s="2"/>
      <c r="P512" s="2"/>
      <c r="Q512" s="31" t="s">
        <v>36</v>
      </c>
      <c r="R512" s="62"/>
      <c r="S512" s="62"/>
      <c r="T512" s="5"/>
    </row>
    <row r="513" spans="1:20" hidden="1">
      <c r="A513" s="2" t="s">
        <v>971</v>
      </c>
      <c r="B513" s="2" t="s">
        <v>998</v>
      </c>
      <c r="C513" s="2" t="s">
        <v>146</v>
      </c>
      <c r="D513" s="16">
        <v>90</v>
      </c>
      <c r="E513" s="2" t="s">
        <v>986</v>
      </c>
      <c r="F513" s="2" t="s">
        <v>754</v>
      </c>
      <c r="G513" s="2" t="s">
        <v>999</v>
      </c>
      <c r="H513" s="17">
        <v>752500</v>
      </c>
      <c r="I513" s="2"/>
      <c r="J513" s="2"/>
      <c r="K513" s="17">
        <v>752500</v>
      </c>
      <c r="L513" s="17">
        <v>80625</v>
      </c>
      <c r="M513" s="17">
        <v>671875</v>
      </c>
      <c r="N513" s="17">
        <v>752500</v>
      </c>
      <c r="O513" s="2"/>
      <c r="P513" s="2"/>
      <c r="Q513" s="31" t="s">
        <v>36</v>
      </c>
      <c r="R513" s="62"/>
      <c r="S513" s="62"/>
      <c r="T513" s="5"/>
    </row>
    <row r="514" spans="1:20" hidden="1">
      <c r="A514" s="2" t="s">
        <v>1217</v>
      </c>
      <c r="B514" s="2" t="s">
        <v>1270</v>
      </c>
      <c r="C514" s="2" t="s">
        <v>146</v>
      </c>
      <c r="D514" s="16">
        <v>90</v>
      </c>
      <c r="E514" s="2" t="s">
        <v>1235</v>
      </c>
      <c r="F514" s="2" t="s">
        <v>754</v>
      </c>
      <c r="G514" s="2" t="s">
        <v>1271</v>
      </c>
      <c r="H514" s="17">
        <v>496650</v>
      </c>
      <c r="I514" s="2"/>
      <c r="J514" s="2"/>
      <c r="K514" s="17">
        <v>496650</v>
      </c>
      <c r="L514" s="17">
        <v>53212.5</v>
      </c>
      <c r="M514" s="17">
        <v>443437.5</v>
      </c>
      <c r="N514" s="17">
        <v>496650</v>
      </c>
      <c r="O514" s="2"/>
      <c r="P514" s="2"/>
      <c r="Q514" s="31" t="s">
        <v>36</v>
      </c>
      <c r="R514" s="63"/>
      <c r="S514" s="62"/>
      <c r="T514" s="5"/>
    </row>
    <row r="515" spans="1:20" hidden="1">
      <c r="A515" s="2" t="s">
        <v>93</v>
      </c>
      <c r="B515" s="2" t="s">
        <v>192</v>
      </c>
      <c r="C515" s="2" t="s">
        <v>162</v>
      </c>
      <c r="D515" s="16">
        <v>90</v>
      </c>
      <c r="E515" s="2" t="s">
        <v>147</v>
      </c>
      <c r="F515" s="2" t="s">
        <v>193</v>
      </c>
      <c r="G515" s="2" t="s">
        <v>194</v>
      </c>
      <c r="H515" s="17">
        <v>2053</v>
      </c>
      <c r="I515" s="2"/>
      <c r="J515" s="2"/>
      <c r="K515" s="17">
        <v>2053</v>
      </c>
      <c r="L515" s="18">
        <v>219.96</v>
      </c>
      <c r="M515" s="17">
        <v>1833.04</v>
      </c>
      <c r="N515" s="17">
        <v>2053</v>
      </c>
      <c r="O515" s="2"/>
      <c r="P515" s="2"/>
      <c r="Q515" s="31" t="s">
        <v>36</v>
      </c>
      <c r="R515" s="61">
        <f>+K515+K516+K517+K518+K519+K520+K521+K522+K523+K524+K525+K526+K527+K528+K529+K530</f>
        <v>1643665</v>
      </c>
      <c r="S515" s="62"/>
      <c r="T515" s="5"/>
    </row>
    <row r="516" spans="1:20" hidden="1">
      <c r="A516" s="2" t="s">
        <v>282</v>
      </c>
      <c r="B516" s="2" t="s">
        <v>363</v>
      </c>
      <c r="C516" s="2" t="s">
        <v>162</v>
      </c>
      <c r="D516" s="16">
        <v>90</v>
      </c>
      <c r="E516" s="2" t="s">
        <v>290</v>
      </c>
      <c r="F516" s="2" t="s">
        <v>193</v>
      </c>
      <c r="G516" s="2" t="s">
        <v>364</v>
      </c>
      <c r="H516" s="17">
        <v>28636</v>
      </c>
      <c r="I516" s="2"/>
      <c r="J516" s="2"/>
      <c r="K516" s="17">
        <v>28636</v>
      </c>
      <c r="L516" s="17">
        <v>3068.14</v>
      </c>
      <c r="M516" s="17">
        <v>25567.86</v>
      </c>
      <c r="N516" s="17">
        <v>28636</v>
      </c>
      <c r="O516" s="2"/>
      <c r="P516" s="2"/>
      <c r="Q516" s="31" t="s">
        <v>36</v>
      </c>
      <c r="R516" s="62"/>
      <c r="S516" s="62"/>
      <c r="T516" s="5"/>
    </row>
    <row r="517" spans="1:20" hidden="1">
      <c r="A517" s="2" t="s">
        <v>448</v>
      </c>
      <c r="B517" s="2" t="s">
        <v>478</v>
      </c>
      <c r="C517" s="2" t="s">
        <v>162</v>
      </c>
      <c r="D517" s="16">
        <v>90</v>
      </c>
      <c r="E517" s="2" t="s">
        <v>479</v>
      </c>
      <c r="F517" s="2" t="s">
        <v>193</v>
      </c>
      <c r="G517" s="2" t="s">
        <v>480</v>
      </c>
      <c r="H517" s="17">
        <v>66010</v>
      </c>
      <c r="I517" s="2"/>
      <c r="J517" s="2"/>
      <c r="K517" s="17">
        <v>66010</v>
      </c>
      <c r="L517" s="17">
        <v>7072.5</v>
      </c>
      <c r="M517" s="17">
        <v>58937.5</v>
      </c>
      <c r="N517" s="17">
        <v>66010</v>
      </c>
      <c r="O517" s="2"/>
      <c r="P517" s="2"/>
      <c r="Q517" s="31" t="s">
        <v>36</v>
      </c>
      <c r="R517" s="62"/>
      <c r="S517" s="62"/>
      <c r="T517" s="5"/>
    </row>
    <row r="518" spans="1:20" hidden="1">
      <c r="A518" s="2" t="s">
        <v>596</v>
      </c>
      <c r="B518" s="2" t="s">
        <v>632</v>
      </c>
      <c r="C518" s="2" t="s">
        <v>162</v>
      </c>
      <c r="D518" s="16">
        <v>90</v>
      </c>
      <c r="E518" s="2" t="s">
        <v>597</v>
      </c>
      <c r="F518" s="2" t="s">
        <v>193</v>
      </c>
      <c r="G518" s="2" t="s">
        <v>633</v>
      </c>
      <c r="H518" s="17">
        <v>44000</v>
      </c>
      <c r="I518" s="2"/>
      <c r="J518" s="2"/>
      <c r="K518" s="17">
        <v>44000</v>
      </c>
      <c r="L518" s="17">
        <v>4714.29</v>
      </c>
      <c r="M518" s="17">
        <v>39285.71</v>
      </c>
      <c r="N518" s="17">
        <v>44000</v>
      </c>
      <c r="O518" s="2"/>
      <c r="P518" s="2"/>
      <c r="Q518" s="31" t="s">
        <v>36</v>
      </c>
      <c r="R518" s="62"/>
      <c r="S518" s="62"/>
      <c r="T518" s="5"/>
    </row>
    <row r="519" spans="1:20" hidden="1">
      <c r="A519" s="2" t="s">
        <v>689</v>
      </c>
      <c r="B519" s="2" t="s">
        <v>750</v>
      </c>
      <c r="C519" s="2" t="s">
        <v>162</v>
      </c>
      <c r="D519" s="16">
        <v>90</v>
      </c>
      <c r="E519" s="2" t="s">
        <v>751</v>
      </c>
      <c r="F519" s="2" t="s">
        <v>193</v>
      </c>
      <c r="G519" s="2" t="s">
        <v>752</v>
      </c>
      <c r="H519" s="17">
        <v>8216</v>
      </c>
      <c r="I519" s="2"/>
      <c r="J519" s="2"/>
      <c r="K519" s="17">
        <v>8216</v>
      </c>
      <c r="L519" s="18">
        <v>880.29</v>
      </c>
      <c r="M519" s="17">
        <v>7335.71</v>
      </c>
      <c r="N519" s="17">
        <v>8216</v>
      </c>
      <c r="O519" s="2"/>
      <c r="P519" s="2"/>
      <c r="Q519" s="31" t="s">
        <v>36</v>
      </c>
      <c r="R519" s="62"/>
      <c r="S519" s="62"/>
      <c r="T519" s="5"/>
    </row>
    <row r="520" spans="1:20" hidden="1">
      <c r="A520" s="2" t="s">
        <v>866</v>
      </c>
      <c r="B520" s="2" t="s">
        <v>899</v>
      </c>
      <c r="C520" s="2" t="s">
        <v>162</v>
      </c>
      <c r="D520" s="16">
        <v>90</v>
      </c>
      <c r="E520" s="2" t="s">
        <v>885</v>
      </c>
      <c r="F520" s="2" t="s">
        <v>193</v>
      </c>
      <c r="G520" s="2" t="s">
        <v>900</v>
      </c>
      <c r="H520" s="17">
        <v>37150</v>
      </c>
      <c r="I520" s="2"/>
      <c r="J520" s="2"/>
      <c r="K520" s="17">
        <v>37150</v>
      </c>
      <c r="L520" s="17">
        <v>3980.36</v>
      </c>
      <c r="M520" s="17">
        <v>33169.64</v>
      </c>
      <c r="N520" s="17">
        <v>37150</v>
      </c>
      <c r="O520" s="2"/>
      <c r="P520" s="2"/>
      <c r="Q520" s="31" t="s">
        <v>36</v>
      </c>
      <c r="R520" s="62"/>
      <c r="S520" s="62"/>
      <c r="T520" s="5"/>
    </row>
    <row r="521" spans="1:20" hidden="1">
      <c r="A521" s="2" t="s">
        <v>866</v>
      </c>
      <c r="B521" s="2" t="s">
        <v>901</v>
      </c>
      <c r="C521" s="2" t="s">
        <v>162</v>
      </c>
      <c r="D521" s="16">
        <v>90</v>
      </c>
      <c r="E521" s="2" t="s">
        <v>885</v>
      </c>
      <c r="F521" s="2" t="s">
        <v>193</v>
      </c>
      <c r="G521" s="2" t="s">
        <v>902</v>
      </c>
      <c r="H521" s="17">
        <v>51430</v>
      </c>
      <c r="I521" s="2"/>
      <c r="J521" s="2"/>
      <c r="K521" s="17">
        <v>51430</v>
      </c>
      <c r="L521" s="17">
        <v>5510.36</v>
      </c>
      <c r="M521" s="17">
        <v>45919.64</v>
      </c>
      <c r="N521" s="17">
        <v>51430</v>
      </c>
      <c r="O521" s="2"/>
      <c r="P521" s="2"/>
      <c r="Q521" s="31" t="s">
        <v>36</v>
      </c>
      <c r="R521" s="62"/>
      <c r="S521" s="62"/>
      <c r="T521" s="5"/>
    </row>
    <row r="522" spans="1:20" hidden="1">
      <c r="A522" s="2" t="s">
        <v>971</v>
      </c>
      <c r="B522" s="2" t="s">
        <v>1035</v>
      </c>
      <c r="C522" s="2" t="s">
        <v>162</v>
      </c>
      <c r="D522" s="16">
        <v>90</v>
      </c>
      <c r="E522" s="2" t="s">
        <v>986</v>
      </c>
      <c r="F522" s="2" t="s">
        <v>193</v>
      </c>
      <c r="G522" s="2" t="s">
        <v>1036</v>
      </c>
      <c r="H522" s="17">
        <v>69000</v>
      </c>
      <c r="I522" s="2"/>
      <c r="J522" s="2"/>
      <c r="K522" s="17">
        <v>69000</v>
      </c>
      <c r="L522" s="17">
        <v>7392.86</v>
      </c>
      <c r="M522" s="17">
        <v>61607.14</v>
      </c>
      <c r="N522" s="17">
        <v>69000</v>
      </c>
      <c r="O522" s="2"/>
      <c r="P522" s="2"/>
      <c r="Q522" s="31" t="s">
        <v>36</v>
      </c>
      <c r="R522" s="62"/>
      <c r="S522" s="62"/>
      <c r="T522" s="5"/>
    </row>
    <row r="523" spans="1:20" hidden="1">
      <c r="A523" s="2" t="s">
        <v>1117</v>
      </c>
      <c r="B523" s="2" t="s">
        <v>1188</v>
      </c>
      <c r="C523" s="2" t="s">
        <v>162</v>
      </c>
      <c r="D523" s="16">
        <v>90</v>
      </c>
      <c r="E523" s="2" t="s">
        <v>1156</v>
      </c>
      <c r="F523" s="2" t="s">
        <v>193</v>
      </c>
      <c r="G523" s="2" t="s">
        <v>1189</v>
      </c>
      <c r="H523" s="17">
        <v>26590</v>
      </c>
      <c r="I523" s="2"/>
      <c r="J523" s="2"/>
      <c r="K523" s="17">
        <v>26590</v>
      </c>
      <c r="L523" s="17">
        <v>2848.93</v>
      </c>
      <c r="M523" s="17">
        <v>23741.07</v>
      </c>
      <c r="N523" s="17">
        <v>26590</v>
      </c>
      <c r="O523" s="2"/>
      <c r="P523" s="2"/>
      <c r="Q523" s="31" t="s">
        <v>36</v>
      </c>
      <c r="R523" s="62"/>
      <c r="S523" s="62"/>
      <c r="T523" s="5"/>
    </row>
    <row r="524" spans="1:20" hidden="1">
      <c r="A524" s="2" t="s">
        <v>1117</v>
      </c>
      <c r="B524" s="2" t="s">
        <v>1210</v>
      </c>
      <c r="C524" s="2" t="s">
        <v>162</v>
      </c>
      <c r="D524" s="16">
        <v>90</v>
      </c>
      <c r="E524" s="2" t="s">
        <v>1156</v>
      </c>
      <c r="F524" s="2" t="s">
        <v>193</v>
      </c>
      <c r="G524" s="2" t="s">
        <v>1211</v>
      </c>
      <c r="H524" s="17">
        <v>5680</v>
      </c>
      <c r="I524" s="2"/>
      <c r="J524" s="2"/>
      <c r="K524" s="17">
        <v>5680</v>
      </c>
      <c r="L524" s="18">
        <v>608.57000000000005</v>
      </c>
      <c r="M524" s="17">
        <v>5071.43</v>
      </c>
      <c r="N524" s="17">
        <v>5680</v>
      </c>
      <c r="O524" s="2"/>
      <c r="P524" s="2"/>
      <c r="Q524" s="31" t="s">
        <v>36</v>
      </c>
      <c r="R524" s="62"/>
      <c r="S524" s="62"/>
      <c r="T524" s="5"/>
    </row>
    <row r="525" spans="1:20" hidden="1">
      <c r="A525" s="2" t="s">
        <v>1117</v>
      </c>
      <c r="B525" s="2" t="s">
        <v>1212</v>
      </c>
      <c r="C525" s="2" t="s">
        <v>162</v>
      </c>
      <c r="D525" s="16">
        <v>90</v>
      </c>
      <c r="E525" s="2" t="s">
        <v>1156</v>
      </c>
      <c r="F525" s="2" t="s">
        <v>193</v>
      </c>
      <c r="G525" s="2" t="s">
        <v>1213</v>
      </c>
      <c r="H525" s="17">
        <v>224410</v>
      </c>
      <c r="I525" s="2"/>
      <c r="J525" s="2"/>
      <c r="K525" s="17">
        <v>224410</v>
      </c>
      <c r="L525" s="17">
        <v>24043.93</v>
      </c>
      <c r="M525" s="17">
        <v>200366.07</v>
      </c>
      <c r="N525" s="17">
        <v>224410</v>
      </c>
      <c r="O525" s="2"/>
      <c r="P525" s="2"/>
      <c r="Q525" s="31" t="s">
        <v>36</v>
      </c>
      <c r="R525" s="62"/>
      <c r="S525" s="62"/>
      <c r="T525" s="5"/>
    </row>
    <row r="526" spans="1:20" hidden="1">
      <c r="A526" s="2" t="s">
        <v>1117</v>
      </c>
      <c r="B526" s="2" t="s">
        <v>1214</v>
      </c>
      <c r="C526" s="2" t="s">
        <v>146</v>
      </c>
      <c r="D526" s="16">
        <v>90</v>
      </c>
      <c r="E526" s="2" t="s">
        <v>1156</v>
      </c>
      <c r="F526" s="2" t="s">
        <v>193</v>
      </c>
      <c r="G526" s="2" t="s">
        <v>1215</v>
      </c>
      <c r="H526" s="17">
        <v>27750</v>
      </c>
      <c r="I526" s="2"/>
      <c r="J526" s="2"/>
      <c r="K526" s="17">
        <v>27750</v>
      </c>
      <c r="L526" s="17">
        <v>2973.21</v>
      </c>
      <c r="M526" s="17">
        <v>24776.79</v>
      </c>
      <c r="N526" s="17">
        <v>27750</v>
      </c>
      <c r="O526" s="2"/>
      <c r="P526" s="2"/>
      <c r="Q526" s="31" t="s">
        <v>36</v>
      </c>
      <c r="R526" s="62"/>
      <c r="S526" s="62"/>
      <c r="T526" s="5"/>
    </row>
    <row r="527" spans="1:20" hidden="1">
      <c r="A527" s="2" t="s">
        <v>1217</v>
      </c>
      <c r="B527" s="2" t="s">
        <v>1268</v>
      </c>
      <c r="C527" s="2" t="s">
        <v>146</v>
      </c>
      <c r="D527" s="16">
        <v>90</v>
      </c>
      <c r="E527" s="2" t="s">
        <v>1235</v>
      </c>
      <c r="F527" s="2" t="s">
        <v>193</v>
      </c>
      <c r="G527" s="2" t="s">
        <v>1269</v>
      </c>
      <c r="H527" s="17">
        <v>436450</v>
      </c>
      <c r="I527" s="2"/>
      <c r="J527" s="2"/>
      <c r="K527" s="17">
        <v>436450</v>
      </c>
      <c r="L527" s="17">
        <v>46762.5</v>
      </c>
      <c r="M527" s="17">
        <v>389687.5</v>
      </c>
      <c r="N527" s="17">
        <v>436450</v>
      </c>
      <c r="O527" s="2"/>
      <c r="P527" s="2"/>
      <c r="Q527" s="31" t="s">
        <v>36</v>
      </c>
      <c r="R527" s="62"/>
      <c r="S527" s="62"/>
      <c r="T527" s="5"/>
    </row>
    <row r="528" spans="1:20" hidden="1">
      <c r="A528" s="2" t="s">
        <v>1217</v>
      </c>
      <c r="B528" s="2" t="s">
        <v>1272</v>
      </c>
      <c r="C528" s="2" t="s">
        <v>146</v>
      </c>
      <c r="D528" s="16">
        <v>90</v>
      </c>
      <c r="E528" s="2" t="s">
        <v>1235</v>
      </c>
      <c r="F528" s="2" t="s">
        <v>193</v>
      </c>
      <c r="G528" s="2" t="s">
        <v>1273</v>
      </c>
      <c r="H528" s="17">
        <v>327240</v>
      </c>
      <c r="I528" s="2"/>
      <c r="J528" s="2"/>
      <c r="K528" s="17">
        <v>327240</v>
      </c>
      <c r="L528" s="17">
        <v>35061.43</v>
      </c>
      <c r="M528" s="17">
        <v>292178.57</v>
      </c>
      <c r="N528" s="17">
        <v>327240</v>
      </c>
      <c r="O528" s="2"/>
      <c r="P528" s="2"/>
      <c r="Q528" s="31" t="s">
        <v>36</v>
      </c>
      <c r="R528" s="62"/>
      <c r="S528" s="62"/>
      <c r="T528" s="5"/>
    </row>
    <row r="529" spans="1:20" hidden="1">
      <c r="A529" s="2" t="s">
        <v>1217</v>
      </c>
      <c r="B529" s="2" t="s">
        <v>1276</v>
      </c>
      <c r="C529" s="2" t="s">
        <v>146</v>
      </c>
      <c r="D529" s="16">
        <v>90</v>
      </c>
      <c r="E529" s="2" t="s">
        <v>1235</v>
      </c>
      <c r="F529" s="2" t="s">
        <v>193</v>
      </c>
      <c r="G529" s="2" t="s">
        <v>1277</v>
      </c>
      <c r="H529" s="17">
        <v>90300</v>
      </c>
      <c r="I529" s="2"/>
      <c r="J529" s="2"/>
      <c r="K529" s="17">
        <v>90300</v>
      </c>
      <c r="L529" s="17">
        <v>9675</v>
      </c>
      <c r="M529" s="17">
        <v>80625</v>
      </c>
      <c r="N529" s="17">
        <v>90300</v>
      </c>
      <c r="O529" s="2"/>
      <c r="P529" s="2"/>
      <c r="Q529" s="31" t="s">
        <v>36</v>
      </c>
      <c r="R529" s="62"/>
      <c r="S529" s="62"/>
      <c r="T529" s="5"/>
    </row>
    <row r="530" spans="1:20" hidden="1">
      <c r="A530" s="2" t="s">
        <v>1287</v>
      </c>
      <c r="B530" s="2" t="s">
        <v>1344</v>
      </c>
      <c r="C530" s="2" t="s">
        <v>162</v>
      </c>
      <c r="D530" s="16">
        <v>90</v>
      </c>
      <c r="E530" s="2" t="s">
        <v>1315</v>
      </c>
      <c r="F530" s="2" t="s">
        <v>193</v>
      </c>
      <c r="G530" s="2" t="s">
        <v>1345</v>
      </c>
      <c r="H530" s="17">
        <v>198750</v>
      </c>
      <c r="I530" s="2"/>
      <c r="J530" s="2"/>
      <c r="K530" s="17">
        <v>198750</v>
      </c>
      <c r="L530" s="17">
        <v>21294.639999999999</v>
      </c>
      <c r="M530" s="17">
        <v>177455.35999999999</v>
      </c>
      <c r="N530" s="17">
        <v>198750</v>
      </c>
      <c r="O530" s="2"/>
      <c r="P530" s="2"/>
      <c r="Q530" s="31" t="s">
        <v>36</v>
      </c>
      <c r="R530" s="63"/>
      <c r="S530" s="62"/>
      <c r="T530" s="5"/>
    </row>
    <row r="531" spans="1:20" hidden="1">
      <c r="A531" s="2" t="s">
        <v>17</v>
      </c>
      <c r="B531" s="2" t="s">
        <v>33</v>
      </c>
      <c r="C531" s="2" t="s">
        <v>34</v>
      </c>
      <c r="D531" s="16">
        <v>60</v>
      </c>
      <c r="E531" s="2" t="s">
        <v>35</v>
      </c>
      <c r="F531" s="2" t="s">
        <v>37</v>
      </c>
      <c r="G531" s="2" t="s">
        <v>38</v>
      </c>
      <c r="H531" s="17">
        <v>173450.58</v>
      </c>
      <c r="I531" s="2"/>
      <c r="J531" s="2"/>
      <c r="K531" s="17">
        <v>173450.58</v>
      </c>
      <c r="L531" s="17">
        <v>18583.990000000002</v>
      </c>
      <c r="M531" s="17">
        <v>154866.59</v>
      </c>
      <c r="N531" s="17">
        <v>173450.58</v>
      </c>
      <c r="O531" s="2"/>
      <c r="P531" s="2"/>
      <c r="Q531" s="31" t="s">
        <v>36</v>
      </c>
      <c r="R531" s="61">
        <f>+K531+K532+K533+K534</f>
        <v>691740.65999999992</v>
      </c>
      <c r="S531" s="62"/>
      <c r="T531" s="5"/>
    </row>
    <row r="532" spans="1:20" hidden="1">
      <c r="A532" s="2" t="s">
        <v>93</v>
      </c>
      <c r="B532" s="2" t="s">
        <v>135</v>
      </c>
      <c r="C532" s="2" t="s">
        <v>34</v>
      </c>
      <c r="D532" s="16">
        <v>60</v>
      </c>
      <c r="E532" s="2" t="s">
        <v>136</v>
      </c>
      <c r="F532" s="2" t="s">
        <v>37</v>
      </c>
      <c r="G532" s="2" t="s">
        <v>137</v>
      </c>
      <c r="H532" s="17">
        <v>32101.08</v>
      </c>
      <c r="I532" s="2"/>
      <c r="J532" s="2"/>
      <c r="K532" s="17">
        <v>32101.08</v>
      </c>
      <c r="L532" s="17">
        <v>3439.4</v>
      </c>
      <c r="M532" s="17">
        <v>28661.68</v>
      </c>
      <c r="N532" s="17">
        <v>32101.08</v>
      </c>
      <c r="O532" s="2"/>
      <c r="P532" s="2"/>
      <c r="Q532" s="31" t="s">
        <v>36</v>
      </c>
      <c r="R532" s="62"/>
      <c r="S532" s="62"/>
      <c r="T532" s="5"/>
    </row>
    <row r="533" spans="1:20" hidden="1">
      <c r="A533" s="2" t="s">
        <v>1287</v>
      </c>
      <c r="B533" s="2" t="s">
        <v>1340</v>
      </c>
      <c r="C533" s="2" t="s">
        <v>34</v>
      </c>
      <c r="D533" s="16">
        <v>60</v>
      </c>
      <c r="E533" s="2" t="s">
        <v>1331</v>
      </c>
      <c r="F533" s="2" t="s">
        <v>37</v>
      </c>
      <c r="G533" s="2" t="s">
        <v>1341</v>
      </c>
      <c r="H533" s="17">
        <v>467200</v>
      </c>
      <c r="I533" s="2"/>
      <c r="J533" s="2"/>
      <c r="K533" s="17">
        <v>467200</v>
      </c>
      <c r="L533" s="17">
        <v>50057.14</v>
      </c>
      <c r="M533" s="17">
        <v>417142.86</v>
      </c>
      <c r="N533" s="17">
        <v>467200</v>
      </c>
      <c r="O533" s="2"/>
      <c r="P533" s="2"/>
      <c r="Q533" s="31" t="s">
        <v>36</v>
      </c>
      <c r="R533" s="62"/>
      <c r="S533" s="62"/>
      <c r="T533" s="5"/>
    </row>
    <row r="534" spans="1:20" hidden="1">
      <c r="A534" s="2" t="s">
        <v>1372</v>
      </c>
      <c r="B534" s="2" t="s">
        <v>1381</v>
      </c>
      <c r="C534" s="2" t="s">
        <v>34</v>
      </c>
      <c r="D534" s="16">
        <v>60</v>
      </c>
      <c r="E534" s="2" t="s">
        <v>1373</v>
      </c>
      <c r="F534" s="2" t="s">
        <v>37</v>
      </c>
      <c r="G534" s="2" t="s">
        <v>1382</v>
      </c>
      <c r="H534" s="17">
        <v>18989</v>
      </c>
      <c r="I534" s="2"/>
      <c r="J534" s="2"/>
      <c r="K534" s="17">
        <v>18989</v>
      </c>
      <c r="L534" s="17">
        <v>2034.54</v>
      </c>
      <c r="M534" s="17">
        <v>16954.46</v>
      </c>
      <c r="N534" s="17">
        <v>18989</v>
      </c>
      <c r="O534" s="2"/>
      <c r="P534" s="2"/>
      <c r="Q534" s="31" t="s">
        <v>36</v>
      </c>
      <c r="R534" s="63"/>
      <c r="S534" s="63"/>
      <c r="T534" s="5"/>
    </row>
    <row r="535" spans="1:20" hidden="1">
      <c r="A535" s="2" t="s">
        <v>1117</v>
      </c>
      <c r="B535" s="2" t="s">
        <v>1140</v>
      </c>
      <c r="C535" s="2" t="s">
        <v>60</v>
      </c>
      <c r="D535" s="16">
        <v>0</v>
      </c>
      <c r="E535" s="2" t="s">
        <v>1117</v>
      </c>
      <c r="F535" s="2" t="s">
        <v>1142</v>
      </c>
      <c r="G535" s="2" t="s">
        <v>1143</v>
      </c>
      <c r="H535" s="17">
        <v>403050.68</v>
      </c>
      <c r="I535" s="2"/>
      <c r="J535" s="2"/>
      <c r="K535" s="17">
        <v>403050.68</v>
      </c>
      <c r="L535" s="17">
        <v>43184</v>
      </c>
      <c r="M535" s="17">
        <v>359866.68</v>
      </c>
      <c r="N535" s="17">
        <v>403050.68</v>
      </c>
      <c r="O535" s="2"/>
      <c r="P535" s="2"/>
      <c r="Q535" s="31" t="s">
        <v>1141</v>
      </c>
      <c r="R535" s="61">
        <f>+K535+K536</f>
        <v>510650.68</v>
      </c>
      <c r="S535" s="61">
        <f>+R535</f>
        <v>510650.68</v>
      </c>
      <c r="T535" s="5"/>
    </row>
    <row r="536" spans="1:20" hidden="1">
      <c r="A536" s="2" t="s">
        <v>1117</v>
      </c>
      <c r="B536" s="2" t="s">
        <v>1144</v>
      </c>
      <c r="C536" s="2" t="s">
        <v>60</v>
      </c>
      <c r="D536" s="16">
        <v>0</v>
      </c>
      <c r="E536" s="2" t="s">
        <v>1117</v>
      </c>
      <c r="F536" s="2" t="s">
        <v>1142</v>
      </c>
      <c r="G536" s="2" t="s">
        <v>1145</v>
      </c>
      <c r="H536" s="17">
        <v>107600</v>
      </c>
      <c r="I536" s="2"/>
      <c r="J536" s="2"/>
      <c r="K536" s="17">
        <v>107600</v>
      </c>
      <c r="L536" s="17">
        <v>11528.57</v>
      </c>
      <c r="M536" s="17">
        <v>96071.43</v>
      </c>
      <c r="N536" s="17">
        <v>107600</v>
      </c>
      <c r="O536" s="2"/>
      <c r="P536" s="2"/>
      <c r="Q536" s="31" t="s">
        <v>1141</v>
      </c>
      <c r="R536" s="63"/>
      <c r="S536" s="63"/>
      <c r="T536" s="5"/>
    </row>
    <row r="537" spans="1:20" hidden="1">
      <c r="A537" s="2" t="s">
        <v>1117</v>
      </c>
      <c r="B537" s="2" t="s">
        <v>1175</v>
      </c>
      <c r="C537" s="2" t="s">
        <v>23</v>
      </c>
      <c r="D537" s="16">
        <v>30</v>
      </c>
      <c r="E537" s="2" t="s">
        <v>1118</v>
      </c>
      <c r="F537" s="2" t="s">
        <v>1176</v>
      </c>
      <c r="G537" s="2" t="s">
        <v>1177</v>
      </c>
      <c r="H537" s="17">
        <v>63822</v>
      </c>
      <c r="I537" s="2"/>
      <c r="J537" s="2"/>
      <c r="K537" s="17">
        <v>63822</v>
      </c>
      <c r="L537" s="17">
        <v>6838.07</v>
      </c>
      <c r="M537" s="17">
        <v>56983.93</v>
      </c>
      <c r="N537" s="17">
        <v>63822</v>
      </c>
      <c r="O537" s="2"/>
      <c r="P537" s="2"/>
      <c r="Q537" s="31" t="s">
        <v>50</v>
      </c>
      <c r="R537" s="64">
        <f>+K537+K538</f>
        <v>250572</v>
      </c>
      <c r="S537" s="61">
        <f>+R537+R539+R545+R546+R547+R549+R550+R553+R555+R570+R571+R572+R575+R577+R581+R582+R584+R586+R587+R588+R590</f>
        <v>8297696.3799999999</v>
      </c>
      <c r="T537" s="5"/>
    </row>
    <row r="538" spans="1:20" hidden="1">
      <c r="A538" s="2" t="s">
        <v>1117</v>
      </c>
      <c r="B538" s="2" t="s">
        <v>1206</v>
      </c>
      <c r="C538" s="2" t="s">
        <v>23</v>
      </c>
      <c r="D538" s="16">
        <v>30</v>
      </c>
      <c r="E538" s="2" t="s">
        <v>1118</v>
      </c>
      <c r="F538" s="2" t="s">
        <v>1176</v>
      </c>
      <c r="G538" s="2" t="s">
        <v>1207</v>
      </c>
      <c r="H538" s="17">
        <v>186750</v>
      </c>
      <c r="I538" s="2"/>
      <c r="J538" s="2"/>
      <c r="K538" s="17">
        <v>186750</v>
      </c>
      <c r="L538" s="17">
        <v>20008.93</v>
      </c>
      <c r="M538" s="17">
        <v>166741.07</v>
      </c>
      <c r="N538" s="17">
        <v>186750</v>
      </c>
      <c r="O538" s="2"/>
      <c r="P538" s="2"/>
      <c r="Q538" s="31" t="s">
        <v>50</v>
      </c>
      <c r="R538" s="65"/>
      <c r="S538" s="62"/>
      <c r="T538" s="5"/>
    </row>
    <row r="539" spans="1:20" hidden="1">
      <c r="A539" s="2" t="s">
        <v>769</v>
      </c>
      <c r="B539" s="2" t="s">
        <v>823</v>
      </c>
      <c r="C539" s="2" t="s">
        <v>60</v>
      </c>
      <c r="D539" s="16">
        <v>0</v>
      </c>
      <c r="E539" s="2" t="s">
        <v>769</v>
      </c>
      <c r="F539" s="2" t="s">
        <v>824</v>
      </c>
      <c r="G539" s="2" t="s">
        <v>825</v>
      </c>
      <c r="H539" s="17">
        <v>300075</v>
      </c>
      <c r="I539" s="2"/>
      <c r="J539" s="2"/>
      <c r="K539" s="17">
        <v>300075</v>
      </c>
      <c r="L539" s="17">
        <v>32150.89</v>
      </c>
      <c r="M539" s="17">
        <v>267924.11</v>
      </c>
      <c r="N539" s="17">
        <v>300075</v>
      </c>
      <c r="O539" s="2"/>
      <c r="P539" s="2"/>
      <c r="Q539" s="31" t="s">
        <v>50</v>
      </c>
      <c r="R539" s="64">
        <f>+K539+K540</f>
        <v>356824</v>
      </c>
      <c r="S539" s="62"/>
      <c r="T539" s="5"/>
    </row>
    <row r="540" spans="1:20" hidden="1">
      <c r="A540" s="2" t="s">
        <v>769</v>
      </c>
      <c r="B540" s="2" t="s">
        <v>828</v>
      </c>
      <c r="C540" s="2" t="s">
        <v>60</v>
      </c>
      <c r="D540" s="16">
        <v>0</v>
      </c>
      <c r="E540" s="2" t="s">
        <v>769</v>
      </c>
      <c r="F540" s="2" t="s">
        <v>824</v>
      </c>
      <c r="G540" s="2" t="s">
        <v>829</v>
      </c>
      <c r="H540" s="17">
        <v>56749</v>
      </c>
      <c r="I540" s="2"/>
      <c r="J540" s="2"/>
      <c r="K540" s="17">
        <v>56749</v>
      </c>
      <c r="L540" s="17">
        <v>6080.25</v>
      </c>
      <c r="M540" s="17">
        <v>50668.75</v>
      </c>
      <c r="N540" s="17">
        <v>56749</v>
      </c>
      <c r="O540" s="2"/>
      <c r="P540" s="2"/>
      <c r="Q540" s="31" t="s">
        <v>50</v>
      </c>
      <c r="R540" s="65"/>
      <c r="S540" s="62"/>
      <c r="T540" s="5"/>
    </row>
    <row r="541" spans="1:20" ht="14.45" customHeight="1">
      <c r="A541" s="2" t="s">
        <v>17</v>
      </c>
      <c r="B541" s="2" t="s">
        <v>49</v>
      </c>
      <c r="C541" s="2" t="s">
        <v>29</v>
      </c>
      <c r="D541" s="16">
        <v>0</v>
      </c>
      <c r="E541" s="2" t="s">
        <v>17</v>
      </c>
      <c r="F541" s="2" t="s">
        <v>51</v>
      </c>
      <c r="G541" s="2" t="s">
        <v>52</v>
      </c>
      <c r="H541" s="17">
        <v>11602.84</v>
      </c>
      <c r="I541" s="2"/>
      <c r="J541" s="17">
        <v>11602.84</v>
      </c>
      <c r="K541" s="2">
        <v>0</v>
      </c>
      <c r="L541" s="17">
        <v>1243.1600000000001</v>
      </c>
      <c r="M541" s="17">
        <v>10359.68</v>
      </c>
      <c r="N541" s="17">
        <v>11602.84</v>
      </c>
      <c r="O541" s="2" t="s">
        <v>1767</v>
      </c>
      <c r="P541" s="2"/>
      <c r="Q541" s="31" t="s">
        <v>50</v>
      </c>
      <c r="R541" s="5"/>
      <c r="S541" s="66"/>
      <c r="T541" s="61">
        <f>+J541+J542+J543+J544+J555+J556+J558+J559+J560+J562+J567</f>
        <v>149565.62</v>
      </c>
    </row>
    <row r="542" spans="1:20" ht="14.45" customHeight="1">
      <c r="A542" s="2" t="s">
        <v>448</v>
      </c>
      <c r="B542" s="2" t="s">
        <v>476</v>
      </c>
      <c r="C542" s="2" t="s">
        <v>29</v>
      </c>
      <c r="D542" s="16">
        <v>0</v>
      </c>
      <c r="E542" s="2" t="s">
        <v>448</v>
      </c>
      <c r="F542" s="2" t="s">
        <v>51</v>
      </c>
      <c r="G542" s="2" t="s">
        <v>477</v>
      </c>
      <c r="H542" s="17">
        <v>11687.4</v>
      </c>
      <c r="I542" s="2"/>
      <c r="J542" s="17">
        <v>11687.4</v>
      </c>
      <c r="K542" s="2">
        <v>0</v>
      </c>
      <c r="L542" s="17">
        <v>1252.22</v>
      </c>
      <c r="M542" s="17">
        <v>10435.18</v>
      </c>
      <c r="N542" s="17">
        <v>11687.4</v>
      </c>
      <c r="O542" s="2" t="s">
        <v>1767</v>
      </c>
      <c r="P542" s="2"/>
      <c r="Q542" s="31" t="s">
        <v>50</v>
      </c>
      <c r="R542" s="5"/>
      <c r="S542" s="66"/>
      <c r="T542" s="62"/>
    </row>
    <row r="543" spans="1:20" ht="14.45" customHeight="1">
      <c r="A543" s="2" t="s">
        <v>596</v>
      </c>
      <c r="B543" s="2" t="s">
        <v>622</v>
      </c>
      <c r="C543" s="2" t="s">
        <v>29</v>
      </c>
      <c r="D543" s="16">
        <v>0</v>
      </c>
      <c r="E543" s="2" t="s">
        <v>596</v>
      </c>
      <c r="F543" s="2" t="s">
        <v>51</v>
      </c>
      <c r="G543" s="2" t="s">
        <v>623</v>
      </c>
      <c r="H543" s="17">
        <v>11657.2</v>
      </c>
      <c r="I543" s="2"/>
      <c r="J543" s="17">
        <v>11657.2</v>
      </c>
      <c r="K543" s="2">
        <v>0</v>
      </c>
      <c r="L543" s="17">
        <v>1248.99</v>
      </c>
      <c r="M543" s="17">
        <v>10408.209999999999</v>
      </c>
      <c r="N543" s="17">
        <v>11657.2</v>
      </c>
      <c r="O543" s="2" t="s">
        <v>1767</v>
      </c>
      <c r="P543" s="2" t="s">
        <v>1767</v>
      </c>
      <c r="Q543" s="31" t="s">
        <v>50</v>
      </c>
      <c r="R543" s="5"/>
      <c r="S543" s="66"/>
      <c r="T543" s="62"/>
    </row>
    <row r="544" spans="1:20" ht="14.45" customHeight="1">
      <c r="A544" s="2" t="s">
        <v>1467</v>
      </c>
      <c r="B544" s="2" t="s">
        <v>1472</v>
      </c>
      <c r="C544" s="2" t="s">
        <v>29</v>
      </c>
      <c r="D544" s="16">
        <v>0</v>
      </c>
      <c r="E544" s="2" t="s">
        <v>1467</v>
      </c>
      <c r="F544" s="2" t="s">
        <v>51</v>
      </c>
      <c r="G544" s="2" t="s">
        <v>1473</v>
      </c>
      <c r="H544" s="17">
        <v>30168.18</v>
      </c>
      <c r="I544" s="2"/>
      <c r="J544" s="17">
        <v>30168.18</v>
      </c>
      <c r="K544" s="2">
        <v>0</v>
      </c>
      <c r="L544" s="17">
        <v>3232.31</v>
      </c>
      <c r="M544" s="17">
        <v>26935.87</v>
      </c>
      <c r="N544" s="17">
        <v>30168.18</v>
      </c>
      <c r="O544" s="2" t="s">
        <v>1767</v>
      </c>
      <c r="P544" s="2"/>
      <c r="Q544" s="31" t="s">
        <v>50</v>
      </c>
      <c r="R544" s="5"/>
      <c r="S544" s="66"/>
      <c r="T544" s="62"/>
    </row>
    <row r="545" spans="1:20" ht="14.45" hidden="1" customHeight="1">
      <c r="A545" s="2" t="s">
        <v>596</v>
      </c>
      <c r="B545" s="2" t="s">
        <v>624</v>
      </c>
      <c r="C545" s="2" t="s">
        <v>243</v>
      </c>
      <c r="D545" s="16">
        <v>30</v>
      </c>
      <c r="E545" s="2" t="s">
        <v>619</v>
      </c>
      <c r="F545" s="2" t="s">
        <v>626</v>
      </c>
      <c r="G545" s="2" t="s">
        <v>627</v>
      </c>
      <c r="H545" s="17">
        <v>4900</v>
      </c>
      <c r="I545" s="2"/>
      <c r="J545" s="2"/>
      <c r="K545" s="17">
        <v>4900</v>
      </c>
      <c r="L545" s="18">
        <v>525</v>
      </c>
      <c r="M545" s="17">
        <v>4375</v>
      </c>
      <c r="N545" s="17">
        <v>4900</v>
      </c>
      <c r="O545" s="2"/>
      <c r="P545" s="2"/>
      <c r="Q545" s="31" t="s">
        <v>625</v>
      </c>
      <c r="R545" s="41">
        <f>+K545</f>
        <v>4900</v>
      </c>
      <c r="S545" s="66"/>
      <c r="T545" s="62"/>
    </row>
    <row r="546" spans="1:20" ht="14.45" hidden="1" customHeight="1">
      <c r="A546" s="2" t="s">
        <v>1048</v>
      </c>
      <c r="B546" s="2" t="s">
        <v>1082</v>
      </c>
      <c r="C546" s="2" t="s">
        <v>60</v>
      </c>
      <c r="D546" s="16">
        <v>0</v>
      </c>
      <c r="E546" s="2" t="s">
        <v>1048</v>
      </c>
      <c r="F546" s="2" t="s">
        <v>1083</v>
      </c>
      <c r="G546" s="2" t="s">
        <v>1084</v>
      </c>
      <c r="H546" s="17">
        <v>94908</v>
      </c>
      <c r="I546" s="19">
        <v>-1898.16</v>
      </c>
      <c r="J546" s="2"/>
      <c r="K546" s="17">
        <v>93009.84</v>
      </c>
      <c r="L546" s="17">
        <v>9965.34</v>
      </c>
      <c r="M546" s="17">
        <v>83044.5</v>
      </c>
      <c r="N546" s="17">
        <v>93009.84</v>
      </c>
      <c r="O546" s="2"/>
      <c r="P546" s="2"/>
      <c r="Q546" s="31" t="s">
        <v>625</v>
      </c>
      <c r="R546" s="41">
        <f>+K546</f>
        <v>93009.84</v>
      </c>
      <c r="S546" s="66"/>
      <c r="T546" s="62"/>
    </row>
    <row r="547" spans="1:20" ht="14.45" hidden="1" customHeight="1">
      <c r="A547" s="2" t="s">
        <v>769</v>
      </c>
      <c r="B547" s="2" t="s">
        <v>792</v>
      </c>
      <c r="C547" s="2" t="s">
        <v>34</v>
      </c>
      <c r="D547" s="16">
        <v>60</v>
      </c>
      <c r="E547" s="2" t="s">
        <v>770</v>
      </c>
      <c r="F547" s="2" t="s">
        <v>793</v>
      </c>
      <c r="G547" s="2" t="s">
        <v>794</v>
      </c>
      <c r="H547" s="17">
        <v>48003</v>
      </c>
      <c r="I547" s="2"/>
      <c r="J547" s="2"/>
      <c r="K547" s="17">
        <v>48003</v>
      </c>
      <c r="L547" s="17">
        <v>5143.18</v>
      </c>
      <c r="M547" s="17">
        <v>42859.82</v>
      </c>
      <c r="N547" s="17">
        <v>48003</v>
      </c>
      <c r="O547" s="2"/>
      <c r="P547" s="2"/>
      <c r="Q547" s="31" t="s">
        <v>625</v>
      </c>
      <c r="R547" s="64">
        <f>+K547+K548</f>
        <v>49431</v>
      </c>
      <c r="S547" s="66"/>
      <c r="T547" s="62"/>
    </row>
    <row r="548" spans="1:20" ht="14.45" hidden="1" customHeight="1">
      <c r="A548" s="2" t="s">
        <v>1372</v>
      </c>
      <c r="B548" s="2" t="s">
        <v>1379</v>
      </c>
      <c r="C548" s="2" t="s">
        <v>681</v>
      </c>
      <c r="D548" s="16">
        <v>0</v>
      </c>
      <c r="E548" s="2" t="s">
        <v>1372</v>
      </c>
      <c r="F548" s="2" t="s">
        <v>793</v>
      </c>
      <c r="G548" s="2" t="s">
        <v>1380</v>
      </c>
      <c r="H548" s="17">
        <v>1428</v>
      </c>
      <c r="I548" s="2"/>
      <c r="J548" s="2"/>
      <c r="K548" s="17">
        <v>1428</v>
      </c>
      <c r="L548" s="18">
        <v>153</v>
      </c>
      <c r="M548" s="17">
        <v>1275</v>
      </c>
      <c r="N548" s="17">
        <v>1428</v>
      </c>
      <c r="O548" s="2"/>
      <c r="P548" s="2"/>
      <c r="Q548" s="31" t="s">
        <v>625</v>
      </c>
      <c r="R548" s="65"/>
      <c r="S548" s="66"/>
      <c r="T548" s="62"/>
    </row>
    <row r="549" spans="1:20" ht="14.45" hidden="1" customHeight="1">
      <c r="A549" s="2" t="s">
        <v>17</v>
      </c>
      <c r="B549" s="2" t="s">
        <v>16</v>
      </c>
      <c r="C549" s="2" t="s">
        <v>18</v>
      </c>
      <c r="D549" s="16">
        <v>0</v>
      </c>
      <c r="E549" s="2" t="s">
        <v>17</v>
      </c>
      <c r="F549" s="2" t="s">
        <v>20</v>
      </c>
      <c r="G549" s="2" t="s">
        <v>21</v>
      </c>
      <c r="H549" s="17">
        <v>105000</v>
      </c>
      <c r="I549" s="2"/>
      <c r="J549" s="2"/>
      <c r="K549" s="17">
        <v>105000</v>
      </c>
      <c r="L549" s="17">
        <v>11250</v>
      </c>
      <c r="M549" s="17">
        <v>93750</v>
      </c>
      <c r="N549" s="17">
        <v>105000</v>
      </c>
      <c r="O549" s="2"/>
      <c r="P549" s="2"/>
      <c r="Q549" s="31" t="s">
        <v>19</v>
      </c>
      <c r="R549" s="41">
        <f>+K549</f>
        <v>105000</v>
      </c>
      <c r="S549" s="66"/>
      <c r="T549" s="62"/>
    </row>
    <row r="550" spans="1:20" ht="14.45" hidden="1" customHeight="1">
      <c r="A550" s="2" t="s">
        <v>368</v>
      </c>
      <c r="B550" s="2" t="s">
        <v>388</v>
      </c>
      <c r="C550" s="2" t="s">
        <v>237</v>
      </c>
      <c r="D550" s="16">
        <v>60</v>
      </c>
      <c r="E550" s="2" t="s">
        <v>376</v>
      </c>
      <c r="F550" s="2" t="s">
        <v>389</v>
      </c>
      <c r="G550" s="2" t="s">
        <v>390</v>
      </c>
      <c r="H550" s="17">
        <v>63000</v>
      </c>
      <c r="I550" s="2"/>
      <c r="J550" s="2"/>
      <c r="K550" s="17">
        <v>63000</v>
      </c>
      <c r="L550" s="17">
        <v>6750</v>
      </c>
      <c r="M550" s="17">
        <v>56250</v>
      </c>
      <c r="N550" s="17">
        <v>63000</v>
      </c>
      <c r="O550" s="2"/>
      <c r="P550" s="2"/>
      <c r="Q550" s="31" t="s">
        <v>19</v>
      </c>
      <c r="R550" s="64">
        <f>+K550+K551+K552</f>
        <v>260400</v>
      </c>
      <c r="S550" s="66"/>
      <c r="T550" s="62"/>
    </row>
    <row r="551" spans="1:20" ht="14.45" hidden="1" customHeight="1">
      <c r="A551" s="2" t="s">
        <v>368</v>
      </c>
      <c r="B551" s="2" t="s">
        <v>428</v>
      </c>
      <c r="C551" s="2" t="s">
        <v>237</v>
      </c>
      <c r="D551" s="16">
        <v>60</v>
      </c>
      <c r="E551" s="2" t="s">
        <v>376</v>
      </c>
      <c r="F551" s="2" t="s">
        <v>389</v>
      </c>
      <c r="G551" s="2" t="s">
        <v>429</v>
      </c>
      <c r="H551" s="17">
        <v>97496</v>
      </c>
      <c r="I551" s="2"/>
      <c r="J551" s="2"/>
      <c r="K551" s="17">
        <v>97496</v>
      </c>
      <c r="L551" s="17">
        <v>10446</v>
      </c>
      <c r="M551" s="17">
        <v>87050</v>
      </c>
      <c r="N551" s="17">
        <v>97496</v>
      </c>
      <c r="O551" s="2"/>
      <c r="P551" s="2"/>
      <c r="Q551" s="31" t="s">
        <v>19</v>
      </c>
      <c r="R551" s="66"/>
      <c r="S551" s="66"/>
      <c r="T551" s="62"/>
    </row>
    <row r="552" spans="1:20" ht="14.45" hidden="1" customHeight="1">
      <c r="A552" s="2" t="s">
        <v>368</v>
      </c>
      <c r="B552" s="2" t="s">
        <v>430</v>
      </c>
      <c r="C552" s="2" t="s">
        <v>237</v>
      </c>
      <c r="D552" s="16">
        <v>60</v>
      </c>
      <c r="E552" s="2" t="s">
        <v>376</v>
      </c>
      <c r="F552" s="2" t="s">
        <v>389</v>
      </c>
      <c r="G552" s="2" t="s">
        <v>431</v>
      </c>
      <c r="H552" s="17">
        <v>99904</v>
      </c>
      <c r="I552" s="2"/>
      <c r="J552" s="2"/>
      <c r="K552" s="17">
        <v>99904</v>
      </c>
      <c r="L552" s="17">
        <v>10704</v>
      </c>
      <c r="M552" s="17">
        <v>89200</v>
      </c>
      <c r="N552" s="17">
        <v>99904</v>
      </c>
      <c r="O552" s="2"/>
      <c r="P552" s="2"/>
      <c r="Q552" s="31" t="s">
        <v>19</v>
      </c>
      <c r="R552" s="65"/>
      <c r="S552" s="66"/>
      <c r="T552" s="62"/>
    </row>
    <row r="553" spans="1:20" ht="14.45" hidden="1" customHeight="1">
      <c r="A553" s="2" t="s">
        <v>368</v>
      </c>
      <c r="B553" s="2" t="s">
        <v>414</v>
      </c>
      <c r="C553" s="2" t="s">
        <v>146</v>
      </c>
      <c r="D553" s="16">
        <v>90</v>
      </c>
      <c r="E553" s="2" t="s">
        <v>383</v>
      </c>
      <c r="F553" s="2" t="s">
        <v>415</v>
      </c>
      <c r="G553" s="2" t="s">
        <v>416</v>
      </c>
      <c r="H553" s="17">
        <v>161080</v>
      </c>
      <c r="I553" s="2"/>
      <c r="J553" s="2"/>
      <c r="K553" s="17">
        <v>161080</v>
      </c>
      <c r="L553" s="17">
        <v>17258.57</v>
      </c>
      <c r="M553" s="17">
        <v>143821.43</v>
      </c>
      <c r="N553" s="17">
        <v>161080</v>
      </c>
      <c r="O553" s="2"/>
      <c r="P553" s="2"/>
      <c r="Q553" s="31" t="s">
        <v>19</v>
      </c>
      <c r="R553" s="64">
        <f>+K553+K554</f>
        <v>1073992</v>
      </c>
      <c r="S553" s="66"/>
      <c r="T553" s="62"/>
    </row>
    <row r="554" spans="1:20" ht="14.45" hidden="1" customHeight="1">
      <c r="A554" s="2" t="s">
        <v>368</v>
      </c>
      <c r="B554" s="2" t="s">
        <v>417</v>
      </c>
      <c r="C554" s="2" t="s">
        <v>146</v>
      </c>
      <c r="D554" s="16">
        <v>90</v>
      </c>
      <c r="E554" s="2" t="s">
        <v>383</v>
      </c>
      <c r="F554" s="2" t="s">
        <v>415</v>
      </c>
      <c r="G554" s="2" t="s">
        <v>418</v>
      </c>
      <c r="H554" s="17">
        <v>912912</v>
      </c>
      <c r="I554" s="2"/>
      <c r="J554" s="2"/>
      <c r="K554" s="17">
        <v>912912</v>
      </c>
      <c r="L554" s="17">
        <v>97812</v>
      </c>
      <c r="M554" s="17">
        <v>815100</v>
      </c>
      <c r="N554" s="17">
        <v>912912</v>
      </c>
      <c r="O554" s="2"/>
      <c r="P554" s="2"/>
      <c r="Q554" s="31" t="s">
        <v>19</v>
      </c>
      <c r="R554" s="65"/>
      <c r="S554" s="66"/>
      <c r="T554" s="62"/>
    </row>
    <row r="555" spans="1:20" hidden="1">
      <c r="A555" s="2" t="s">
        <v>199</v>
      </c>
      <c r="B555" s="2" t="s">
        <v>266</v>
      </c>
      <c r="C555" s="2" t="s">
        <v>73</v>
      </c>
      <c r="D555" s="16">
        <v>30</v>
      </c>
      <c r="E555" s="2" t="s">
        <v>223</v>
      </c>
      <c r="F555" s="2" t="s">
        <v>267</v>
      </c>
      <c r="G555" s="2" t="s">
        <v>268</v>
      </c>
      <c r="H555" s="17">
        <v>219100</v>
      </c>
      <c r="I555" s="2"/>
      <c r="J555" s="17">
        <v>7500</v>
      </c>
      <c r="K555" s="17">
        <f>226600-J555</f>
        <v>219100</v>
      </c>
      <c r="L555" s="17">
        <v>24278.57</v>
      </c>
      <c r="M555" s="17">
        <v>202321.43</v>
      </c>
      <c r="N555" s="17">
        <v>226600</v>
      </c>
      <c r="O555" s="2" t="s">
        <v>1783</v>
      </c>
      <c r="P555" s="2" t="s">
        <v>1771</v>
      </c>
      <c r="Q555" s="31" t="s">
        <v>19</v>
      </c>
      <c r="R555" s="64">
        <f>+K555+K556+K557+K558+K559+K560+K561+K562+K563+K564+K565+K566+K567+K568+K569</f>
        <v>1555156</v>
      </c>
      <c r="S555" s="66"/>
      <c r="T555" s="62"/>
    </row>
    <row r="556" spans="1:20" hidden="1">
      <c r="A556" s="2" t="s">
        <v>282</v>
      </c>
      <c r="B556" s="2" t="s">
        <v>347</v>
      </c>
      <c r="C556" s="2" t="s">
        <v>73</v>
      </c>
      <c r="D556" s="16">
        <v>30</v>
      </c>
      <c r="E556" s="2" t="s">
        <v>296</v>
      </c>
      <c r="F556" s="2" t="s">
        <v>267</v>
      </c>
      <c r="G556" s="2" t="s">
        <v>348</v>
      </c>
      <c r="H556" s="17">
        <v>23800</v>
      </c>
      <c r="I556" s="2"/>
      <c r="J556" s="17">
        <v>8200</v>
      </c>
      <c r="K556" s="17">
        <f>32000-J556</f>
        <v>23800</v>
      </c>
      <c r="L556" s="17">
        <v>3428.57</v>
      </c>
      <c r="M556" s="17">
        <v>28571.43</v>
      </c>
      <c r="N556" s="17">
        <v>32000</v>
      </c>
      <c r="O556" s="2" t="s">
        <v>1783</v>
      </c>
      <c r="P556" s="2" t="s">
        <v>1771</v>
      </c>
      <c r="Q556" s="31" t="s">
        <v>19</v>
      </c>
      <c r="R556" s="66"/>
      <c r="S556" s="66"/>
      <c r="T556" s="62"/>
    </row>
    <row r="557" spans="1:20" ht="14.45" hidden="1" customHeight="1">
      <c r="A557" s="2" t="s">
        <v>282</v>
      </c>
      <c r="B557" s="2" t="s">
        <v>349</v>
      </c>
      <c r="C557" s="2" t="s">
        <v>73</v>
      </c>
      <c r="D557" s="16">
        <v>30</v>
      </c>
      <c r="E557" s="2" t="s">
        <v>296</v>
      </c>
      <c r="F557" s="2" t="s">
        <v>267</v>
      </c>
      <c r="G557" s="2" t="s">
        <v>350</v>
      </c>
      <c r="H557" s="17">
        <v>104000</v>
      </c>
      <c r="I557" s="2"/>
      <c r="J557" s="2"/>
      <c r="K557" s="17">
        <v>104000</v>
      </c>
      <c r="L557" s="17">
        <v>11142.86</v>
      </c>
      <c r="M557" s="17">
        <v>92857.14</v>
      </c>
      <c r="N557" s="17">
        <v>104000</v>
      </c>
      <c r="O557" s="2"/>
      <c r="P557" s="2"/>
      <c r="Q557" s="31" t="s">
        <v>19</v>
      </c>
      <c r="R557" s="66"/>
      <c r="S557" s="66"/>
      <c r="T557" s="62"/>
    </row>
    <row r="558" spans="1:20" hidden="1">
      <c r="A558" s="2" t="s">
        <v>448</v>
      </c>
      <c r="B558" s="2" t="s">
        <v>481</v>
      </c>
      <c r="C558" s="2" t="s">
        <v>73</v>
      </c>
      <c r="D558" s="16">
        <v>30</v>
      </c>
      <c r="E558" s="2" t="s">
        <v>482</v>
      </c>
      <c r="F558" s="2" t="s">
        <v>267</v>
      </c>
      <c r="G558" s="2" t="s">
        <v>483</v>
      </c>
      <c r="H558" s="17">
        <v>41200</v>
      </c>
      <c r="I558" s="2"/>
      <c r="J558" s="17">
        <v>10200</v>
      </c>
      <c r="K558" s="17">
        <f>51400-J558</f>
        <v>41200</v>
      </c>
      <c r="L558" s="17">
        <v>5507.14</v>
      </c>
      <c r="M558" s="17">
        <v>45892.86</v>
      </c>
      <c r="N558" s="17">
        <v>51400</v>
      </c>
      <c r="O558" s="2" t="s">
        <v>1783</v>
      </c>
      <c r="P558" s="2"/>
      <c r="Q558" s="31" t="s">
        <v>19</v>
      </c>
      <c r="R558" s="66"/>
      <c r="S558" s="66"/>
      <c r="T558" s="62"/>
    </row>
    <row r="559" spans="1:20" hidden="1">
      <c r="A559" s="2" t="s">
        <v>448</v>
      </c>
      <c r="B559" s="2" t="s">
        <v>484</v>
      </c>
      <c r="C559" s="2" t="s">
        <v>73</v>
      </c>
      <c r="D559" s="16">
        <v>30</v>
      </c>
      <c r="E559" s="2" t="s">
        <v>482</v>
      </c>
      <c r="F559" s="2" t="s">
        <v>267</v>
      </c>
      <c r="G559" s="2" t="s">
        <v>485</v>
      </c>
      <c r="H559" s="17">
        <v>120600</v>
      </c>
      <c r="I559" s="2"/>
      <c r="J559" s="17">
        <v>13600</v>
      </c>
      <c r="K559" s="17">
        <f>134200-J559</f>
        <v>120600</v>
      </c>
      <c r="L559" s="17">
        <v>14378.57</v>
      </c>
      <c r="M559" s="17">
        <v>119821.43</v>
      </c>
      <c r="N559" s="17">
        <v>134200</v>
      </c>
      <c r="O559" s="2" t="s">
        <v>1783</v>
      </c>
      <c r="P559" s="2"/>
      <c r="Q559" s="31" t="s">
        <v>19</v>
      </c>
      <c r="R559" s="66"/>
      <c r="S559" s="66"/>
      <c r="T559" s="62"/>
    </row>
    <row r="560" spans="1:20" hidden="1">
      <c r="A560" s="2" t="s">
        <v>448</v>
      </c>
      <c r="B560" s="2" t="s">
        <v>502</v>
      </c>
      <c r="C560" s="2" t="s">
        <v>73</v>
      </c>
      <c r="D560" s="16">
        <v>30</v>
      </c>
      <c r="E560" s="2" t="s">
        <v>482</v>
      </c>
      <c r="F560" s="2" t="s">
        <v>267</v>
      </c>
      <c r="G560" s="2" t="s">
        <v>503</v>
      </c>
      <c r="H560" s="17">
        <v>231400</v>
      </c>
      <c r="I560" s="2"/>
      <c r="J560" s="17">
        <v>13950</v>
      </c>
      <c r="K560" s="17">
        <f>245350-J560</f>
        <v>231400</v>
      </c>
      <c r="L560" s="17">
        <v>26287.5</v>
      </c>
      <c r="M560" s="17">
        <v>219062.5</v>
      </c>
      <c r="N560" s="17">
        <v>245350</v>
      </c>
      <c r="O560" s="2" t="s">
        <v>1783</v>
      </c>
      <c r="P560" s="2"/>
      <c r="Q560" s="31" t="s">
        <v>19</v>
      </c>
      <c r="R560" s="66"/>
      <c r="S560" s="66"/>
      <c r="T560" s="62"/>
    </row>
    <row r="561" spans="1:20" ht="14.45" hidden="1" customHeight="1">
      <c r="A561" s="2" t="s">
        <v>505</v>
      </c>
      <c r="B561" s="2" t="s">
        <v>564</v>
      </c>
      <c r="C561" s="2" t="s">
        <v>73</v>
      </c>
      <c r="D561" s="16">
        <v>30</v>
      </c>
      <c r="E561" s="2" t="s">
        <v>518</v>
      </c>
      <c r="F561" s="2" t="s">
        <v>267</v>
      </c>
      <c r="G561" s="2" t="s">
        <v>485</v>
      </c>
      <c r="H561" s="17">
        <v>120600</v>
      </c>
      <c r="I561" s="2"/>
      <c r="J561" s="2"/>
      <c r="K561" s="17">
        <v>120600</v>
      </c>
      <c r="L561" s="17">
        <v>12921.43</v>
      </c>
      <c r="M561" s="17">
        <v>107678.57</v>
      </c>
      <c r="N561" s="17">
        <v>120600</v>
      </c>
      <c r="O561" s="2"/>
      <c r="P561" s="2"/>
      <c r="Q561" s="31" t="s">
        <v>19</v>
      </c>
      <c r="R561" s="66"/>
      <c r="S561" s="66"/>
      <c r="T561" s="62"/>
    </row>
    <row r="562" spans="1:20" hidden="1">
      <c r="A562" s="2" t="s">
        <v>637</v>
      </c>
      <c r="B562" s="2" t="s">
        <v>686</v>
      </c>
      <c r="C562" s="2" t="s">
        <v>73</v>
      </c>
      <c r="D562" s="16">
        <v>30</v>
      </c>
      <c r="E562" s="2" t="s">
        <v>638</v>
      </c>
      <c r="F562" s="2" t="s">
        <v>267</v>
      </c>
      <c r="G562" s="2" t="s">
        <v>687</v>
      </c>
      <c r="H562" s="17">
        <v>223360</v>
      </c>
      <c r="I562" s="2"/>
      <c r="J562" s="17">
        <v>14000</v>
      </c>
      <c r="K562" s="17">
        <f>237360-J562</f>
        <v>223360</v>
      </c>
      <c r="L562" s="17">
        <v>25431.43</v>
      </c>
      <c r="M562" s="17">
        <v>211928.57</v>
      </c>
      <c r="N562" s="17">
        <v>237360</v>
      </c>
      <c r="O562" s="2" t="s">
        <v>1783</v>
      </c>
      <c r="P562" s="2" t="s">
        <v>1771</v>
      </c>
      <c r="Q562" s="31" t="s">
        <v>19</v>
      </c>
      <c r="R562" s="66"/>
      <c r="S562" s="66"/>
      <c r="T562" s="62"/>
    </row>
    <row r="563" spans="1:20" ht="14.45" hidden="1" customHeight="1">
      <c r="A563" s="2" t="s">
        <v>915</v>
      </c>
      <c r="B563" s="2" t="s">
        <v>926</v>
      </c>
      <c r="C563" s="2" t="s">
        <v>73</v>
      </c>
      <c r="D563" s="16">
        <v>30</v>
      </c>
      <c r="E563" s="2" t="s">
        <v>916</v>
      </c>
      <c r="F563" s="2" t="s">
        <v>267</v>
      </c>
      <c r="G563" s="2" t="s">
        <v>927</v>
      </c>
      <c r="H563" s="17">
        <v>7952</v>
      </c>
      <c r="I563" s="2"/>
      <c r="J563" s="2"/>
      <c r="K563" s="17">
        <v>7952</v>
      </c>
      <c r="L563" s="18">
        <v>852</v>
      </c>
      <c r="M563" s="17">
        <v>7100</v>
      </c>
      <c r="N563" s="17">
        <v>7952</v>
      </c>
      <c r="O563" s="2"/>
      <c r="P563" s="2"/>
      <c r="Q563" s="31" t="s">
        <v>19</v>
      </c>
      <c r="R563" s="66"/>
      <c r="S563" s="66"/>
      <c r="T563" s="62"/>
    </row>
    <row r="564" spans="1:20" ht="14.45" hidden="1" customHeight="1">
      <c r="A564" s="2" t="s">
        <v>915</v>
      </c>
      <c r="B564" s="2" t="s">
        <v>928</v>
      </c>
      <c r="C564" s="2" t="s">
        <v>73</v>
      </c>
      <c r="D564" s="16">
        <v>30</v>
      </c>
      <c r="E564" s="2" t="s">
        <v>916</v>
      </c>
      <c r="F564" s="2" t="s">
        <v>267</v>
      </c>
      <c r="G564" s="2" t="s">
        <v>929</v>
      </c>
      <c r="H564" s="17">
        <v>19890</v>
      </c>
      <c r="I564" s="2"/>
      <c r="J564" s="2"/>
      <c r="K564" s="17">
        <v>19890</v>
      </c>
      <c r="L564" s="17">
        <v>2131.0700000000002</v>
      </c>
      <c r="M564" s="17">
        <v>17758.93</v>
      </c>
      <c r="N564" s="17">
        <v>19890</v>
      </c>
      <c r="O564" s="2"/>
      <c r="P564" s="2"/>
      <c r="Q564" s="31" t="s">
        <v>19</v>
      </c>
      <c r="R564" s="66"/>
      <c r="S564" s="66"/>
      <c r="T564" s="62"/>
    </row>
    <row r="565" spans="1:20" ht="14.45" hidden="1" customHeight="1">
      <c r="A565" s="2" t="s">
        <v>915</v>
      </c>
      <c r="B565" s="2" t="s">
        <v>930</v>
      </c>
      <c r="C565" s="2" t="s">
        <v>73</v>
      </c>
      <c r="D565" s="16">
        <v>30</v>
      </c>
      <c r="E565" s="2" t="s">
        <v>916</v>
      </c>
      <c r="F565" s="2" t="s">
        <v>267</v>
      </c>
      <c r="G565" s="2" t="s">
        <v>931</v>
      </c>
      <c r="H565" s="17">
        <v>9180</v>
      </c>
      <c r="I565" s="2"/>
      <c r="J565" s="2"/>
      <c r="K565" s="17">
        <v>9180</v>
      </c>
      <c r="L565" s="18">
        <v>983.57</v>
      </c>
      <c r="M565" s="17">
        <v>8196.43</v>
      </c>
      <c r="N565" s="17">
        <v>9180</v>
      </c>
      <c r="O565" s="2"/>
      <c r="P565" s="2"/>
      <c r="Q565" s="31" t="s">
        <v>19</v>
      </c>
      <c r="R565" s="66"/>
      <c r="S565" s="66"/>
      <c r="T565" s="62"/>
    </row>
    <row r="566" spans="1:20" ht="14.45" hidden="1" customHeight="1">
      <c r="A566" s="2" t="s">
        <v>915</v>
      </c>
      <c r="B566" s="2" t="s">
        <v>932</v>
      </c>
      <c r="C566" s="2" t="s">
        <v>73</v>
      </c>
      <c r="D566" s="16">
        <v>30</v>
      </c>
      <c r="E566" s="2" t="s">
        <v>916</v>
      </c>
      <c r="F566" s="2" t="s">
        <v>267</v>
      </c>
      <c r="G566" s="2" t="s">
        <v>933</v>
      </c>
      <c r="H566" s="17">
        <v>8274</v>
      </c>
      <c r="I566" s="2"/>
      <c r="J566" s="2"/>
      <c r="K566" s="17">
        <v>8274</v>
      </c>
      <c r="L566" s="18">
        <v>886.5</v>
      </c>
      <c r="M566" s="17">
        <v>7387.5</v>
      </c>
      <c r="N566" s="17">
        <v>8274</v>
      </c>
      <c r="O566" s="2"/>
      <c r="P566" s="2"/>
      <c r="Q566" s="31" t="s">
        <v>19</v>
      </c>
      <c r="R566" s="66"/>
      <c r="S566" s="66"/>
      <c r="T566" s="62"/>
    </row>
    <row r="567" spans="1:20" hidden="1">
      <c r="A567" s="2" t="s">
        <v>1048</v>
      </c>
      <c r="B567" s="2" t="s">
        <v>1104</v>
      </c>
      <c r="C567" s="2" t="s">
        <v>73</v>
      </c>
      <c r="D567" s="16">
        <v>30</v>
      </c>
      <c r="E567" s="2" t="s">
        <v>1056</v>
      </c>
      <c r="F567" s="2" t="s">
        <v>267</v>
      </c>
      <c r="G567" s="2" t="s">
        <v>1105</v>
      </c>
      <c r="H567" s="17">
        <v>204680</v>
      </c>
      <c r="I567" s="2"/>
      <c r="J567" s="17">
        <v>17000</v>
      </c>
      <c r="K567" s="17">
        <f>221680-J567</f>
        <v>204680</v>
      </c>
      <c r="L567" s="17">
        <v>23751.43</v>
      </c>
      <c r="M567" s="17">
        <v>197928.57</v>
      </c>
      <c r="N567" s="17">
        <v>221680</v>
      </c>
      <c r="O567" s="2" t="s">
        <v>1783</v>
      </c>
      <c r="P567" s="2"/>
      <c r="Q567" s="31" t="s">
        <v>19</v>
      </c>
      <c r="R567" s="66"/>
      <c r="S567" s="66"/>
      <c r="T567" s="63"/>
    </row>
    <row r="568" spans="1:20" ht="14.45" hidden="1" customHeight="1">
      <c r="A568" s="2" t="s">
        <v>1048</v>
      </c>
      <c r="B568" s="2" t="s">
        <v>1106</v>
      </c>
      <c r="C568" s="2" t="s">
        <v>73</v>
      </c>
      <c r="D568" s="16">
        <v>30</v>
      </c>
      <c r="E568" s="2" t="s">
        <v>1056</v>
      </c>
      <c r="F568" s="2" t="s">
        <v>267</v>
      </c>
      <c r="G568" s="2" t="s">
        <v>1107</v>
      </c>
      <c r="H568" s="17">
        <v>12040</v>
      </c>
      <c r="I568" s="2"/>
      <c r="J568" s="2"/>
      <c r="K568" s="17">
        <v>12040</v>
      </c>
      <c r="L568" s="17">
        <v>1290</v>
      </c>
      <c r="M568" s="17">
        <v>10750</v>
      </c>
      <c r="N568" s="17">
        <v>12040</v>
      </c>
      <c r="O568" s="2"/>
      <c r="P568" s="2"/>
      <c r="Q568" s="31" t="s">
        <v>19</v>
      </c>
      <c r="R568" s="66"/>
      <c r="S568" s="66"/>
      <c r="T568" s="42"/>
    </row>
    <row r="569" spans="1:20" ht="14.45" hidden="1" customHeight="1">
      <c r="A569" s="2" t="s">
        <v>1287</v>
      </c>
      <c r="B569" s="2" t="s">
        <v>1342</v>
      </c>
      <c r="C569" s="2" t="s">
        <v>73</v>
      </c>
      <c r="D569" s="16">
        <v>30</v>
      </c>
      <c r="E569" s="2" t="s">
        <v>1297</v>
      </c>
      <c r="F569" s="2" t="s">
        <v>267</v>
      </c>
      <c r="G569" s="2" t="s">
        <v>1343</v>
      </c>
      <c r="H569" s="17">
        <v>209080</v>
      </c>
      <c r="I569" s="2"/>
      <c r="J569" s="2"/>
      <c r="K569" s="17">
        <v>209080</v>
      </c>
      <c r="L569" s="17">
        <v>22401.43</v>
      </c>
      <c r="M569" s="17">
        <v>186678.57</v>
      </c>
      <c r="N569" s="17">
        <v>209080</v>
      </c>
      <c r="O569" s="2"/>
      <c r="P569" s="2"/>
      <c r="Q569" s="31" t="s">
        <v>19</v>
      </c>
      <c r="R569" s="65"/>
      <c r="S569" s="66"/>
      <c r="T569" s="42"/>
    </row>
    <row r="570" spans="1:20" ht="14.45" hidden="1" customHeight="1">
      <c r="A570" s="2" t="s">
        <v>93</v>
      </c>
      <c r="B570" s="2" t="s">
        <v>172</v>
      </c>
      <c r="C570" s="2" t="s">
        <v>162</v>
      </c>
      <c r="D570" s="16">
        <v>90</v>
      </c>
      <c r="E570" s="2" t="s">
        <v>147</v>
      </c>
      <c r="F570" s="2" t="s">
        <v>173</v>
      </c>
      <c r="G570" s="2" t="s">
        <v>174</v>
      </c>
      <c r="H570" s="17">
        <v>36747</v>
      </c>
      <c r="I570" s="2"/>
      <c r="J570" s="2"/>
      <c r="K570" s="17">
        <v>36747</v>
      </c>
      <c r="L570" s="17">
        <v>3937.18</v>
      </c>
      <c r="M570" s="17">
        <v>32809.82</v>
      </c>
      <c r="N570" s="17">
        <v>36747</v>
      </c>
      <c r="O570" s="2"/>
      <c r="P570" s="2"/>
      <c r="Q570" s="31" t="s">
        <v>19</v>
      </c>
      <c r="R570" s="41">
        <f>+K570</f>
        <v>36747</v>
      </c>
      <c r="S570" s="66"/>
      <c r="T570" s="42"/>
    </row>
    <row r="571" spans="1:20" ht="14.45" hidden="1" customHeight="1">
      <c r="A571" s="2" t="s">
        <v>448</v>
      </c>
      <c r="B571" s="2" t="s">
        <v>461</v>
      </c>
      <c r="C571" s="2" t="s">
        <v>60</v>
      </c>
      <c r="D571" s="16">
        <v>0</v>
      </c>
      <c r="E571" s="2" t="s">
        <v>448</v>
      </c>
      <c r="F571" s="2" t="s">
        <v>462</v>
      </c>
      <c r="G571" s="2" t="s">
        <v>463</v>
      </c>
      <c r="H571" s="17">
        <v>9605</v>
      </c>
      <c r="I571" s="2"/>
      <c r="J571" s="2"/>
      <c r="K571" s="17">
        <v>9605</v>
      </c>
      <c r="L571" s="17">
        <v>1029.1099999999999</v>
      </c>
      <c r="M571" s="17">
        <v>8575.89</v>
      </c>
      <c r="N571" s="17">
        <v>9605</v>
      </c>
      <c r="O571" s="2"/>
      <c r="P571" s="2"/>
      <c r="Q571" s="31" t="s">
        <v>19</v>
      </c>
      <c r="R571" s="41">
        <f>+K571</f>
        <v>9605</v>
      </c>
      <c r="S571" s="66"/>
      <c r="T571" s="42"/>
    </row>
    <row r="572" spans="1:20" ht="14.45" hidden="1" customHeight="1">
      <c r="A572" s="2" t="s">
        <v>282</v>
      </c>
      <c r="B572" s="2" t="s">
        <v>285</v>
      </c>
      <c r="C572" s="2" t="s">
        <v>34</v>
      </c>
      <c r="D572" s="16">
        <v>60</v>
      </c>
      <c r="E572" s="2" t="s">
        <v>286</v>
      </c>
      <c r="F572" s="2" t="s">
        <v>287</v>
      </c>
      <c r="G572" s="2" t="s">
        <v>288</v>
      </c>
      <c r="H572" s="17">
        <v>19080</v>
      </c>
      <c r="I572" s="2"/>
      <c r="J572" s="2"/>
      <c r="K572" s="17">
        <v>19080</v>
      </c>
      <c r="L572" s="17">
        <v>2044.29</v>
      </c>
      <c r="M572" s="17">
        <v>17035.71</v>
      </c>
      <c r="N572" s="17">
        <v>19080</v>
      </c>
      <c r="O572" s="2"/>
      <c r="P572" s="2"/>
      <c r="Q572" s="31" t="s">
        <v>19</v>
      </c>
      <c r="R572" s="64">
        <f>+K572+K573+K574</f>
        <v>154780</v>
      </c>
      <c r="S572" s="66"/>
      <c r="T572" s="42"/>
    </row>
    <row r="573" spans="1:20" ht="14.45" hidden="1" customHeight="1">
      <c r="A573" s="2" t="s">
        <v>971</v>
      </c>
      <c r="B573" s="2" t="s">
        <v>1000</v>
      </c>
      <c r="C573" s="2" t="s">
        <v>34</v>
      </c>
      <c r="D573" s="16">
        <v>60</v>
      </c>
      <c r="E573" s="2" t="s">
        <v>991</v>
      </c>
      <c r="F573" s="2" t="s">
        <v>287</v>
      </c>
      <c r="G573" s="2" t="s">
        <v>1001</v>
      </c>
      <c r="H573" s="17">
        <v>25200</v>
      </c>
      <c r="I573" s="2"/>
      <c r="J573" s="2"/>
      <c r="K573" s="17">
        <v>25200</v>
      </c>
      <c r="L573" s="17">
        <v>2700</v>
      </c>
      <c r="M573" s="17">
        <v>22500</v>
      </c>
      <c r="N573" s="17">
        <v>25200</v>
      </c>
      <c r="O573" s="2"/>
      <c r="P573" s="2"/>
      <c r="Q573" s="31" t="s">
        <v>19</v>
      </c>
      <c r="R573" s="66"/>
      <c r="S573" s="66"/>
      <c r="T573" s="42"/>
    </row>
    <row r="574" spans="1:20" ht="14.45" hidden="1" customHeight="1">
      <c r="A574" s="2" t="s">
        <v>1553</v>
      </c>
      <c r="B574" s="2" t="s">
        <v>1589</v>
      </c>
      <c r="C574" s="2" t="s">
        <v>34</v>
      </c>
      <c r="D574" s="16">
        <v>60</v>
      </c>
      <c r="E574" s="2" t="s">
        <v>1557</v>
      </c>
      <c r="F574" s="2" t="s">
        <v>287</v>
      </c>
      <c r="G574" s="2" t="s">
        <v>1590</v>
      </c>
      <c r="H574" s="17">
        <v>110500</v>
      </c>
      <c r="I574" s="2"/>
      <c r="J574" s="2"/>
      <c r="K574" s="17">
        <v>110500</v>
      </c>
      <c r="L574" s="17">
        <v>11839.29</v>
      </c>
      <c r="M574" s="17">
        <v>98660.71</v>
      </c>
      <c r="N574" s="17">
        <v>110500</v>
      </c>
      <c r="O574" s="2"/>
      <c r="P574" s="2"/>
      <c r="Q574" s="31" t="s">
        <v>19</v>
      </c>
      <c r="R574" s="65"/>
      <c r="S574" s="66"/>
      <c r="T574" s="42"/>
    </row>
    <row r="575" spans="1:20" ht="14.45" hidden="1" customHeight="1">
      <c r="A575" s="2" t="s">
        <v>637</v>
      </c>
      <c r="B575" s="2" t="s">
        <v>671</v>
      </c>
      <c r="C575" s="2" t="s">
        <v>162</v>
      </c>
      <c r="D575" s="16">
        <v>90</v>
      </c>
      <c r="E575" s="2" t="s">
        <v>655</v>
      </c>
      <c r="F575" s="2" t="s">
        <v>672</v>
      </c>
      <c r="G575" s="2" t="s">
        <v>673</v>
      </c>
      <c r="H575" s="17">
        <v>11760</v>
      </c>
      <c r="I575" s="2"/>
      <c r="J575" s="2"/>
      <c r="K575" s="17">
        <v>11760</v>
      </c>
      <c r="L575" s="17">
        <v>1260</v>
      </c>
      <c r="M575" s="17">
        <v>10500</v>
      </c>
      <c r="N575" s="17">
        <v>11760</v>
      </c>
      <c r="O575" s="2"/>
      <c r="P575" s="2"/>
      <c r="Q575" s="31" t="s">
        <v>19</v>
      </c>
      <c r="R575" s="64">
        <f>+K575+K576</f>
        <v>23520</v>
      </c>
      <c r="S575" s="66"/>
      <c r="T575" s="42"/>
    </row>
    <row r="576" spans="1:20" ht="14.45" hidden="1" customHeight="1">
      <c r="A576" s="2" t="s">
        <v>637</v>
      </c>
      <c r="B576" s="2" t="s">
        <v>674</v>
      </c>
      <c r="C576" s="2" t="s">
        <v>162</v>
      </c>
      <c r="D576" s="16">
        <v>90</v>
      </c>
      <c r="E576" s="2" t="s">
        <v>655</v>
      </c>
      <c r="F576" s="2" t="s">
        <v>672</v>
      </c>
      <c r="G576" s="2" t="s">
        <v>673</v>
      </c>
      <c r="H576" s="17">
        <v>11760</v>
      </c>
      <c r="I576" s="2"/>
      <c r="J576" s="2"/>
      <c r="K576" s="17">
        <v>11760</v>
      </c>
      <c r="L576" s="17">
        <v>1260</v>
      </c>
      <c r="M576" s="17">
        <v>10500</v>
      </c>
      <c r="N576" s="17">
        <v>11760</v>
      </c>
      <c r="O576" s="2"/>
      <c r="P576" s="2"/>
      <c r="Q576" s="31" t="s">
        <v>19</v>
      </c>
      <c r="R576" s="65"/>
      <c r="S576" s="66"/>
      <c r="T576" s="42"/>
    </row>
    <row r="577" spans="1:20" ht="14.45" hidden="1" customHeight="1">
      <c r="A577" s="2" t="s">
        <v>915</v>
      </c>
      <c r="B577" s="2" t="s">
        <v>936</v>
      </c>
      <c r="C577" s="2" t="s">
        <v>54</v>
      </c>
      <c r="D577" s="16">
        <v>90</v>
      </c>
      <c r="E577" s="2" t="s">
        <v>924</v>
      </c>
      <c r="F577" s="2" t="s">
        <v>937</v>
      </c>
      <c r="G577" s="2" t="s">
        <v>938</v>
      </c>
      <c r="H577" s="17">
        <v>430000</v>
      </c>
      <c r="I577" s="2"/>
      <c r="J577" s="2"/>
      <c r="K577" s="17">
        <v>430000</v>
      </c>
      <c r="L577" s="17">
        <v>46071.43</v>
      </c>
      <c r="M577" s="17">
        <v>383928.57</v>
      </c>
      <c r="N577" s="17">
        <v>430000</v>
      </c>
      <c r="O577" s="2"/>
      <c r="P577" s="2"/>
      <c r="Q577" s="31" t="s">
        <v>19</v>
      </c>
      <c r="R577" s="64">
        <f>+K577+K578+K579+K580</f>
        <v>1612500</v>
      </c>
      <c r="S577" s="66"/>
      <c r="T577" s="42"/>
    </row>
    <row r="578" spans="1:20" ht="14.45" hidden="1" customHeight="1">
      <c r="A578" s="2" t="s">
        <v>1117</v>
      </c>
      <c r="B578" s="2" t="s">
        <v>1165</v>
      </c>
      <c r="C578" s="2" t="s">
        <v>54</v>
      </c>
      <c r="D578" s="16">
        <v>90</v>
      </c>
      <c r="E578" s="2" t="s">
        <v>1156</v>
      </c>
      <c r="F578" s="2" t="s">
        <v>937</v>
      </c>
      <c r="G578" s="2" t="s">
        <v>1166</v>
      </c>
      <c r="H578" s="17">
        <v>537500</v>
      </c>
      <c r="I578" s="2"/>
      <c r="J578" s="2"/>
      <c r="K578" s="17">
        <v>537500</v>
      </c>
      <c r="L578" s="17">
        <v>57589.29</v>
      </c>
      <c r="M578" s="17">
        <v>479910.71</v>
      </c>
      <c r="N578" s="17">
        <v>537500</v>
      </c>
      <c r="O578" s="2"/>
      <c r="P578" s="2"/>
      <c r="Q578" s="31" t="s">
        <v>19</v>
      </c>
      <c r="R578" s="66"/>
      <c r="S578" s="66"/>
      <c r="T578" s="42"/>
    </row>
    <row r="579" spans="1:20" ht="14.45" hidden="1" customHeight="1">
      <c r="A579" s="2" t="s">
        <v>1117</v>
      </c>
      <c r="B579" s="2" t="s">
        <v>1167</v>
      </c>
      <c r="C579" s="2" t="s">
        <v>54</v>
      </c>
      <c r="D579" s="16">
        <v>90</v>
      </c>
      <c r="E579" s="2" t="s">
        <v>1156</v>
      </c>
      <c r="F579" s="2" t="s">
        <v>937</v>
      </c>
      <c r="G579" s="2" t="s">
        <v>1168</v>
      </c>
      <c r="H579" s="17">
        <v>107500</v>
      </c>
      <c r="I579" s="2"/>
      <c r="J579" s="2"/>
      <c r="K579" s="17">
        <v>107500</v>
      </c>
      <c r="L579" s="17">
        <v>11517.86</v>
      </c>
      <c r="M579" s="17">
        <v>95982.14</v>
      </c>
      <c r="N579" s="17">
        <v>107500</v>
      </c>
      <c r="O579" s="2"/>
      <c r="P579" s="2"/>
      <c r="Q579" s="31" t="s">
        <v>19</v>
      </c>
      <c r="R579" s="66"/>
      <c r="S579" s="66"/>
      <c r="T579" s="42"/>
    </row>
    <row r="580" spans="1:20" ht="14.45" hidden="1" customHeight="1">
      <c r="A580" s="2" t="s">
        <v>1553</v>
      </c>
      <c r="B580" s="2" t="s">
        <v>1603</v>
      </c>
      <c r="C580" s="2" t="s">
        <v>54</v>
      </c>
      <c r="D580" s="16">
        <v>90</v>
      </c>
      <c r="E580" s="2" t="s">
        <v>1554</v>
      </c>
      <c r="F580" s="2" t="s">
        <v>937</v>
      </c>
      <c r="G580" s="2" t="s">
        <v>1604</v>
      </c>
      <c r="H580" s="17">
        <v>537500</v>
      </c>
      <c r="I580" s="2"/>
      <c r="J580" s="2"/>
      <c r="K580" s="17">
        <v>537500</v>
      </c>
      <c r="L580" s="17">
        <v>57589.29</v>
      </c>
      <c r="M580" s="17">
        <v>479910.71</v>
      </c>
      <c r="N580" s="17">
        <v>537500</v>
      </c>
      <c r="O580" s="2"/>
      <c r="P580" s="2"/>
      <c r="Q580" s="31" t="s">
        <v>19</v>
      </c>
      <c r="R580" s="65"/>
      <c r="S580" s="66"/>
      <c r="T580" s="42"/>
    </row>
    <row r="581" spans="1:20" ht="14.45" hidden="1" customHeight="1">
      <c r="A581" s="2" t="s">
        <v>17</v>
      </c>
      <c r="B581" s="2" t="s">
        <v>72</v>
      </c>
      <c r="C581" s="2" t="s">
        <v>73</v>
      </c>
      <c r="D581" s="16">
        <v>30</v>
      </c>
      <c r="E581" s="2" t="s">
        <v>24</v>
      </c>
      <c r="F581" s="2" t="s">
        <v>74</v>
      </c>
      <c r="G581" s="2" t="s">
        <v>75</v>
      </c>
      <c r="H581" s="17">
        <v>369000</v>
      </c>
      <c r="I581" s="2"/>
      <c r="J581" s="2"/>
      <c r="K581" s="17">
        <v>369000</v>
      </c>
      <c r="L581" s="17">
        <v>39535.71</v>
      </c>
      <c r="M581" s="17">
        <v>329464.28999999998</v>
      </c>
      <c r="N581" s="17">
        <v>369000</v>
      </c>
      <c r="O581" s="2"/>
      <c r="P581" s="2"/>
      <c r="Q581" s="31" t="s">
        <v>19</v>
      </c>
      <c r="R581" s="41">
        <f>+K581</f>
        <v>369000</v>
      </c>
      <c r="S581" s="66"/>
      <c r="T581" s="42"/>
    </row>
    <row r="582" spans="1:20" ht="14.45" hidden="1" customHeight="1">
      <c r="A582" s="2" t="s">
        <v>199</v>
      </c>
      <c r="B582" s="2" t="s">
        <v>246</v>
      </c>
      <c r="C582" s="2" t="s">
        <v>73</v>
      </c>
      <c r="D582" s="16">
        <v>30</v>
      </c>
      <c r="E582" s="2" t="s">
        <v>223</v>
      </c>
      <c r="F582" s="2" t="s">
        <v>247</v>
      </c>
      <c r="G582" s="2" t="s">
        <v>248</v>
      </c>
      <c r="H582" s="17">
        <v>468480</v>
      </c>
      <c r="I582" s="2"/>
      <c r="J582" s="2"/>
      <c r="K582" s="17">
        <v>468480</v>
      </c>
      <c r="L582" s="17">
        <v>50194.29</v>
      </c>
      <c r="M582" s="17">
        <v>418285.71</v>
      </c>
      <c r="N582" s="17">
        <v>468480</v>
      </c>
      <c r="O582" s="2"/>
      <c r="P582" s="2"/>
      <c r="Q582" s="31" t="s">
        <v>19</v>
      </c>
      <c r="R582" s="64">
        <f>+K582+K583</f>
        <v>939600</v>
      </c>
      <c r="S582" s="66"/>
      <c r="T582" s="42"/>
    </row>
    <row r="583" spans="1:20" ht="14.45" hidden="1" customHeight="1">
      <c r="A583" s="2" t="s">
        <v>1117</v>
      </c>
      <c r="B583" s="2" t="s">
        <v>1180</v>
      </c>
      <c r="C583" s="2" t="s">
        <v>73</v>
      </c>
      <c r="D583" s="16">
        <v>30</v>
      </c>
      <c r="E583" s="2" t="s">
        <v>1118</v>
      </c>
      <c r="F583" s="2" t="s">
        <v>247</v>
      </c>
      <c r="G583" s="2" t="s">
        <v>1181</v>
      </c>
      <c r="H583" s="17">
        <v>471120</v>
      </c>
      <c r="I583" s="2"/>
      <c r="J583" s="2"/>
      <c r="K583" s="17">
        <v>471120</v>
      </c>
      <c r="L583" s="17">
        <v>50477.14</v>
      </c>
      <c r="M583" s="17">
        <v>420642.86</v>
      </c>
      <c r="N583" s="17">
        <v>471120</v>
      </c>
      <c r="O583" s="2"/>
      <c r="P583" s="2"/>
      <c r="Q583" s="31" t="s">
        <v>19</v>
      </c>
      <c r="R583" s="65"/>
      <c r="S583" s="66"/>
      <c r="T583" s="42"/>
    </row>
    <row r="584" spans="1:20" ht="14.45" hidden="1" customHeight="1">
      <c r="A584" s="2" t="s">
        <v>637</v>
      </c>
      <c r="B584" s="2" t="s">
        <v>677</v>
      </c>
      <c r="C584" s="2" t="s">
        <v>151</v>
      </c>
      <c r="D584" s="16">
        <v>60</v>
      </c>
      <c r="E584" s="2" t="s">
        <v>659</v>
      </c>
      <c r="F584" s="2" t="s">
        <v>678</v>
      </c>
      <c r="G584" s="2" t="s">
        <v>679</v>
      </c>
      <c r="H584" s="17">
        <v>162500</v>
      </c>
      <c r="I584" s="2"/>
      <c r="J584" s="2"/>
      <c r="K584" s="17">
        <v>162500</v>
      </c>
      <c r="L584" s="17">
        <v>17410.71</v>
      </c>
      <c r="M584" s="17">
        <v>145089.29</v>
      </c>
      <c r="N584" s="17">
        <v>162500</v>
      </c>
      <c r="O584" s="2"/>
      <c r="P584" s="2"/>
      <c r="Q584" s="31" t="s">
        <v>19</v>
      </c>
      <c r="R584" s="64">
        <f>+K584+K585</f>
        <v>188500</v>
      </c>
      <c r="S584" s="66"/>
      <c r="T584" s="42"/>
    </row>
    <row r="585" spans="1:20" ht="14.45" hidden="1" customHeight="1">
      <c r="A585" s="2" t="s">
        <v>1467</v>
      </c>
      <c r="B585" s="2" t="s">
        <v>1532</v>
      </c>
      <c r="C585" s="2" t="s">
        <v>151</v>
      </c>
      <c r="D585" s="16">
        <v>60</v>
      </c>
      <c r="E585" s="2" t="s">
        <v>1495</v>
      </c>
      <c r="F585" s="2" t="s">
        <v>678</v>
      </c>
      <c r="G585" s="2" t="s">
        <v>1533</v>
      </c>
      <c r="H585" s="17">
        <v>26000</v>
      </c>
      <c r="I585" s="2"/>
      <c r="J585" s="2"/>
      <c r="K585" s="17">
        <v>26000</v>
      </c>
      <c r="L585" s="17">
        <v>2785.71</v>
      </c>
      <c r="M585" s="17">
        <v>23214.29</v>
      </c>
      <c r="N585" s="17">
        <v>26000</v>
      </c>
      <c r="O585" s="2"/>
      <c r="P585" s="2"/>
      <c r="Q585" s="31" t="s">
        <v>19</v>
      </c>
      <c r="R585" s="65"/>
      <c r="S585" s="66"/>
      <c r="T585" s="42"/>
    </row>
    <row r="586" spans="1:20" ht="14.45" hidden="1" customHeight="1">
      <c r="A586" s="2" t="s">
        <v>282</v>
      </c>
      <c r="B586" s="2" t="s">
        <v>281</v>
      </c>
      <c r="C586" s="2" t="s">
        <v>60</v>
      </c>
      <c r="D586" s="16">
        <v>0</v>
      </c>
      <c r="E586" s="2" t="s">
        <v>282</v>
      </c>
      <c r="F586" s="2" t="s">
        <v>283</v>
      </c>
      <c r="G586" s="2" t="s">
        <v>284</v>
      </c>
      <c r="H586" s="17">
        <v>51923</v>
      </c>
      <c r="I586" s="19">
        <v>-1038.46</v>
      </c>
      <c r="J586" s="2"/>
      <c r="K586" s="17">
        <v>50884.54</v>
      </c>
      <c r="L586" s="17">
        <v>5451.91</v>
      </c>
      <c r="M586" s="17">
        <v>45432.63</v>
      </c>
      <c r="N586" s="17">
        <v>50884.54</v>
      </c>
      <c r="O586" s="2"/>
      <c r="P586" s="2"/>
      <c r="Q586" s="31" t="s">
        <v>19</v>
      </c>
      <c r="R586" s="41">
        <f>+K586</f>
        <v>50884.54</v>
      </c>
      <c r="S586" s="66"/>
      <c r="T586" s="42"/>
    </row>
    <row r="587" spans="1:20" ht="14.45" hidden="1" customHeight="1">
      <c r="A587" s="2" t="s">
        <v>915</v>
      </c>
      <c r="B587" s="2" t="s">
        <v>939</v>
      </c>
      <c r="C587" s="2" t="s">
        <v>34</v>
      </c>
      <c r="D587" s="16">
        <v>60</v>
      </c>
      <c r="E587" s="2" t="s">
        <v>918</v>
      </c>
      <c r="F587" s="2" t="s">
        <v>940</v>
      </c>
      <c r="G587" s="2" t="s">
        <v>941</v>
      </c>
      <c r="H587" s="17">
        <v>19604</v>
      </c>
      <c r="I587" s="2"/>
      <c r="J587" s="2"/>
      <c r="K587" s="17">
        <v>19604</v>
      </c>
      <c r="L587" s="17">
        <v>2100.4299999999998</v>
      </c>
      <c r="M587" s="17">
        <v>17503.57</v>
      </c>
      <c r="N587" s="17">
        <v>19604</v>
      </c>
      <c r="O587" s="2"/>
      <c r="P587" s="2"/>
      <c r="Q587" s="31" t="s">
        <v>19</v>
      </c>
      <c r="R587" s="41">
        <f>+K587</f>
        <v>19604</v>
      </c>
      <c r="S587" s="66"/>
      <c r="T587" s="42"/>
    </row>
    <row r="588" spans="1:20" ht="14.45" hidden="1" customHeight="1">
      <c r="A588" s="2" t="s">
        <v>505</v>
      </c>
      <c r="B588" s="2" t="s">
        <v>552</v>
      </c>
      <c r="C588" s="2" t="s">
        <v>73</v>
      </c>
      <c r="D588" s="16">
        <v>30</v>
      </c>
      <c r="E588" s="2" t="s">
        <v>518</v>
      </c>
      <c r="F588" s="2" t="s">
        <v>553</v>
      </c>
      <c r="G588" s="2" t="s">
        <v>554</v>
      </c>
      <c r="H588" s="17">
        <v>89266</v>
      </c>
      <c r="I588" s="2"/>
      <c r="J588" s="2"/>
      <c r="K588" s="17">
        <v>89266</v>
      </c>
      <c r="L588" s="17">
        <v>9564.2099999999991</v>
      </c>
      <c r="M588" s="17">
        <v>79701.789999999994</v>
      </c>
      <c r="N588" s="17">
        <v>89266</v>
      </c>
      <c r="O588" s="2"/>
      <c r="P588" s="2"/>
      <c r="Q588" s="31" t="s">
        <v>19</v>
      </c>
      <c r="R588" s="64">
        <f>+K588+K589</f>
        <v>210040</v>
      </c>
      <c r="S588" s="66"/>
      <c r="T588" s="42"/>
    </row>
    <row r="589" spans="1:20" ht="14.45" hidden="1" customHeight="1">
      <c r="A589" s="2" t="s">
        <v>505</v>
      </c>
      <c r="B589" s="2" t="s">
        <v>555</v>
      </c>
      <c r="C589" s="2" t="s">
        <v>73</v>
      </c>
      <c r="D589" s="16">
        <v>30</v>
      </c>
      <c r="E589" s="2" t="s">
        <v>518</v>
      </c>
      <c r="F589" s="2" t="s">
        <v>553</v>
      </c>
      <c r="G589" s="2" t="s">
        <v>556</v>
      </c>
      <c r="H589" s="17">
        <v>120774</v>
      </c>
      <c r="I589" s="2"/>
      <c r="J589" s="2"/>
      <c r="K589" s="17">
        <v>120774</v>
      </c>
      <c r="L589" s="17">
        <v>12940.07</v>
      </c>
      <c r="M589" s="17">
        <v>107833.93</v>
      </c>
      <c r="N589" s="17">
        <v>120774</v>
      </c>
      <c r="O589" s="2"/>
      <c r="P589" s="2"/>
      <c r="Q589" s="31" t="s">
        <v>19</v>
      </c>
      <c r="R589" s="65"/>
      <c r="S589" s="66"/>
      <c r="T589" s="42"/>
    </row>
    <row r="590" spans="1:20" ht="14.45" hidden="1" customHeight="1">
      <c r="A590" s="2" t="s">
        <v>505</v>
      </c>
      <c r="B590" s="2" t="s">
        <v>542</v>
      </c>
      <c r="C590" s="2" t="s">
        <v>162</v>
      </c>
      <c r="D590" s="16">
        <v>90</v>
      </c>
      <c r="E590" s="2" t="s">
        <v>532</v>
      </c>
      <c r="F590" s="2" t="s">
        <v>543</v>
      </c>
      <c r="G590" s="2" t="s">
        <v>544</v>
      </c>
      <c r="H590" s="17">
        <v>347124</v>
      </c>
      <c r="I590" s="2"/>
      <c r="J590" s="2"/>
      <c r="K590" s="17">
        <v>347124</v>
      </c>
      <c r="L590" s="17">
        <v>37191.86</v>
      </c>
      <c r="M590" s="17">
        <v>309932.14</v>
      </c>
      <c r="N590" s="17">
        <v>347124</v>
      </c>
      <c r="O590" s="2"/>
      <c r="P590" s="2"/>
      <c r="Q590" s="31" t="s">
        <v>19</v>
      </c>
      <c r="R590" s="64">
        <f>+K590+K591+K592</f>
        <v>933631</v>
      </c>
      <c r="S590" s="66"/>
      <c r="T590" s="42"/>
    </row>
    <row r="591" spans="1:20" ht="14.45" hidden="1" customHeight="1">
      <c r="A591" s="2" t="s">
        <v>596</v>
      </c>
      <c r="B591" s="2" t="s">
        <v>634</v>
      </c>
      <c r="C591" s="2" t="s">
        <v>146</v>
      </c>
      <c r="D591" s="16">
        <v>90</v>
      </c>
      <c r="E591" s="2" t="s">
        <v>597</v>
      </c>
      <c r="F591" s="2" t="s">
        <v>543</v>
      </c>
      <c r="G591" s="2" t="s">
        <v>635</v>
      </c>
      <c r="H591" s="17">
        <v>199515</v>
      </c>
      <c r="I591" s="2"/>
      <c r="J591" s="2"/>
      <c r="K591" s="17">
        <v>199515</v>
      </c>
      <c r="L591" s="17">
        <v>21376.61</v>
      </c>
      <c r="M591" s="17">
        <v>178138.39</v>
      </c>
      <c r="N591" s="17">
        <v>199515</v>
      </c>
      <c r="O591" s="2"/>
      <c r="P591" s="2"/>
      <c r="Q591" s="31" t="s">
        <v>19</v>
      </c>
      <c r="R591" s="66"/>
      <c r="S591" s="66"/>
      <c r="T591" s="42"/>
    </row>
    <row r="592" spans="1:20" ht="14.45" hidden="1" customHeight="1">
      <c r="A592" s="2" t="s">
        <v>971</v>
      </c>
      <c r="B592" s="2" t="s">
        <v>1022</v>
      </c>
      <c r="C592" s="2" t="s">
        <v>162</v>
      </c>
      <c r="D592" s="16">
        <v>90</v>
      </c>
      <c r="E592" s="2" t="s">
        <v>986</v>
      </c>
      <c r="F592" s="2" t="s">
        <v>543</v>
      </c>
      <c r="G592" s="2" t="s">
        <v>1023</v>
      </c>
      <c r="H592" s="17">
        <v>386992</v>
      </c>
      <c r="I592" s="2"/>
      <c r="J592" s="2"/>
      <c r="K592" s="17">
        <v>386992</v>
      </c>
      <c r="L592" s="17">
        <v>41463.43</v>
      </c>
      <c r="M592" s="17">
        <v>345528.57</v>
      </c>
      <c r="N592" s="17">
        <v>386992</v>
      </c>
      <c r="O592" s="2"/>
      <c r="P592" s="2"/>
      <c r="Q592" s="31" t="s">
        <v>19</v>
      </c>
      <c r="R592" s="65"/>
      <c r="S592" s="65"/>
      <c r="T592" s="42"/>
    </row>
    <row r="593" spans="1:20" ht="14.45" hidden="1" customHeight="1">
      <c r="A593" s="2" t="s">
        <v>1117</v>
      </c>
      <c r="B593" s="2" t="s">
        <v>1121</v>
      </c>
      <c r="C593" s="2" t="s">
        <v>18</v>
      </c>
      <c r="D593" s="16">
        <v>0</v>
      </c>
      <c r="E593" s="2" t="s">
        <v>1117</v>
      </c>
      <c r="F593" s="2" t="s">
        <v>1122</v>
      </c>
      <c r="G593" s="2" t="s">
        <v>1123</v>
      </c>
      <c r="H593" s="17">
        <v>70950</v>
      </c>
      <c r="I593" s="2"/>
      <c r="J593" s="2"/>
      <c r="K593" s="17">
        <v>70950</v>
      </c>
      <c r="L593" s="17">
        <v>7601.79</v>
      </c>
      <c r="M593" s="17">
        <v>63348.21</v>
      </c>
      <c r="N593" s="17">
        <v>70950</v>
      </c>
      <c r="O593" s="2"/>
      <c r="P593" s="2"/>
      <c r="Q593" s="31" t="s">
        <v>46</v>
      </c>
      <c r="R593" s="32">
        <f>+K593</f>
        <v>70950</v>
      </c>
      <c r="S593" s="64">
        <f>+R593+R594+R598+R602+R605+R610+R612+R613+R614+R615+R617+R619+R624+R625+R626+R629+R630+R631+R634+R636+R637</f>
        <v>6283099.7000000002</v>
      </c>
      <c r="T593" s="42"/>
    </row>
    <row r="594" spans="1:20" ht="14.45" hidden="1" customHeight="1">
      <c r="A594" s="2" t="s">
        <v>368</v>
      </c>
      <c r="B594" s="2" t="s">
        <v>391</v>
      </c>
      <c r="C594" s="2" t="s">
        <v>98</v>
      </c>
      <c r="D594" s="16">
        <v>0</v>
      </c>
      <c r="E594" s="2" t="s">
        <v>368</v>
      </c>
      <c r="F594" s="2" t="s">
        <v>392</v>
      </c>
      <c r="G594" s="2" t="s">
        <v>393</v>
      </c>
      <c r="H594" s="17">
        <v>135450</v>
      </c>
      <c r="I594" s="2"/>
      <c r="J594" s="2"/>
      <c r="K594" s="17">
        <v>135450</v>
      </c>
      <c r="L594" s="17">
        <v>14512.5</v>
      </c>
      <c r="M594" s="17">
        <v>120937.5</v>
      </c>
      <c r="N594" s="17">
        <v>135450</v>
      </c>
      <c r="O594" s="2"/>
      <c r="P594" s="2"/>
      <c r="Q594" s="31" t="s">
        <v>46</v>
      </c>
      <c r="R594" s="61">
        <f>+K594+K595+K596+K597</f>
        <v>1158375</v>
      </c>
      <c r="S594" s="66"/>
      <c r="T594" s="42"/>
    </row>
    <row r="595" spans="1:20" ht="14.45" hidden="1" customHeight="1">
      <c r="A595" s="2" t="s">
        <v>596</v>
      </c>
      <c r="B595" s="2" t="s">
        <v>600</v>
      </c>
      <c r="C595" s="2" t="s">
        <v>98</v>
      </c>
      <c r="D595" s="16">
        <v>0</v>
      </c>
      <c r="E595" s="2" t="s">
        <v>596</v>
      </c>
      <c r="F595" s="2" t="s">
        <v>392</v>
      </c>
      <c r="G595" s="2" t="s">
        <v>601</v>
      </c>
      <c r="H595" s="17">
        <v>340975</v>
      </c>
      <c r="I595" s="2"/>
      <c r="J595" s="2"/>
      <c r="K595" s="17">
        <v>340975</v>
      </c>
      <c r="L595" s="17">
        <v>36533.040000000001</v>
      </c>
      <c r="M595" s="17">
        <v>304441.96000000002</v>
      </c>
      <c r="N595" s="17">
        <v>340975</v>
      </c>
      <c r="O595" s="2"/>
      <c r="P595" s="2"/>
      <c r="Q595" s="31" t="s">
        <v>46</v>
      </c>
      <c r="R595" s="62"/>
      <c r="S595" s="66"/>
      <c r="T595" s="42"/>
    </row>
    <row r="596" spans="1:20" ht="14.45" hidden="1" customHeight="1">
      <c r="A596" s="2" t="s">
        <v>866</v>
      </c>
      <c r="B596" s="2" t="s">
        <v>870</v>
      </c>
      <c r="C596" s="2" t="s">
        <v>104</v>
      </c>
      <c r="D596" s="16">
        <v>0</v>
      </c>
      <c r="E596" s="2" t="s">
        <v>866</v>
      </c>
      <c r="F596" s="2" t="s">
        <v>392</v>
      </c>
      <c r="G596" s="2" t="s">
        <v>871</v>
      </c>
      <c r="H596" s="17">
        <v>340975</v>
      </c>
      <c r="I596" s="2"/>
      <c r="J596" s="2"/>
      <c r="K596" s="17">
        <v>340975</v>
      </c>
      <c r="L596" s="17">
        <v>36533.040000000001</v>
      </c>
      <c r="M596" s="17">
        <v>304441.96000000002</v>
      </c>
      <c r="N596" s="17">
        <v>340975</v>
      </c>
      <c r="O596" s="2"/>
      <c r="P596" s="2"/>
      <c r="Q596" s="31" t="s">
        <v>46</v>
      </c>
      <c r="R596" s="62"/>
      <c r="S596" s="66"/>
      <c r="T596" s="42"/>
    </row>
    <row r="597" spans="1:20" ht="14.45" hidden="1" customHeight="1">
      <c r="A597" s="2" t="s">
        <v>1217</v>
      </c>
      <c r="B597" s="2" t="s">
        <v>1220</v>
      </c>
      <c r="C597" s="2" t="s">
        <v>104</v>
      </c>
      <c r="D597" s="16">
        <v>0</v>
      </c>
      <c r="E597" s="2" t="s">
        <v>1217</v>
      </c>
      <c r="F597" s="2" t="s">
        <v>392</v>
      </c>
      <c r="G597" s="2" t="s">
        <v>1221</v>
      </c>
      <c r="H597" s="17">
        <v>340975</v>
      </c>
      <c r="I597" s="2"/>
      <c r="J597" s="2"/>
      <c r="K597" s="17">
        <v>340975</v>
      </c>
      <c r="L597" s="17">
        <v>36533.040000000001</v>
      </c>
      <c r="M597" s="17">
        <v>304441.96000000002</v>
      </c>
      <c r="N597" s="17">
        <v>340975</v>
      </c>
      <c r="O597" s="2"/>
      <c r="P597" s="2"/>
      <c r="Q597" s="31" t="s">
        <v>46</v>
      </c>
      <c r="R597" s="63"/>
      <c r="S597" s="66"/>
      <c r="T597" s="42"/>
    </row>
    <row r="598" spans="1:20" ht="14.45" hidden="1" customHeight="1">
      <c r="A598" s="2" t="s">
        <v>1287</v>
      </c>
      <c r="B598" s="2" t="s">
        <v>1286</v>
      </c>
      <c r="C598" s="2" t="s">
        <v>18</v>
      </c>
      <c r="D598" s="16">
        <v>0</v>
      </c>
      <c r="E598" s="2" t="s">
        <v>1287</v>
      </c>
      <c r="F598" s="2" t="s">
        <v>1288</v>
      </c>
      <c r="G598" s="2" t="s">
        <v>1289</v>
      </c>
      <c r="H598" s="17">
        <v>83772</v>
      </c>
      <c r="I598" s="19">
        <v>-1675.44</v>
      </c>
      <c r="J598" s="2"/>
      <c r="K598" s="17">
        <v>82096.56</v>
      </c>
      <c r="L598" s="17">
        <v>8796.06</v>
      </c>
      <c r="M598" s="17">
        <v>73300.5</v>
      </c>
      <c r="N598" s="17">
        <v>82096.56</v>
      </c>
      <c r="O598" s="2"/>
      <c r="P598" s="2"/>
      <c r="Q598" s="31" t="s">
        <v>46</v>
      </c>
      <c r="R598" s="61">
        <f>+K598+K599+K600+K601</f>
        <v>137721.36000000002</v>
      </c>
      <c r="S598" s="66"/>
      <c r="T598" s="42"/>
    </row>
    <row r="599" spans="1:20" ht="14.45" hidden="1" customHeight="1">
      <c r="A599" s="2" t="s">
        <v>1287</v>
      </c>
      <c r="B599" s="2" t="s">
        <v>1290</v>
      </c>
      <c r="C599" s="2" t="s">
        <v>18</v>
      </c>
      <c r="D599" s="16">
        <v>0</v>
      </c>
      <c r="E599" s="2" t="s">
        <v>1287</v>
      </c>
      <c r="F599" s="2" t="s">
        <v>1288</v>
      </c>
      <c r="G599" s="2" t="s">
        <v>1291</v>
      </c>
      <c r="H599" s="17">
        <v>18000</v>
      </c>
      <c r="I599" s="19">
        <v>-360</v>
      </c>
      <c r="J599" s="2"/>
      <c r="K599" s="17">
        <v>17640</v>
      </c>
      <c r="L599" s="17">
        <v>1890</v>
      </c>
      <c r="M599" s="17">
        <v>15750</v>
      </c>
      <c r="N599" s="17">
        <v>17640</v>
      </c>
      <c r="O599" s="2"/>
      <c r="P599" s="2"/>
      <c r="Q599" s="31" t="s">
        <v>46</v>
      </c>
      <c r="R599" s="62"/>
      <c r="S599" s="66"/>
      <c r="T599" s="42"/>
    </row>
    <row r="600" spans="1:20" ht="14.45" hidden="1" customHeight="1">
      <c r="A600" s="2" t="s">
        <v>1287</v>
      </c>
      <c r="B600" s="2" t="s">
        <v>1292</v>
      </c>
      <c r="C600" s="2" t="s">
        <v>18</v>
      </c>
      <c r="D600" s="16">
        <v>0</v>
      </c>
      <c r="E600" s="2" t="s">
        <v>1287</v>
      </c>
      <c r="F600" s="2" t="s">
        <v>1288</v>
      </c>
      <c r="G600" s="2" t="s">
        <v>1293</v>
      </c>
      <c r="H600" s="17">
        <v>25670</v>
      </c>
      <c r="I600" s="19">
        <v>-513.4</v>
      </c>
      <c r="J600" s="2"/>
      <c r="K600" s="17">
        <v>25156.6</v>
      </c>
      <c r="L600" s="17">
        <v>2695.35</v>
      </c>
      <c r="M600" s="17">
        <v>22461.25</v>
      </c>
      <c r="N600" s="17">
        <v>25156.6</v>
      </c>
      <c r="O600" s="2"/>
      <c r="P600" s="2"/>
      <c r="Q600" s="31" t="s">
        <v>46</v>
      </c>
      <c r="R600" s="62"/>
      <c r="S600" s="66"/>
      <c r="T600" s="42"/>
    </row>
    <row r="601" spans="1:20" ht="14.45" hidden="1" customHeight="1">
      <c r="A601" s="2" t="s">
        <v>1287</v>
      </c>
      <c r="B601" s="2" t="s">
        <v>1294</v>
      </c>
      <c r="C601" s="2" t="s">
        <v>18</v>
      </c>
      <c r="D601" s="16">
        <v>0</v>
      </c>
      <c r="E601" s="2" t="s">
        <v>1287</v>
      </c>
      <c r="F601" s="2" t="s">
        <v>1288</v>
      </c>
      <c r="G601" s="2" t="s">
        <v>1295</v>
      </c>
      <c r="H601" s="17">
        <v>13090</v>
      </c>
      <c r="I601" s="19">
        <v>-261.8</v>
      </c>
      <c r="J601" s="2"/>
      <c r="K601" s="17">
        <v>12828.2</v>
      </c>
      <c r="L601" s="17">
        <v>1374.45</v>
      </c>
      <c r="M601" s="17">
        <v>11453.75</v>
      </c>
      <c r="N601" s="17">
        <v>12828.2</v>
      </c>
      <c r="O601" s="2"/>
      <c r="P601" s="2"/>
      <c r="Q601" s="31" t="s">
        <v>46</v>
      </c>
      <c r="R601" s="63"/>
      <c r="S601" s="66"/>
      <c r="T601" s="42"/>
    </row>
    <row r="602" spans="1:20" ht="14.45" hidden="1" customHeight="1">
      <c r="A602" s="2" t="s">
        <v>505</v>
      </c>
      <c r="B602" s="2" t="s">
        <v>557</v>
      </c>
      <c r="C602" s="2" t="s">
        <v>94</v>
      </c>
      <c r="D602" s="16">
        <v>0</v>
      </c>
      <c r="E602" s="2" t="s">
        <v>505</v>
      </c>
      <c r="F602" s="2" t="s">
        <v>558</v>
      </c>
      <c r="G602" s="2" t="s">
        <v>559</v>
      </c>
      <c r="H602" s="17">
        <v>250000</v>
      </c>
      <c r="I602" s="2"/>
      <c r="J602" s="2"/>
      <c r="K602" s="17">
        <v>250000</v>
      </c>
      <c r="L602" s="17">
        <v>26785.71</v>
      </c>
      <c r="M602" s="17">
        <v>223214.29</v>
      </c>
      <c r="N602" s="17">
        <v>250000</v>
      </c>
      <c r="O602" s="2"/>
      <c r="P602" s="2"/>
      <c r="Q602" s="31" t="s">
        <v>46</v>
      </c>
      <c r="R602" s="61">
        <f>+K602+K603+K604</f>
        <v>736250</v>
      </c>
      <c r="S602" s="66"/>
      <c r="T602" s="42"/>
    </row>
    <row r="603" spans="1:20" ht="14.45" hidden="1" customHeight="1">
      <c r="A603" s="2" t="s">
        <v>505</v>
      </c>
      <c r="B603" s="2" t="s">
        <v>560</v>
      </c>
      <c r="C603" s="2" t="s">
        <v>94</v>
      </c>
      <c r="D603" s="16">
        <v>0</v>
      </c>
      <c r="E603" s="2" t="s">
        <v>505</v>
      </c>
      <c r="F603" s="2" t="s">
        <v>558</v>
      </c>
      <c r="G603" s="2" t="s">
        <v>561</v>
      </c>
      <c r="H603" s="17">
        <v>250000</v>
      </c>
      <c r="I603" s="2"/>
      <c r="J603" s="2"/>
      <c r="K603" s="17">
        <v>250000</v>
      </c>
      <c r="L603" s="17">
        <v>26785.71</v>
      </c>
      <c r="M603" s="17">
        <v>223214.29</v>
      </c>
      <c r="N603" s="17">
        <v>250000</v>
      </c>
      <c r="O603" s="2"/>
      <c r="P603" s="2"/>
      <c r="Q603" s="31" t="s">
        <v>46</v>
      </c>
      <c r="R603" s="62"/>
      <c r="S603" s="66"/>
      <c r="T603" s="42"/>
    </row>
    <row r="604" spans="1:20" ht="14.45" hidden="1" customHeight="1">
      <c r="A604" s="2" t="s">
        <v>1117</v>
      </c>
      <c r="B604" s="2" t="s">
        <v>1195</v>
      </c>
      <c r="C604" s="2" t="s">
        <v>94</v>
      </c>
      <c r="D604" s="16">
        <v>0</v>
      </c>
      <c r="E604" s="2" t="s">
        <v>1117</v>
      </c>
      <c r="F604" s="2" t="s">
        <v>558</v>
      </c>
      <c r="G604" s="2" t="s">
        <v>1196</v>
      </c>
      <c r="H604" s="17">
        <v>236250</v>
      </c>
      <c r="I604" s="2"/>
      <c r="J604" s="2"/>
      <c r="K604" s="17">
        <v>236250</v>
      </c>
      <c r="L604" s="17">
        <v>25312.5</v>
      </c>
      <c r="M604" s="17">
        <v>210937.5</v>
      </c>
      <c r="N604" s="17">
        <v>236250</v>
      </c>
      <c r="O604" s="2"/>
      <c r="P604" s="2"/>
      <c r="Q604" s="31" t="s">
        <v>46</v>
      </c>
      <c r="R604" s="63"/>
      <c r="S604" s="66"/>
      <c r="T604" s="42"/>
    </row>
    <row r="605" spans="1:20" ht="14.45" hidden="1" customHeight="1">
      <c r="A605" s="2" t="s">
        <v>637</v>
      </c>
      <c r="B605" s="2" t="s">
        <v>680</v>
      </c>
      <c r="C605" s="2" t="s">
        <v>681</v>
      </c>
      <c r="D605" s="16">
        <v>0</v>
      </c>
      <c r="E605" s="2" t="s">
        <v>637</v>
      </c>
      <c r="F605" s="2" t="s">
        <v>682</v>
      </c>
      <c r="G605" s="2" t="s">
        <v>683</v>
      </c>
      <c r="H605" s="17">
        <v>7455</v>
      </c>
      <c r="I605" s="2"/>
      <c r="J605" s="2"/>
      <c r="K605" s="17">
        <v>7455</v>
      </c>
      <c r="L605" s="18">
        <v>798.75</v>
      </c>
      <c r="M605" s="17">
        <v>6656.25</v>
      </c>
      <c r="N605" s="17">
        <v>7455</v>
      </c>
      <c r="O605" s="2"/>
      <c r="P605" s="2"/>
      <c r="Q605" s="31" t="s">
        <v>46</v>
      </c>
      <c r="R605" s="61">
        <f>+K605+K606+K607+K608+K609</f>
        <v>76813</v>
      </c>
      <c r="S605" s="66"/>
      <c r="T605" s="42"/>
    </row>
    <row r="606" spans="1:20" ht="14.45" hidden="1" customHeight="1">
      <c r="A606" s="2" t="s">
        <v>637</v>
      </c>
      <c r="B606" s="2" t="s">
        <v>684</v>
      </c>
      <c r="C606" s="2" t="s">
        <v>681</v>
      </c>
      <c r="D606" s="16">
        <v>0</v>
      </c>
      <c r="E606" s="2" t="s">
        <v>637</v>
      </c>
      <c r="F606" s="2" t="s">
        <v>682</v>
      </c>
      <c r="G606" s="2" t="s">
        <v>685</v>
      </c>
      <c r="H606" s="17">
        <v>8452</v>
      </c>
      <c r="I606" s="2"/>
      <c r="J606" s="2"/>
      <c r="K606" s="17">
        <v>8452</v>
      </c>
      <c r="L606" s="18">
        <v>905.57</v>
      </c>
      <c r="M606" s="17">
        <v>7546.43</v>
      </c>
      <c r="N606" s="17">
        <v>8452</v>
      </c>
      <c r="O606" s="2"/>
      <c r="P606" s="2"/>
      <c r="Q606" s="31" t="s">
        <v>46</v>
      </c>
      <c r="R606" s="62"/>
      <c r="S606" s="66"/>
      <c r="T606" s="42"/>
    </row>
    <row r="607" spans="1:20" ht="14.45" hidden="1" customHeight="1">
      <c r="A607" s="2" t="s">
        <v>1372</v>
      </c>
      <c r="B607" s="2" t="s">
        <v>1386</v>
      </c>
      <c r="C607" s="2" t="s">
        <v>681</v>
      </c>
      <c r="D607" s="16">
        <v>0</v>
      </c>
      <c r="E607" s="2" t="s">
        <v>1372</v>
      </c>
      <c r="F607" s="2" t="s">
        <v>682</v>
      </c>
      <c r="G607" s="2" t="s">
        <v>1387</v>
      </c>
      <c r="H607" s="17">
        <v>27968</v>
      </c>
      <c r="I607" s="2"/>
      <c r="J607" s="2"/>
      <c r="K607" s="17">
        <v>27968</v>
      </c>
      <c r="L607" s="17">
        <v>2996.57</v>
      </c>
      <c r="M607" s="17">
        <v>24971.43</v>
      </c>
      <c r="N607" s="17">
        <v>27968</v>
      </c>
      <c r="O607" s="2"/>
      <c r="P607" s="2"/>
      <c r="Q607" s="31" t="s">
        <v>46</v>
      </c>
      <c r="R607" s="62"/>
      <c r="S607" s="66"/>
      <c r="T607" s="42"/>
    </row>
    <row r="608" spans="1:20" ht="14.45" hidden="1" customHeight="1">
      <c r="A608" s="2" t="s">
        <v>1372</v>
      </c>
      <c r="B608" s="2" t="s">
        <v>1456</v>
      </c>
      <c r="C608" s="2" t="s">
        <v>681</v>
      </c>
      <c r="D608" s="16">
        <v>0</v>
      </c>
      <c r="E608" s="2" t="s">
        <v>1372</v>
      </c>
      <c r="F608" s="2" t="s">
        <v>682</v>
      </c>
      <c r="G608" s="2" t="s">
        <v>1457</v>
      </c>
      <c r="H608" s="17">
        <v>4970</v>
      </c>
      <c r="I608" s="2"/>
      <c r="J608" s="2"/>
      <c r="K608" s="17">
        <v>4970</v>
      </c>
      <c r="L608" s="18">
        <v>532.5</v>
      </c>
      <c r="M608" s="17">
        <v>4437.5</v>
      </c>
      <c r="N608" s="17">
        <v>4970</v>
      </c>
      <c r="O608" s="2"/>
      <c r="P608" s="2"/>
      <c r="Q608" s="31" t="s">
        <v>46</v>
      </c>
      <c r="R608" s="62"/>
      <c r="S608" s="66"/>
      <c r="T608" s="42"/>
    </row>
    <row r="609" spans="1:20" ht="14.45" hidden="1" customHeight="1">
      <c r="A609" s="2" t="s">
        <v>1372</v>
      </c>
      <c r="B609" s="2" t="s">
        <v>1458</v>
      </c>
      <c r="C609" s="2" t="s">
        <v>681</v>
      </c>
      <c r="D609" s="16">
        <v>0</v>
      </c>
      <c r="E609" s="2" t="s">
        <v>1372</v>
      </c>
      <c r="F609" s="2" t="s">
        <v>682</v>
      </c>
      <c r="G609" s="2" t="s">
        <v>1459</v>
      </c>
      <c r="H609" s="17">
        <v>27968</v>
      </c>
      <c r="I609" s="2"/>
      <c r="J609" s="2"/>
      <c r="K609" s="17">
        <v>27968</v>
      </c>
      <c r="L609" s="17">
        <v>2996.57</v>
      </c>
      <c r="M609" s="17">
        <v>24971.43</v>
      </c>
      <c r="N609" s="17">
        <v>27968</v>
      </c>
      <c r="O609" s="2"/>
      <c r="P609" s="2"/>
      <c r="Q609" s="31" t="s">
        <v>46</v>
      </c>
      <c r="R609" s="63"/>
      <c r="S609" s="66"/>
      <c r="T609" s="42"/>
    </row>
    <row r="610" spans="1:20" ht="14.45" hidden="1" customHeight="1">
      <c r="A610" s="2" t="s">
        <v>93</v>
      </c>
      <c r="B610" s="2" t="s">
        <v>128</v>
      </c>
      <c r="C610" s="2" t="s">
        <v>60</v>
      </c>
      <c r="D610" s="16">
        <v>0</v>
      </c>
      <c r="E610" s="2" t="s">
        <v>93</v>
      </c>
      <c r="F610" s="2" t="s">
        <v>129</v>
      </c>
      <c r="G610" s="2" t="s">
        <v>130</v>
      </c>
      <c r="H610" s="17">
        <v>170715</v>
      </c>
      <c r="I610" s="19">
        <v>-3414.3</v>
      </c>
      <c r="J610" s="2"/>
      <c r="K610" s="17">
        <v>167300.70000000001</v>
      </c>
      <c r="L610" s="17">
        <v>17925.07</v>
      </c>
      <c r="M610" s="17">
        <v>149375.63</v>
      </c>
      <c r="N610" s="17">
        <v>167300.70000000001</v>
      </c>
      <c r="O610" s="2"/>
      <c r="P610" s="2"/>
      <c r="Q610" s="31" t="s">
        <v>46</v>
      </c>
      <c r="R610" s="61">
        <f>+K610+K611</f>
        <v>233419.34000000003</v>
      </c>
      <c r="S610" s="66"/>
      <c r="T610" s="42"/>
    </row>
    <row r="611" spans="1:20" ht="14.45" hidden="1" customHeight="1">
      <c r="A611" s="2" t="s">
        <v>1048</v>
      </c>
      <c r="B611" s="2" t="s">
        <v>1071</v>
      </c>
      <c r="C611" s="2" t="s">
        <v>60</v>
      </c>
      <c r="D611" s="16">
        <v>0</v>
      </c>
      <c r="E611" s="2" t="s">
        <v>1048</v>
      </c>
      <c r="F611" s="2" t="s">
        <v>129</v>
      </c>
      <c r="G611" s="2" t="s">
        <v>1072</v>
      </c>
      <c r="H611" s="17">
        <v>67468</v>
      </c>
      <c r="I611" s="19">
        <v>-1349.36</v>
      </c>
      <c r="J611" s="2"/>
      <c r="K611" s="17">
        <v>66118.64</v>
      </c>
      <c r="L611" s="17">
        <v>7084.14</v>
      </c>
      <c r="M611" s="17">
        <v>59034.5</v>
      </c>
      <c r="N611" s="17">
        <v>66118.64</v>
      </c>
      <c r="O611" s="2"/>
      <c r="P611" s="2"/>
      <c r="Q611" s="31" t="s">
        <v>46</v>
      </c>
      <c r="R611" s="63"/>
      <c r="S611" s="66"/>
      <c r="T611" s="42"/>
    </row>
    <row r="612" spans="1:20" ht="14.45" hidden="1" customHeight="1">
      <c r="A612" s="2" t="s">
        <v>769</v>
      </c>
      <c r="B612" s="2" t="s">
        <v>795</v>
      </c>
      <c r="C612" s="2" t="s">
        <v>60</v>
      </c>
      <c r="D612" s="16">
        <v>0</v>
      </c>
      <c r="E612" s="2" t="s">
        <v>769</v>
      </c>
      <c r="F612" s="2" t="s">
        <v>796</v>
      </c>
      <c r="G612" s="2" t="s">
        <v>797</v>
      </c>
      <c r="H612" s="17">
        <v>4580</v>
      </c>
      <c r="I612" s="2"/>
      <c r="J612" s="2"/>
      <c r="K612" s="17">
        <v>4580</v>
      </c>
      <c r="L612" s="18">
        <v>490.71</v>
      </c>
      <c r="M612" s="17">
        <v>4089.29</v>
      </c>
      <c r="N612" s="17">
        <v>4580</v>
      </c>
      <c r="O612" s="2"/>
      <c r="P612" s="2"/>
      <c r="Q612" s="31" t="s">
        <v>46</v>
      </c>
      <c r="R612" s="32">
        <f>+K612</f>
        <v>4580</v>
      </c>
      <c r="S612" s="66"/>
      <c r="T612" s="42"/>
    </row>
    <row r="613" spans="1:20" ht="14.45" hidden="1" customHeight="1">
      <c r="A613" s="2" t="s">
        <v>17</v>
      </c>
      <c r="B613" s="2" t="s">
        <v>44</v>
      </c>
      <c r="C613" s="2" t="s">
        <v>45</v>
      </c>
      <c r="D613" s="16">
        <v>0</v>
      </c>
      <c r="E613" s="2" t="s">
        <v>17</v>
      </c>
      <c r="F613" s="2" t="s">
        <v>47</v>
      </c>
      <c r="G613" s="2" t="s">
        <v>48</v>
      </c>
      <c r="H613" s="17">
        <v>5880</v>
      </c>
      <c r="I613" s="2"/>
      <c r="J613" s="2"/>
      <c r="K613" s="17">
        <v>5880</v>
      </c>
      <c r="L613" s="18">
        <v>630</v>
      </c>
      <c r="M613" s="17">
        <v>5250</v>
      </c>
      <c r="N613" s="17">
        <v>5880</v>
      </c>
      <c r="O613" s="2"/>
      <c r="P613" s="2"/>
      <c r="Q613" s="31" t="s">
        <v>46</v>
      </c>
      <c r="R613" s="32">
        <f>+K613</f>
        <v>5880</v>
      </c>
      <c r="S613" s="66"/>
      <c r="T613" s="42"/>
    </row>
    <row r="614" spans="1:20" ht="14.45" hidden="1" customHeight="1">
      <c r="A614" s="2" t="s">
        <v>1117</v>
      </c>
      <c r="B614" s="2" t="s">
        <v>1190</v>
      </c>
      <c r="C614" s="2" t="s">
        <v>60</v>
      </c>
      <c r="D614" s="16">
        <v>0</v>
      </c>
      <c r="E614" s="2" t="s">
        <v>1117</v>
      </c>
      <c r="F614" s="2" t="s">
        <v>1191</v>
      </c>
      <c r="G614" s="2" t="s">
        <v>1192</v>
      </c>
      <c r="H614" s="17">
        <v>20257</v>
      </c>
      <c r="I614" s="2"/>
      <c r="J614" s="2"/>
      <c r="K614" s="17">
        <v>20257</v>
      </c>
      <c r="L614" s="17">
        <v>2170.39</v>
      </c>
      <c r="M614" s="17">
        <v>18086.61</v>
      </c>
      <c r="N614" s="17">
        <v>20257</v>
      </c>
      <c r="O614" s="2"/>
      <c r="P614" s="2"/>
      <c r="Q614" s="31" t="s">
        <v>46</v>
      </c>
      <c r="R614" s="32">
        <f>+K614</f>
        <v>20257</v>
      </c>
      <c r="S614" s="66"/>
      <c r="T614" s="42"/>
    </row>
    <row r="615" spans="1:20" ht="14.45" hidden="1" customHeight="1">
      <c r="A615" s="2" t="s">
        <v>505</v>
      </c>
      <c r="B615" s="2" t="s">
        <v>521</v>
      </c>
      <c r="C615" s="2" t="s">
        <v>73</v>
      </c>
      <c r="D615" s="16">
        <v>30</v>
      </c>
      <c r="E615" s="2" t="s">
        <v>518</v>
      </c>
      <c r="F615" s="2" t="s">
        <v>522</v>
      </c>
      <c r="G615" s="2" t="s">
        <v>523</v>
      </c>
      <c r="H615" s="17">
        <v>86400</v>
      </c>
      <c r="I615" s="2"/>
      <c r="J615" s="2"/>
      <c r="K615" s="17">
        <v>86400</v>
      </c>
      <c r="L615" s="2"/>
      <c r="M615" s="17">
        <v>86400</v>
      </c>
      <c r="N615" s="17">
        <v>86400</v>
      </c>
      <c r="O615" s="2"/>
      <c r="P615" s="2"/>
      <c r="Q615" s="31" t="s">
        <v>46</v>
      </c>
      <c r="R615" s="61">
        <f>+K615+K616</f>
        <v>375680</v>
      </c>
      <c r="S615" s="66"/>
      <c r="T615" s="42"/>
    </row>
    <row r="616" spans="1:20" ht="14.45" hidden="1" customHeight="1">
      <c r="A616" s="2" t="s">
        <v>1287</v>
      </c>
      <c r="B616" s="2" t="s">
        <v>1296</v>
      </c>
      <c r="C616" s="2" t="s">
        <v>73</v>
      </c>
      <c r="D616" s="16">
        <v>30</v>
      </c>
      <c r="E616" s="2" t="s">
        <v>1297</v>
      </c>
      <c r="F616" s="2" t="s">
        <v>522</v>
      </c>
      <c r="G616" s="2" t="s">
        <v>1298</v>
      </c>
      <c r="H616" s="17">
        <v>289280</v>
      </c>
      <c r="I616" s="2"/>
      <c r="J616" s="2"/>
      <c r="K616" s="17">
        <v>289280</v>
      </c>
      <c r="L616" s="2"/>
      <c r="M616" s="17">
        <v>289280</v>
      </c>
      <c r="N616" s="17">
        <v>289280</v>
      </c>
      <c r="O616" s="2"/>
      <c r="P616" s="2"/>
      <c r="Q616" s="31" t="s">
        <v>46</v>
      </c>
      <c r="R616" s="63"/>
      <c r="S616" s="66"/>
      <c r="T616" s="42"/>
    </row>
    <row r="617" spans="1:20" ht="14.45" hidden="1" customHeight="1">
      <c r="A617" s="2" t="s">
        <v>1287</v>
      </c>
      <c r="B617" s="2" t="s">
        <v>1320</v>
      </c>
      <c r="C617" s="2" t="s">
        <v>73</v>
      </c>
      <c r="D617" s="16">
        <v>30</v>
      </c>
      <c r="E617" s="2" t="s">
        <v>1297</v>
      </c>
      <c r="F617" s="2" t="s">
        <v>1321</v>
      </c>
      <c r="G617" s="2" t="s">
        <v>1322</v>
      </c>
      <c r="H617" s="17">
        <v>9335</v>
      </c>
      <c r="I617" s="2"/>
      <c r="J617" s="2"/>
      <c r="K617" s="17">
        <v>9335</v>
      </c>
      <c r="L617" s="17">
        <v>1000.18</v>
      </c>
      <c r="M617" s="17">
        <v>8334.82</v>
      </c>
      <c r="N617" s="17">
        <v>9335</v>
      </c>
      <c r="O617" s="2"/>
      <c r="P617" s="2"/>
      <c r="Q617" s="31" t="s">
        <v>46</v>
      </c>
      <c r="R617" s="61">
        <f>+K617+K618</f>
        <v>378477</v>
      </c>
      <c r="S617" s="66"/>
      <c r="T617" s="42"/>
    </row>
    <row r="618" spans="1:20" ht="14.45" hidden="1" customHeight="1">
      <c r="A618" s="2" t="s">
        <v>1287</v>
      </c>
      <c r="B618" s="2" t="s">
        <v>1323</v>
      </c>
      <c r="C618" s="2" t="s">
        <v>73</v>
      </c>
      <c r="D618" s="16">
        <v>30</v>
      </c>
      <c r="E618" s="2" t="s">
        <v>1297</v>
      </c>
      <c r="F618" s="2" t="s">
        <v>1321</v>
      </c>
      <c r="G618" s="2" t="s">
        <v>1324</v>
      </c>
      <c r="H618" s="17">
        <v>369142</v>
      </c>
      <c r="I618" s="2"/>
      <c r="J618" s="2"/>
      <c r="K618" s="17">
        <v>369142</v>
      </c>
      <c r="L618" s="17">
        <v>39550.93</v>
      </c>
      <c r="M618" s="17">
        <v>329591.07</v>
      </c>
      <c r="N618" s="17">
        <v>369142</v>
      </c>
      <c r="O618" s="2"/>
      <c r="P618" s="2"/>
      <c r="Q618" s="31" t="s">
        <v>46</v>
      </c>
      <c r="R618" s="63"/>
      <c r="S618" s="66"/>
      <c r="T618" s="42"/>
    </row>
    <row r="619" spans="1:20" ht="14.45" hidden="1" customHeight="1">
      <c r="A619" s="2" t="s">
        <v>769</v>
      </c>
      <c r="B619" s="2" t="s">
        <v>786</v>
      </c>
      <c r="C619" s="2" t="s">
        <v>658</v>
      </c>
      <c r="D619" s="16">
        <v>60</v>
      </c>
      <c r="E619" s="2" t="s">
        <v>770</v>
      </c>
      <c r="F619" s="2" t="s">
        <v>787</v>
      </c>
      <c r="G619" s="2" t="s">
        <v>788</v>
      </c>
      <c r="H619" s="17">
        <v>94080</v>
      </c>
      <c r="I619" s="2"/>
      <c r="J619" s="2"/>
      <c r="K619" s="17">
        <v>94080</v>
      </c>
      <c r="L619" s="17">
        <v>10080</v>
      </c>
      <c r="M619" s="17">
        <v>84000</v>
      </c>
      <c r="N619" s="17">
        <v>94080</v>
      </c>
      <c r="O619" s="2"/>
      <c r="P619" s="2"/>
      <c r="Q619" s="31" t="s">
        <v>46</v>
      </c>
      <c r="R619" s="61">
        <f>+K619+K620+K621+K622+K623</f>
        <v>1377828</v>
      </c>
      <c r="S619" s="66"/>
      <c r="T619" s="42"/>
    </row>
    <row r="620" spans="1:20" ht="14.45" hidden="1" customHeight="1">
      <c r="A620" s="2" t="s">
        <v>1048</v>
      </c>
      <c r="B620" s="2" t="s">
        <v>1101</v>
      </c>
      <c r="C620" s="2" t="s">
        <v>1102</v>
      </c>
      <c r="D620" s="16">
        <v>60</v>
      </c>
      <c r="E620" s="2" t="s">
        <v>1067</v>
      </c>
      <c r="F620" s="2" t="s">
        <v>787</v>
      </c>
      <c r="G620" s="2" t="s">
        <v>1103</v>
      </c>
      <c r="H620" s="17">
        <v>970898</v>
      </c>
      <c r="I620" s="2"/>
      <c r="J620" s="2"/>
      <c r="K620" s="17">
        <v>970898</v>
      </c>
      <c r="L620" s="17">
        <v>104024.79</v>
      </c>
      <c r="M620" s="17">
        <v>866873.21</v>
      </c>
      <c r="N620" s="17">
        <v>970898</v>
      </c>
      <c r="O620" s="2"/>
      <c r="P620" s="2"/>
      <c r="Q620" s="31" t="s">
        <v>46</v>
      </c>
      <c r="R620" s="62"/>
      <c r="S620" s="66"/>
      <c r="T620" s="42"/>
    </row>
    <row r="621" spans="1:20" ht="14.45" hidden="1" customHeight="1">
      <c r="A621" s="2" t="s">
        <v>1117</v>
      </c>
      <c r="B621" s="2" t="s">
        <v>1182</v>
      </c>
      <c r="C621" s="2" t="s">
        <v>1102</v>
      </c>
      <c r="D621" s="16">
        <v>60</v>
      </c>
      <c r="E621" s="2" t="s">
        <v>1139</v>
      </c>
      <c r="F621" s="2" t="s">
        <v>787</v>
      </c>
      <c r="G621" s="2" t="s">
        <v>1183</v>
      </c>
      <c r="H621" s="17">
        <v>214500</v>
      </c>
      <c r="I621" s="2"/>
      <c r="J621" s="2"/>
      <c r="K621" s="17">
        <v>214500</v>
      </c>
      <c r="L621" s="17">
        <v>22982.14</v>
      </c>
      <c r="M621" s="17">
        <v>191517.86</v>
      </c>
      <c r="N621" s="17">
        <v>214500</v>
      </c>
      <c r="O621" s="2"/>
      <c r="P621" s="2"/>
      <c r="Q621" s="31" t="s">
        <v>46</v>
      </c>
      <c r="R621" s="62"/>
      <c r="S621" s="66"/>
      <c r="T621" s="42"/>
    </row>
    <row r="622" spans="1:20" ht="14.45" hidden="1" customHeight="1">
      <c r="A622" s="2" t="s">
        <v>1117</v>
      </c>
      <c r="B622" s="2" t="s">
        <v>1184</v>
      </c>
      <c r="C622" s="2" t="s">
        <v>1102</v>
      </c>
      <c r="D622" s="16">
        <v>60</v>
      </c>
      <c r="E622" s="2" t="s">
        <v>1139</v>
      </c>
      <c r="F622" s="2" t="s">
        <v>787</v>
      </c>
      <c r="G622" s="2" t="s">
        <v>1185</v>
      </c>
      <c r="H622" s="17">
        <v>52684</v>
      </c>
      <c r="I622" s="2"/>
      <c r="J622" s="2"/>
      <c r="K622" s="17">
        <v>52684</v>
      </c>
      <c r="L622" s="17">
        <v>5644.71</v>
      </c>
      <c r="M622" s="17">
        <v>47039.29</v>
      </c>
      <c r="N622" s="17">
        <v>52684</v>
      </c>
      <c r="O622" s="2"/>
      <c r="P622" s="2"/>
      <c r="Q622" s="31" t="s">
        <v>46</v>
      </c>
      <c r="R622" s="62"/>
      <c r="S622" s="66"/>
      <c r="T622" s="42"/>
    </row>
    <row r="623" spans="1:20" ht="14.45" hidden="1" customHeight="1">
      <c r="A623" s="2" t="s">
        <v>1553</v>
      </c>
      <c r="B623" s="2" t="s">
        <v>1575</v>
      </c>
      <c r="C623" s="2" t="s">
        <v>658</v>
      </c>
      <c r="D623" s="16">
        <v>60</v>
      </c>
      <c r="E623" s="2" t="s">
        <v>1557</v>
      </c>
      <c r="F623" s="2" t="s">
        <v>787</v>
      </c>
      <c r="G623" s="2" t="s">
        <v>1576</v>
      </c>
      <c r="H623" s="17">
        <v>45666</v>
      </c>
      <c r="I623" s="2"/>
      <c r="J623" s="2"/>
      <c r="K623" s="17">
        <v>45666</v>
      </c>
      <c r="L623" s="17">
        <v>4892.79</v>
      </c>
      <c r="M623" s="17">
        <v>40773.21</v>
      </c>
      <c r="N623" s="17">
        <v>45666</v>
      </c>
      <c r="O623" s="2"/>
      <c r="P623" s="2"/>
      <c r="Q623" s="31" t="s">
        <v>46</v>
      </c>
      <c r="R623" s="63"/>
      <c r="S623" s="66"/>
      <c r="T623" s="42"/>
    </row>
    <row r="624" spans="1:20" ht="14.45" hidden="1" customHeight="1">
      <c r="A624" s="2" t="s">
        <v>1287</v>
      </c>
      <c r="B624" s="2" t="s">
        <v>1325</v>
      </c>
      <c r="C624" s="2" t="s">
        <v>146</v>
      </c>
      <c r="D624" s="16">
        <v>90</v>
      </c>
      <c r="E624" s="2" t="s">
        <v>1315</v>
      </c>
      <c r="F624" s="2" t="s">
        <v>1326</v>
      </c>
      <c r="G624" s="2" t="s">
        <v>1327</v>
      </c>
      <c r="H624" s="17">
        <v>148436</v>
      </c>
      <c r="I624" s="2"/>
      <c r="J624" s="2"/>
      <c r="K624" s="17">
        <v>148436</v>
      </c>
      <c r="L624" s="17">
        <v>15903.86</v>
      </c>
      <c r="M624" s="17">
        <v>132532.14000000001</v>
      </c>
      <c r="N624" s="17">
        <v>148436</v>
      </c>
      <c r="O624" s="2"/>
      <c r="P624" s="2"/>
      <c r="Q624" s="31" t="s">
        <v>46</v>
      </c>
      <c r="R624" s="32">
        <f>+K624</f>
        <v>148436</v>
      </c>
      <c r="S624" s="66"/>
      <c r="T624" s="42"/>
    </row>
    <row r="625" spans="1:20" hidden="1">
      <c r="A625" s="2" t="s">
        <v>93</v>
      </c>
      <c r="B625" s="2" t="s">
        <v>110</v>
      </c>
      <c r="C625" s="2" t="s">
        <v>18</v>
      </c>
      <c r="D625" s="16">
        <v>0</v>
      </c>
      <c r="E625" s="2" t="s">
        <v>93</v>
      </c>
      <c r="F625" s="2" t="s">
        <v>111</v>
      </c>
      <c r="G625" s="2" t="s">
        <v>112</v>
      </c>
      <c r="H625" s="17">
        <v>18378</v>
      </c>
      <c r="I625" s="2"/>
      <c r="J625" s="17">
        <v>6000</v>
      </c>
      <c r="K625" s="17">
        <f>24378-J625</f>
        <v>18378</v>
      </c>
      <c r="L625" s="17">
        <v>2611.9299999999998</v>
      </c>
      <c r="M625" s="17">
        <v>21766.07</v>
      </c>
      <c r="N625" s="17">
        <v>24378</v>
      </c>
      <c r="O625" s="2" t="s">
        <v>1783</v>
      </c>
      <c r="P625" s="2"/>
      <c r="Q625" s="31" t="s">
        <v>46</v>
      </c>
      <c r="R625" s="32">
        <f>+K625</f>
        <v>18378</v>
      </c>
      <c r="S625" s="66"/>
      <c r="T625" s="43">
        <f>+J625</f>
        <v>6000</v>
      </c>
    </row>
    <row r="626" spans="1:20" hidden="1">
      <c r="A626" s="2" t="s">
        <v>93</v>
      </c>
      <c r="B626" s="2" t="s">
        <v>92</v>
      </c>
      <c r="C626" s="2" t="s">
        <v>94</v>
      </c>
      <c r="D626" s="16">
        <v>0</v>
      </c>
      <c r="E626" s="2" t="s">
        <v>93</v>
      </c>
      <c r="F626" s="2" t="s">
        <v>95</v>
      </c>
      <c r="G626" s="2" t="s">
        <v>96</v>
      </c>
      <c r="H626" s="17">
        <v>422500</v>
      </c>
      <c r="I626" s="2"/>
      <c r="J626" s="2"/>
      <c r="K626" s="17">
        <v>422500</v>
      </c>
      <c r="L626" s="17">
        <v>45267.86</v>
      </c>
      <c r="M626" s="17">
        <v>377232.14</v>
      </c>
      <c r="N626" s="17">
        <v>422500</v>
      </c>
      <c r="O626" s="2"/>
      <c r="P626" s="2"/>
      <c r="Q626" s="31" t="s">
        <v>46</v>
      </c>
      <c r="R626" s="61">
        <f>+K626+K627+K628</f>
        <v>975220</v>
      </c>
      <c r="S626" s="62"/>
      <c r="T626" s="5"/>
    </row>
    <row r="627" spans="1:20" hidden="1">
      <c r="A627" s="2" t="s">
        <v>368</v>
      </c>
      <c r="B627" s="2" t="s">
        <v>373</v>
      </c>
      <c r="C627" s="2" t="s">
        <v>94</v>
      </c>
      <c r="D627" s="16">
        <v>0</v>
      </c>
      <c r="E627" s="2" t="s">
        <v>368</v>
      </c>
      <c r="F627" s="2" t="s">
        <v>95</v>
      </c>
      <c r="G627" s="2" t="s">
        <v>374</v>
      </c>
      <c r="H627" s="17">
        <v>263200</v>
      </c>
      <c r="I627" s="2"/>
      <c r="J627" s="2"/>
      <c r="K627" s="17">
        <v>263200</v>
      </c>
      <c r="L627" s="17">
        <v>28200</v>
      </c>
      <c r="M627" s="17">
        <v>235000</v>
      </c>
      <c r="N627" s="17">
        <v>263200</v>
      </c>
      <c r="O627" s="2"/>
      <c r="P627" s="2"/>
      <c r="Q627" s="31" t="s">
        <v>46</v>
      </c>
      <c r="R627" s="62"/>
      <c r="S627" s="62"/>
      <c r="T627" s="5"/>
    </row>
    <row r="628" spans="1:20" hidden="1">
      <c r="A628" s="2" t="s">
        <v>866</v>
      </c>
      <c r="B628" s="2" t="s">
        <v>865</v>
      </c>
      <c r="C628" s="2" t="s">
        <v>94</v>
      </c>
      <c r="D628" s="16">
        <v>0</v>
      </c>
      <c r="E628" s="2" t="s">
        <v>866</v>
      </c>
      <c r="F628" s="2" t="s">
        <v>95</v>
      </c>
      <c r="G628" s="2" t="s">
        <v>867</v>
      </c>
      <c r="H628" s="17">
        <v>289520</v>
      </c>
      <c r="I628" s="2"/>
      <c r="J628" s="2"/>
      <c r="K628" s="17">
        <v>289520</v>
      </c>
      <c r="L628" s="17">
        <v>31020</v>
      </c>
      <c r="M628" s="17">
        <v>258500</v>
      </c>
      <c r="N628" s="17">
        <v>289520</v>
      </c>
      <c r="O628" s="2"/>
      <c r="P628" s="2"/>
      <c r="Q628" s="31" t="s">
        <v>46</v>
      </c>
      <c r="R628" s="63"/>
      <c r="S628" s="62"/>
      <c r="T628" s="5"/>
    </row>
    <row r="629" spans="1:20" hidden="1">
      <c r="A629" s="2" t="s">
        <v>769</v>
      </c>
      <c r="B629" s="2" t="s">
        <v>814</v>
      </c>
      <c r="C629" s="2" t="s">
        <v>162</v>
      </c>
      <c r="D629" s="16">
        <v>90</v>
      </c>
      <c r="E629" s="2" t="s">
        <v>815</v>
      </c>
      <c r="F629" s="2" t="s">
        <v>816</v>
      </c>
      <c r="G629" s="2" t="s">
        <v>817</v>
      </c>
      <c r="H629" s="17">
        <v>38020</v>
      </c>
      <c r="I629" s="2"/>
      <c r="J629" s="2"/>
      <c r="K629" s="17">
        <v>38020</v>
      </c>
      <c r="L629" s="17">
        <v>4073.57</v>
      </c>
      <c r="M629" s="17">
        <v>33946.43</v>
      </c>
      <c r="N629" s="17">
        <v>38020</v>
      </c>
      <c r="O629" s="2"/>
      <c r="P629" s="2"/>
      <c r="Q629" s="31" t="s">
        <v>46</v>
      </c>
      <c r="R629" s="32">
        <f>+K629</f>
        <v>38020</v>
      </c>
      <c r="S629" s="62"/>
      <c r="T629" s="5"/>
    </row>
    <row r="630" spans="1:20" hidden="1">
      <c r="A630" s="2" t="s">
        <v>448</v>
      </c>
      <c r="B630" s="2" t="s">
        <v>453</v>
      </c>
      <c r="C630" s="2" t="s">
        <v>60</v>
      </c>
      <c r="D630" s="16">
        <v>0</v>
      </c>
      <c r="E630" s="2" t="s">
        <v>448</v>
      </c>
      <c r="F630" s="2" t="s">
        <v>454</v>
      </c>
      <c r="G630" s="2" t="s">
        <v>455</v>
      </c>
      <c r="H630" s="17">
        <v>24000</v>
      </c>
      <c r="I630" s="2"/>
      <c r="J630" s="2"/>
      <c r="K630" s="17">
        <v>24000</v>
      </c>
      <c r="L630" s="17">
        <v>2571.4299999999998</v>
      </c>
      <c r="M630" s="17">
        <v>21428.57</v>
      </c>
      <c r="N630" s="17">
        <v>24000</v>
      </c>
      <c r="O630" s="2"/>
      <c r="P630" s="2"/>
      <c r="Q630" s="31" t="s">
        <v>46</v>
      </c>
      <c r="R630" s="32">
        <f>+K630</f>
        <v>24000</v>
      </c>
      <c r="S630" s="62"/>
      <c r="T630" s="5"/>
    </row>
    <row r="631" spans="1:20" hidden="1">
      <c r="A631" s="2" t="s">
        <v>1048</v>
      </c>
      <c r="B631" s="2" t="s">
        <v>1077</v>
      </c>
      <c r="C631" s="2" t="s">
        <v>73</v>
      </c>
      <c r="D631" s="16">
        <v>30</v>
      </c>
      <c r="E631" s="2" t="s">
        <v>1056</v>
      </c>
      <c r="F631" s="2" t="s">
        <v>1078</v>
      </c>
      <c r="G631" s="2" t="s">
        <v>1079</v>
      </c>
      <c r="H631" s="17">
        <v>138000</v>
      </c>
      <c r="I631" s="2"/>
      <c r="J631" s="2"/>
      <c r="K631" s="17">
        <v>138000</v>
      </c>
      <c r="L631" s="17">
        <v>14785.71</v>
      </c>
      <c r="M631" s="17">
        <v>123214.29</v>
      </c>
      <c r="N631" s="17">
        <v>138000</v>
      </c>
      <c r="O631" s="2"/>
      <c r="P631" s="2"/>
      <c r="Q631" s="31" t="s">
        <v>46</v>
      </c>
      <c r="R631" s="61">
        <f>+K631+K632+K633</f>
        <v>407500</v>
      </c>
      <c r="S631" s="62"/>
      <c r="T631" s="5"/>
    </row>
    <row r="632" spans="1:20" hidden="1">
      <c r="A632" s="2" t="s">
        <v>1048</v>
      </c>
      <c r="B632" s="2" t="s">
        <v>1080</v>
      </c>
      <c r="C632" s="2" t="s">
        <v>73</v>
      </c>
      <c r="D632" s="16">
        <v>30</v>
      </c>
      <c r="E632" s="2" t="s">
        <v>1056</v>
      </c>
      <c r="F632" s="2" t="s">
        <v>1078</v>
      </c>
      <c r="G632" s="2" t="s">
        <v>1081</v>
      </c>
      <c r="H632" s="17">
        <v>136000</v>
      </c>
      <c r="I632" s="2"/>
      <c r="J632" s="2"/>
      <c r="K632" s="17">
        <v>136000</v>
      </c>
      <c r="L632" s="17">
        <v>14571.43</v>
      </c>
      <c r="M632" s="17">
        <v>121428.57</v>
      </c>
      <c r="N632" s="17">
        <v>136000</v>
      </c>
      <c r="O632" s="2"/>
      <c r="P632" s="2"/>
      <c r="Q632" s="31" t="s">
        <v>46</v>
      </c>
      <c r="R632" s="62"/>
      <c r="S632" s="62"/>
      <c r="T632" s="5"/>
    </row>
    <row r="633" spans="1:20" hidden="1">
      <c r="A633" s="2" t="s">
        <v>1117</v>
      </c>
      <c r="B633" s="2" t="s">
        <v>1178</v>
      </c>
      <c r="C633" s="2" t="s">
        <v>73</v>
      </c>
      <c r="D633" s="16">
        <v>30</v>
      </c>
      <c r="E633" s="2" t="s">
        <v>1118</v>
      </c>
      <c r="F633" s="2" t="s">
        <v>1078</v>
      </c>
      <c r="G633" s="2" t="s">
        <v>1179</v>
      </c>
      <c r="H633" s="17">
        <v>133500</v>
      </c>
      <c r="I633" s="2"/>
      <c r="J633" s="2"/>
      <c r="K633" s="17">
        <v>133500</v>
      </c>
      <c r="L633" s="17">
        <v>14303.57</v>
      </c>
      <c r="M633" s="17">
        <v>119196.43</v>
      </c>
      <c r="N633" s="17">
        <v>133500</v>
      </c>
      <c r="O633" s="2"/>
      <c r="P633" s="2"/>
      <c r="Q633" s="31" t="s">
        <v>46</v>
      </c>
      <c r="R633" s="63"/>
      <c r="S633" s="62"/>
      <c r="T633" s="5"/>
    </row>
    <row r="634" spans="1:20" hidden="1">
      <c r="A634" s="2" t="s">
        <v>1217</v>
      </c>
      <c r="B634" s="2" t="s">
        <v>1225</v>
      </c>
      <c r="C634" s="2" t="s">
        <v>34</v>
      </c>
      <c r="D634" s="16">
        <v>60</v>
      </c>
      <c r="E634" s="2" t="s">
        <v>1223</v>
      </c>
      <c r="F634" s="2" t="s">
        <v>1226</v>
      </c>
      <c r="G634" s="2" t="s">
        <v>1227</v>
      </c>
      <c r="H634" s="17">
        <v>37782</v>
      </c>
      <c r="I634" s="2"/>
      <c r="J634" s="2"/>
      <c r="K634" s="17">
        <v>37782</v>
      </c>
      <c r="L634" s="17">
        <v>4048.07</v>
      </c>
      <c r="M634" s="17">
        <v>33733.93</v>
      </c>
      <c r="N634" s="17">
        <v>37782</v>
      </c>
      <c r="O634" s="2"/>
      <c r="P634" s="2"/>
      <c r="Q634" s="31" t="s">
        <v>46</v>
      </c>
      <c r="R634" s="61">
        <f>+K634+K635</f>
        <v>47043</v>
      </c>
      <c r="S634" s="62"/>
      <c r="T634" s="5"/>
    </row>
    <row r="635" spans="1:20" hidden="1">
      <c r="A635" s="2" t="s">
        <v>1372</v>
      </c>
      <c r="B635" s="2" t="s">
        <v>1371</v>
      </c>
      <c r="C635" s="2" t="s">
        <v>34</v>
      </c>
      <c r="D635" s="16">
        <v>60</v>
      </c>
      <c r="E635" s="2" t="s">
        <v>1373</v>
      </c>
      <c r="F635" s="2" t="s">
        <v>1226</v>
      </c>
      <c r="G635" s="2" t="s">
        <v>1374</v>
      </c>
      <c r="H635" s="17">
        <v>9261</v>
      </c>
      <c r="I635" s="2"/>
      <c r="J635" s="2"/>
      <c r="K635" s="17">
        <v>9261</v>
      </c>
      <c r="L635" s="18">
        <v>992.25</v>
      </c>
      <c r="M635" s="17">
        <v>8268.75</v>
      </c>
      <c r="N635" s="17">
        <v>9261</v>
      </c>
      <c r="O635" s="2"/>
      <c r="P635" s="2"/>
      <c r="Q635" s="31" t="s">
        <v>46</v>
      </c>
      <c r="R635" s="63"/>
      <c r="S635" s="62"/>
      <c r="T635" s="5"/>
    </row>
    <row r="636" spans="1:20" hidden="1">
      <c r="A636" s="2" t="s">
        <v>199</v>
      </c>
      <c r="B636" s="2" t="s">
        <v>207</v>
      </c>
      <c r="C636" s="2" t="s">
        <v>60</v>
      </c>
      <c r="D636" s="16">
        <v>0</v>
      </c>
      <c r="E636" s="2" t="s">
        <v>199</v>
      </c>
      <c r="F636" s="2" t="s">
        <v>208</v>
      </c>
      <c r="G636" s="2" t="s">
        <v>209</v>
      </c>
      <c r="H636" s="17">
        <v>6272</v>
      </c>
      <c r="I636" s="2"/>
      <c r="J636" s="2"/>
      <c r="K636" s="17">
        <v>6272</v>
      </c>
      <c r="L636" s="18">
        <v>672</v>
      </c>
      <c r="M636" s="17">
        <v>5600</v>
      </c>
      <c r="N636" s="17">
        <v>6272</v>
      </c>
      <c r="O636" s="2"/>
      <c r="P636" s="2"/>
      <c r="Q636" s="31" t="s">
        <v>46</v>
      </c>
      <c r="R636" s="32">
        <f>+K636</f>
        <v>6272</v>
      </c>
      <c r="S636" s="62"/>
      <c r="T636" s="5"/>
    </row>
    <row r="637" spans="1:20" hidden="1">
      <c r="A637" s="2" t="s">
        <v>637</v>
      </c>
      <c r="B637" s="2" t="s">
        <v>657</v>
      </c>
      <c r="C637" s="2" t="s">
        <v>658</v>
      </c>
      <c r="D637" s="16">
        <v>60</v>
      </c>
      <c r="E637" s="2" t="s">
        <v>659</v>
      </c>
      <c r="F637" s="2" t="s">
        <v>660</v>
      </c>
      <c r="G637" s="2" t="s">
        <v>661</v>
      </c>
      <c r="H637" s="17">
        <v>42000</v>
      </c>
      <c r="I637" s="2"/>
      <c r="J637" s="2"/>
      <c r="K637" s="17">
        <v>42000</v>
      </c>
      <c r="L637" s="17">
        <v>4500</v>
      </c>
      <c r="M637" s="17">
        <v>37500</v>
      </c>
      <c r="N637" s="17">
        <v>42000</v>
      </c>
      <c r="O637" s="2"/>
      <c r="P637" s="2"/>
      <c r="Q637" s="31" t="s">
        <v>46</v>
      </c>
      <c r="R637" s="32">
        <f>+K637</f>
        <v>42000</v>
      </c>
      <c r="S637" s="63"/>
      <c r="T637" s="5"/>
    </row>
    <row r="638" spans="1:20" hidden="1">
      <c r="A638" s="2" t="s">
        <v>93</v>
      </c>
      <c r="B638" s="2" t="s">
        <v>161</v>
      </c>
      <c r="C638" s="2" t="s">
        <v>162</v>
      </c>
      <c r="D638" s="16">
        <v>90</v>
      </c>
      <c r="E638" s="2" t="s">
        <v>147</v>
      </c>
      <c r="F638" s="2" t="s">
        <v>164</v>
      </c>
      <c r="G638" s="2" t="s">
        <v>165</v>
      </c>
      <c r="H638" s="17">
        <v>13175</v>
      </c>
      <c r="I638" s="2"/>
      <c r="J638" s="2"/>
      <c r="K638" s="17">
        <v>13175</v>
      </c>
      <c r="L638" s="17">
        <v>1411.61</v>
      </c>
      <c r="M638" s="17">
        <v>11763.39</v>
      </c>
      <c r="N638" s="17">
        <v>13175</v>
      </c>
      <c r="O638" s="2"/>
      <c r="P638" s="2"/>
      <c r="Q638" s="31" t="s">
        <v>163</v>
      </c>
      <c r="R638" s="61">
        <f>+K638+K639</f>
        <v>42575</v>
      </c>
      <c r="S638" s="61">
        <f>+R638</f>
        <v>42575</v>
      </c>
      <c r="T638" s="5"/>
    </row>
    <row r="639" spans="1:20" hidden="1">
      <c r="A639" s="2" t="s">
        <v>1217</v>
      </c>
      <c r="B639" s="2" t="s">
        <v>1234</v>
      </c>
      <c r="C639" s="2" t="s">
        <v>162</v>
      </c>
      <c r="D639" s="16">
        <v>90</v>
      </c>
      <c r="E639" s="2" t="s">
        <v>1235</v>
      </c>
      <c r="F639" s="2" t="s">
        <v>164</v>
      </c>
      <c r="G639" s="2" t="s">
        <v>1236</v>
      </c>
      <c r="H639" s="17">
        <v>29400</v>
      </c>
      <c r="I639" s="2"/>
      <c r="J639" s="2"/>
      <c r="K639" s="17">
        <v>29400</v>
      </c>
      <c r="L639" s="17">
        <v>3150</v>
      </c>
      <c r="M639" s="17">
        <v>26250</v>
      </c>
      <c r="N639" s="17">
        <v>29400</v>
      </c>
      <c r="O639" s="2"/>
      <c r="P639" s="2"/>
      <c r="Q639" s="31" t="s">
        <v>163</v>
      </c>
      <c r="R639" s="63"/>
      <c r="S639" s="63"/>
      <c r="T639" s="5"/>
    </row>
    <row r="640" spans="1:20" hidden="1">
      <c r="D640" s="6"/>
      <c r="F640" s="25" t="s">
        <v>1776</v>
      </c>
      <c r="G640" s="26"/>
      <c r="H640" s="27"/>
      <c r="I640" s="26"/>
      <c r="J640" s="28">
        <f>SUM(J5:J639)</f>
        <v>376155.62</v>
      </c>
      <c r="K640" s="28">
        <f>SUM(K5:K639)</f>
        <v>154526133.59</v>
      </c>
      <c r="L640" s="5"/>
      <c r="M640" s="5"/>
      <c r="N640" s="28">
        <f>SUM(N5:N639)</f>
        <v>154902289.21000001</v>
      </c>
      <c r="R640" s="28">
        <f>SUM(R5:R638)</f>
        <v>154526133.59000003</v>
      </c>
      <c r="S640" s="28">
        <f>SUM(S5:S638)</f>
        <v>154526133.59</v>
      </c>
      <c r="T640" s="46">
        <f>SUM(T69:T639)</f>
        <v>376155.62</v>
      </c>
    </row>
    <row r="641" spans="1:20">
      <c r="D641" s="6"/>
      <c r="H641" s="5"/>
      <c r="K641" s="5"/>
      <c r="L641" s="5"/>
      <c r="M641" s="5"/>
      <c r="N641" s="5"/>
      <c r="S641" s="44"/>
      <c r="T641" s="44"/>
    </row>
    <row r="642" spans="1:20">
      <c r="D642" s="6"/>
      <c r="H642" s="5"/>
      <c r="K642" s="5"/>
      <c r="L642" s="5"/>
      <c r="M642" s="5"/>
      <c r="N642" s="5"/>
      <c r="S642" s="44"/>
      <c r="T642" s="5"/>
    </row>
    <row r="643" spans="1:20">
      <c r="D643" s="6"/>
      <c r="H643" s="5"/>
      <c r="K643" s="5"/>
      <c r="L643" s="5"/>
      <c r="M643" s="5"/>
      <c r="N643" s="5"/>
    </row>
    <row r="644" spans="1:20">
      <c r="D644" s="6"/>
      <c r="H644" s="5"/>
      <c r="K644" s="5"/>
      <c r="L644" s="5"/>
      <c r="M644" s="5"/>
      <c r="N644" s="5"/>
    </row>
    <row r="645" spans="1:20">
      <c r="D645" s="6"/>
      <c r="H645" s="5"/>
      <c r="K645" s="5"/>
      <c r="L645" s="5"/>
      <c r="M645" s="5"/>
      <c r="N645" s="5"/>
    </row>
    <row r="646" spans="1:20">
      <c r="D646" s="6"/>
      <c r="H646" s="5"/>
      <c r="K646" s="5"/>
      <c r="L646" s="5"/>
      <c r="M646" s="5"/>
      <c r="N646" s="5"/>
    </row>
    <row r="647" spans="1:20">
      <c r="D647" s="6"/>
      <c r="H647" s="5"/>
      <c r="K647" s="5"/>
      <c r="L647" s="5"/>
      <c r="M647" s="5"/>
      <c r="N647" s="5"/>
    </row>
    <row r="648" spans="1:20">
      <c r="D648" s="6"/>
      <c r="H648" s="5"/>
      <c r="K648" s="5"/>
      <c r="L648" s="5"/>
      <c r="M648" s="5"/>
      <c r="N648" s="5"/>
    </row>
    <row r="649" spans="1:20">
      <c r="D649" s="6"/>
      <c r="H649" s="5"/>
      <c r="K649" s="5"/>
      <c r="L649" s="5"/>
      <c r="M649" s="5"/>
      <c r="N649" s="5"/>
    </row>
    <row r="650" spans="1:20">
      <c r="D650" s="6"/>
      <c r="H650" s="5"/>
      <c r="K650" s="5"/>
      <c r="L650" s="5"/>
      <c r="M650" s="5"/>
      <c r="N650" s="5"/>
    </row>
    <row r="651" spans="1:20">
      <c r="D651" s="6"/>
      <c r="H651" s="5"/>
      <c r="K651" s="5"/>
      <c r="L651" s="5"/>
      <c r="M651" s="5"/>
      <c r="N651" s="5"/>
    </row>
    <row r="652" spans="1:20">
      <c r="D652" s="6"/>
      <c r="H652" s="5"/>
      <c r="K652" s="5"/>
      <c r="L652" s="5"/>
      <c r="M652" s="5"/>
      <c r="N652" s="5"/>
    </row>
    <row r="653" spans="1:20">
      <c r="D653" s="6"/>
      <c r="H653" s="5"/>
      <c r="K653" s="5"/>
      <c r="L653" s="5"/>
      <c r="M653" s="5"/>
      <c r="N653" s="5"/>
    </row>
    <row r="654" spans="1:20">
      <c r="A654" s="24" t="s">
        <v>93</v>
      </c>
      <c r="B654" s="24" t="s">
        <v>1622</v>
      </c>
      <c r="C654" s="24" t="s">
        <v>146</v>
      </c>
      <c r="D654" s="6">
        <v>90</v>
      </c>
      <c r="E654" s="24" t="s">
        <v>147</v>
      </c>
      <c r="F654" s="24" t="s">
        <v>589</v>
      </c>
      <c r="G654" s="24" t="s">
        <v>1623</v>
      </c>
      <c r="H654" s="4">
        <v>-1.25</v>
      </c>
      <c r="K654" s="4">
        <v>-1.25</v>
      </c>
      <c r="M654" s="4">
        <v>-1.25</v>
      </c>
      <c r="N654" s="4">
        <v>-1.25</v>
      </c>
      <c r="Q654" s="24" t="s">
        <v>69</v>
      </c>
    </row>
    <row r="655" spans="1:20">
      <c r="A655" s="24" t="s">
        <v>448</v>
      </c>
      <c r="B655" s="24" t="s">
        <v>1624</v>
      </c>
      <c r="C655" s="24" t="s">
        <v>146</v>
      </c>
      <c r="D655" s="6">
        <v>90</v>
      </c>
      <c r="E655" s="24" t="s">
        <v>479</v>
      </c>
      <c r="F655" s="24" t="s">
        <v>589</v>
      </c>
      <c r="G655" s="24" t="s">
        <v>1625</v>
      </c>
      <c r="H655" s="4">
        <v>-0.14000000000000001</v>
      </c>
      <c r="K655" s="4">
        <v>-0.14000000000000001</v>
      </c>
      <c r="M655" s="4">
        <v>-0.14000000000000001</v>
      </c>
      <c r="N655" s="4">
        <v>-0.14000000000000001</v>
      </c>
      <c r="Q655" s="24" t="s">
        <v>139</v>
      </c>
    </row>
    <row r="656" spans="1:20">
      <c r="A656" s="24" t="s">
        <v>505</v>
      </c>
      <c r="B656" s="24" t="s">
        <v>1626</v>
      </c>
      <c r="C656" s="24" t="s">
        <v>243</v>
      </c>
      <c r="D656" s="6">
        <v>30</v>
      </c>
      <c r="E656" s="24" t="s">
        <v>518</v>
      </c>
      <c r="F656" s="24" t="s">
        <v>1405</v>
      </c>
      <c r="G656" s="24" t="s">
        <v>1627</v>
      </c>
      <c r="H656" s="4">
        <v>-0.99</v>
      </c>
      <c r="K656" s="4">
        <v>-0.99</v>
      </c>
      <c r="M656" s="4">
        <v>-0.99</v>
      </c>
      <c r="N656" s="4">
        <v>-0.99</v>
      </c>
      <c r="Q656" s="24" t="s">
        <v>139</v>
      </c>
    </row>
    <row r="657" spans="1:17">
      <c r="A657" s="24" t="s">
        <v>505</v>
      </c>
      <c r="B657" s="24" t="s">
        <v>1628</v>
      </c>
      <c r="C657" s="24" t="s">
        <v>73</v>
      </c>
      <c r="D657" s="6">
        <v>30</v>
      </c>
      <c r="E657" s="24" t="s">
        <v>518</v>
      </c>
      <c r="F657" s="24" t="s">
        <v>267</v>
      </c>
      <c r="G657" s="24" t="s">
        <v>1629</v>
      </c>
      <c r="H657" s="4">
        <v>-134200</v>
      </c>
      <c r="K657" s="4">
        <v>-134200</v>
      </c>
      <c r="L657" s="4">
        <v>-14378.57</v>
      </c>
      <c r="M657" s="4">
        <v>-119821.43</v>
      </c>
      <c r="N657" s="4">
        <v>-134200</v>
      </c>
      <c r="Q657" s="24" t="s">
        <v>139</v>
      </c>
    </row>
    <row r="658" spans="1:17">
      <c r="A658" s="24" t="s">
        <v>505</v>
      </c>
      <c r="B658" s="24" t="s">
        <v>1630</v>
      </c>
      <c r="C658" s="24" t="s">
        <v>104</v>
      </c>
      <c r="D658" s="6">
        <v>0</v>
      </c>
      <c r="E658" s="24" t="s">
        <v>505</v>
      </c>
      <c r="F658" s="24" t="s">
        <v>490</v>
      </c>
      <c r="G658" s="24" t="s">
        <v>1631</v>
      </c>
      <c r="H658" s="4">
        <v>-0.54</v>
      </c>
      <c r="K658" s="4">
        <v>-0.54</v>
      </c>
      <c r="M658" s="4">
        <v>-0.54</v>
      </c>
      <c r="N658" s="4">
        <v>-0.54</v>
      </c>
      <c r="Q658" s="24" t="s">
        <v>19</v>
      </c>
    </row>
    <row r="659" spans="1:17">
      <c r="A659" s="24" t="s">
        <v>596</v>
      </c>
      <c r="B659" s="24" t="s">
        <v>1632</v>
      </c>
      <c r="C659" s="24" t="s">
        <v>151</v>
      </c>
      <c r="D659" s="6">
        <v>60</v>
      </c>
      <c r="E659" s="24" t="s">
        <v>613</v>
      </c>
      <c r="F659" s="24" t="s">
        <v>1633</v>
      </c>
      <c r="G659" s="24" t="s">
        <v>1634</v>
      </c>
      <c r="H659" s="4">
        <v>-2</v>
      </c>
      <c r="K659" s="4">
        <v>-2</v>
      </c>
      <c r="M659" s="4">
        <v>-2</v>
      </c>
      <c r="N659" s="4">
        <v>-2</v>
      </c>
      <c r="Q659" s="24" t="s">
        <v>30</v>
      </c>
    </row>
    <row r="660" spans="1:17">
      <c r="A660" s="24" t="s">
        <v>596</v>
      </c>
      <c r="B660" s="24" t="s">
        <v>1635</v>
      </c>
      <c r="C660" s="24" t="s">
        <v>79</v>
      </c>
      <c r="D660" s="6">
        <v>30</v>
      </c>
      <c r="E660" s="24" t="s">
        <v>619</v>
      </c>
      <c r="F660" s="24" t="s">
        <v>1636</v>
      </c>
      <c r="G660" s="24" t="s">
        <v>1637</v>
      </c>
      <c r="H660" s="4">
        <v>-637070</v>
      </c>
      <c r="K660" s="4">
        <v>-637070</v>
      </c>
      <c r="L660" s="4">
        <v>-68257.5</v>
      </c>
      <c r="M660" s="4">
        <v>-568812.5</v>
      </c>
      <c r="N660" s="4">
        <v>-637070</v>
      </c>
      <c r="Q660" s="24" t="s">
        <v>105</v>
      </c>
    </row>
    <row r="661" spans="1:17">
      <c r="A661" s="24" t="s">
        <v>596</v>
      </c>
      <c r="B661" s="24" t="s">
        <v>1638</v>
      </c>
      <c r="C661" s="24" t="s">
        <v>79</v>
      </c>
      <c r="D661" s="6">
        <v>30</v>
      </c>
      <c r="E661" s="24" t="s">
        <v>619</v>
      </c>
      <c r="F661" s="24" t="s">
        <v>1636</v>
      </c>
      <c r="G661" s="24" t="s">
        <v>1639</v>
      </c>
      <c r="H661" s="4">
        <v>-115297</v>
      </c>
      <c r="K661" s="4">
        <v>-115297</v>
      </c>
      <c r="L661" s="4">
        <v>-12353.25</v>
      </c>
      <c r="M661" s="4">
        <v>-102943.75</v>
      </c>
      <c r="N661" s="4">
        <v>-115297</v>
      </c>
      <c r="Q661" s="24" t="s">
        <v>69</v>
      </c>
    </row>
    <row r="662" spans="1:17">
      <c r="A662" s="24" t="s">
        <v>596</v>
      </c>
      <c r="B662" s="24" t="s">
        <v>1640</v>
      </c>
      <c r="C662" s="24" t="s">
        <v>79</v>
      </c>
      <c r="D662" s="6">
        <v>30</v>
      </c>
      <c r="E662" s="24" t="s">
        <v>619</v>
      </c>
      <c r="F662" s="24" t="s">
        <v>1636</v>
      </c>
      <c r="G662" s="24" t="s">
        <v>1641</v>
      </c>
      <c r="H662" s="4">
        <v>-663000</v>
      </c>
      <c r="K662" s="4">
        <v>-663000</v>
      </c>
      <c r="L662" s="4">
        <v>-71035.710000000006</v>
      </c>
      <c r="M662" s="4">
        <v>-591964.29</v>
      </c>
      <c r="N662" s="4">
        <v>-663000</v>
      </c>
      <c r="Q662" s="24" t="s">
        <v>69</v>
      </c>
    </row>
    <row r="663" spans="1:17">
      <c r="A663" s="24" t="s">
        <v>596</v>
      </c>
      <c r="B663" s="24" t="s">
        <v>1642</v>
      </c>
      <c r="C663" s="24" t="s">
        <v>79</v>
      </c>
      <c r="D663" s="6">
        <v>30</v>
      </c>
      <c r="E663" s="24" t="s">
        <v>619</v>
      </c>
      <c r="F663" s="24" t="s">
        <v>1636</v>
      </c>
      <c r="G663" s="24" t="s">
        <v>1643</v>
      </c>
      <c r="H663" s="4">
        <v>-343200</v>
      </c>
      <c r="K663" s="4">
        <v>-343200</v>
      </c>
      <c r="L663" s="4">
        <v>-36771.43</v>
      </c>
      <c r="M663" s="4">
        <v>-306428.57</v>
      </c>
      <c r="N663" s="4">
        <v>-343200</v>
      </c>
      <c r="Q663" s="24" t="s">
        <v>69</v>
      </c>
    </row>
    <row r="664" spans="1:17">
      <c r="A664" s="24" t="s">
        <v>596</v>
      </c>
      <c r="B664" s="24" t="s">
        <v>1644</v>
      </c>
      <c r="C664" s="24" t="s">
        <v>79</v>
      </c>
      <c r="D664" s="6">
        <v>30</v>
      </c>
      <c r="E664" s="24" t="s">
        <v>619</v>
      </c>
      <c r="F664" s="24" t="s">
        <v>1636</v>
      </c>
      <c r="G664" s="24" t="s">
        <v>1645</v>
      </c>
      <c r="H664" s="4">
        <v>-53150</v>
      </c>
      <c r="K664" s="4">
        <v>-53150</v>
      </c>
      <c r="L664" s="4">
        <v>-5694.64</v>
      </c>
      <c r="M664" s="4">
        <v>-47455.360000000001</v>
      </c>
      <c r="N664" s="4">
        <v>-53150</v>
      </c>
      <c r="Q664" s="24" t="s">
        <v>69</v>
      </c>
    </row>
    <row r="665" spans="1:17">
      <c r="A665" s="24" t="s">
        <v>596</v>
      </c>
      <c r="B665" s="24" t="s">
        <v>1646</v>
      </c>
      <c r="C665" s="24" t="s">
        <v>79</v>
      </c>
      <c r="D665" s="6">
        <v>30</v>
      </c>
      <c r="E665" s="24" t="s">
        <v>619</v>
      </c>
      <c r="F665" s="24" t="s">
        <v>1636</v>
      </c>
      <c r="G665" s="24" t="s">
        <v>1647</v>
      </c>
      <c r="H665" s="4">
        <v>-66750</v>
      </c>
      <c r="K665" s="4">
        <v>-66750</v>
      </c>
      <c r="L665" s="4">
        <v>-7151.79</v>
      </c>
      <c r="M665" s="4">
        <v>-59598.21</v>
      </c>
      <c r="N665" s="4">
        <v>-66750</v>
      </c>
      <c r="Q665" s="24" t="s">
        <v>69</v>
      </c>
    </row>
    <row r="666" spans="1:17">
      <c r="A666" s="24" t="s">
        <v>596</v>
      </c>
      <c r="B666" s="24" t="s">
        <v>1648</v>
      </c>
      <c r="C666" s="24" t="s">
        <v>79</v>
      </c>
      <c r="D666" s="6">
        <v>30</v>
      </c>
      <c r="E666" s="24" t="s">
        <v>619</v>
      </c>
      <c r="F666" s="24" t="s">
        <v>1636</v>
      </c>
      <c r="G666" s="24" t="s">
        <v>1649</v>
      </c>
      <c r="H666" s="4">
        <v>-122650</v>
      </c>
      <c r="K666" s="4">
        <v>-122650</v>
      </c>
      <c r="L666" s="4">
        <v>-13141.07</v>
      </c>
      <c r="M666" s="4">
        <v>-109508.93</v>
      </c>
      <c r="N666" s="4">
        <v>-122650</v>
      </c>
      <c r="Q666" s="24" t="s">
        <v>69</v>
      </c>
    </row>
    <row r="667" spans="1:17">
      <c r="A667" s="24" t="s">
        <v>1651</v>
      </c>
      <c r="B667" s="24" t="s">
        <v>1650</v>
      </c>
      <c r="C667" s="24" t="s">
        <v>60</v>
      </c>
      <c r="D667" s="6">
        <v>0</v>
      </c>
      <c r="E667" s="24" t="s">
        <v>1651</v>
      </c>
      <c r="F667" s="24" t="s">
        <v>1127</v>
      </c>
      <c r="G667" s="24" t="s">
        <v>1652</v>
      </c>
      <c r="H667" s="4">
        <v>-0.4</v>
      </c>
      <c r="K667" s="4">
        <v>-0.4</v>
      </c>
      <c r="M667" s="4">
        <v>-0.4</v>
      </c>
      <c r="N667" s="4">
        <v>-0.4</v>
      </c>
      <c r="Q667" s="24" t="s">
        <v>69</v>
      </c>
    </row>
    <row r="668" spans="1:17">
      <c r="A668" s="24" t="s">
        <v>689</v>
      </c>
      <c r="B668" s="24" t="s">
        <v>1653</v>
      </c>
      <c r="C668" s="24" t="s">
        <v>60</v>
      </c>
      <c r="D668" s="6">
        <v>0</v>
      </c>
      <c r="E668" s="24" t="s">
        <v>689</v>
      </c>
      <c r="F668" s="24" t="s">
        <v>790</v>
      </c>
      <c r="G668" s="24" t="s">
        <v>1654</v>
      </c>
      <c r="H668" s="4">
        <v>-0.2</v>
      </c>
      <c r="K668" s="4">
        <v>-0.2</v>
      </c>
      <c r="M668" s="4">
        <v>-0.2</v>
      </c>
      <c r="N668" s="4">
        <v>-0.2</v>
      </c>
      <c r="Q668" s="24" t="s">
        <v>56</v>
      </c>
    </row>
    <row r="669" spans="1:17">
      <c r="A669" s="24" t="s">
        <v>1117</v>
      </c>
      <c r="B669" s="24" t="s">
        <v>1655</v>
      </c>
      <c r="C669" s="24" t="s">
        <v>34</v>
      </c>
      <c r="D669" s="6">
        <v>60</v>
      </c>
      <c r="E669" s="24" t="s">
        <v>1139</v>
      </c>
      <c r="F669" s="24" t="s">
        <v>330</v>
      </c>
      <c r="G669" s="24" t="s">
        <v>1656</v>
      </c>
      <c r="H669" s="4">
        <v>-0.36</v>
      </c>
      <c r="K669" s="4">
        <v>-0.36</v>
      </c>
      <c r="M669" s="4">
        <v>-0.36</v>
      </c>
      <c r="N669" s="4">
        <v>-0.36</v>
      </c>
      <c r="Q669" s="24" t="s">
        <v>56</v>
      </c>
    </row>
    <row r="670" spans="1:17">
      <c r="A670" s="24" t="s">
        <v>1217</v>
      </c>
      <c r="B670" s="24" t="s">
        <v>1657</v>
      </c>
      <c r="C670" s="24" t="s">
        <v>146</v>
      </c>
      <c r="D670" s="6">
        <v>90</v>
      </c>
      <c r="E670" s="24" t="s">
        <v>1235</v>
      </c>
      <c r="F670" s="24" t="s">
        <v>1658</v>
      </c>
      <c r="G670" s="24" t="s">
        <v>1659</v>
      </c>
      <c r="H670" s="4">
        <v>-0.43</v>
      </c>
      <c r="K670" s="4">
        <v>-0.43</v>
      </c>
      <c r="M670" s="4">
        <v>-0.43</v>
      </c>
      <c r="N670" s="4">
        <v>-0.43</v>
      </c>
      <c r="Q670" s="24" t="s">
        <v>329</v>
      </c>
    </row>
    <row r="671" spans="1:17">
      <c r="A671" s="24" t="s">
        <v>1553</v>
      </c>
      <c r="B671" s="24" t="s">
        <v>1660</v>
      </c>
      <c r="C671" s="24" t="s">
        <v>18</v>
      </c>
      <c r="D671" s="6">
        <v>0</v>
      </c>
      <c r="E671" s="24" t="s">
        <v>1553</v>
      </c>
      <c r="F671" s="24" t="s">
        <v>1122</v>
      </c>
      <c r="G671" s="24" t="s">
        <v>1661</v>
      </c>
      <c r="H671" s="4">
        <v>-0.04</v>
      </c>
      <c r="K671" s="4">
        <v>-0.04</v>
      </c>
      <c r="M671" s="4">
        <v>-0.04</v>
      </c>
      <c r="N671" s="4">
        <v>-0.04</v>
      </c>
      <c r="Q671" s="24" t="s">
        <v>50</v>
      </c>
    </row>
    <row r="672" spans="1:17">
      <c r="A672" s="24" t="s">
        <v>1553</v>
      </c>
      <c r="B672" s="24" t="s">
        <v>1662</v>
      </c>
      <c r="C672" s="24" t="s">
        <v>104</v>
      </c>
      <c r="D672" s="6">
        <v>0</v>
      </c>
      <c r="E672" s="24" t="s">
        <v>1553</v>
      </c>
      <c r="F672" s="24" t="s">
        <v>490</v>
      </c>
      <c r="G672" s="24" t="s">
        <v>1663</v>
      </c>
      <c r="H672" s="4">
        <v>-0.54</v>
      </c>
      <c r="K672" s="4">
        <v>-0.54</v>
      </c>
      <c r="M672" s="4">
        <v>-0.54</v>
      </c>
      <c r="N672" s="4">
        <v>-0.54</v>
      </c>
      <c r="Q672" s="24" t="s">
        <v>46</v>
      </c>
    </row>
    <row r="673" spans="1:17">
      <c r="A673" s="24" t="s">
        <v>1553</v>
      </c>
      <c r="B673" s="24" t="s">
        <v>1664</v>
      </c>
      <c r="C673" s="24" t="s">
        <v>23</v>
      </c>
      <c r="D673" s="6">
        <v>30</v>
      </c>
      <c r="E673" s="24" t="s">
        <v>1569</v>
      </c>
      <c r="F673" s="24" t="s">
        <v>1665</v>
      </c>
      <c r="G673" s="24" t="s">
        <v>1666</v>
      </c>
      <c r="H673" s="4">
        <v>-0.69</v>
      </c>
      <c r="K673" s="4">
        <v>-0.69</v>
      </c>
      <c r="M673" s="4">
        <v>-0.69</v>
      </c>
      <c r="N673" s="4">
        <v>-0.69</v>
      </c>
      <c r="Q673" s="24" t="s">
        <v>30</v>
      </c>
    </row>
    <row r="674" spans="1:17">
      <c r="A674" s="24" t="s">
        <v>1553</v>
      </c>
      <c r="B674" s="24" t="s">
        <v>1667</v>
      </c>
      <c r="C674" s="24" t="s">
        <v>60</v>
      </c>
      <c r="D674" s="6">
        <v>0</v>
      </c>
      <c r="E674" s="24" t="s">
        <v>1553</v>
      </c>
      <c r="F674" s="24" t="s">
        <v>1668</v>
      </c>
      <c r="G674" s="24" t="s">
        <v>1669</v>
      </c>
      <c r="H674" s="4">
        <v>-0.02</v>
      </c>
      <c r="K674" s="4">
        <v>-0.02</v>
      </c>
      <c r="M674" s="4">
        <v>-0.02</v>
      </c>
      <c r="N674" s="4">
        <v>-0.02</v>
      </c>
      <c r="Q674" s="24" t="s">
        <v>180</v>
      </c>
    </row>
    <row r="675" spans="1:17">
      <c r="A675" s="24" t="s">
        <v>1553</v>
      </c>
      <c r="B675" s="24" t="s">
        <v>1670</v>
      </c>
      <c r="C675" s="24" t="s">
        <v>104</v>
      </c>
      <c r="D675" s="6">
        <v>0</v>
      </c>
      <c r="E675" s="24" t="s">
        <v>1553</v>
      </c>
      <c r="F675" s="24" t="s">
        <v>40</v>
      </c>
      <c r="G675" s="24" t="s">
        <v>1671</v>
      </c>
      <c r="H675" s="4">
        <v>-1</v>
      </c>
      <c r="K675" s="4">
        <v>-1</v>
      </c>
      <c r="M675" s="4">
        <v>-1</v>
      </c>
      <c r="N675" s="4">
        <v>-1</v>
      </c>
      <c r="Q675" s="24" t="s">
        <v>56</v>
      </c>
    </row>
    <row r="676" spans="1:17">
      <c r="A676" s="24" t="s">
        <v>1553</v>
      </c>
      <c r="B676" s="24" t="s">
        <v>1672</v>
      </c>
      <c r="C676" s="24" t="s">
        <v>60</v>
      </c>
      <c r="D676" s="6">
        <v>0</v>
      </c>
      <c r="E676" s="24" t="s">
        <v>1553</v>
      </c>
      <c r="F676" s="24" t="s">
        <v>1097</v>
      </c>
      <c r="G676" s="24" t="s">
        <v>1673</v>
      </c>
      <c r="H676" s="4">
        <v>-0.5</v>
      </c>
      <c r="K676" s="4">
        <v>-0.5</v>
      </c>
      <c r="M676" s="4">
        <v>-0.5</v>
      </c>
      <c r="N676" s="4">
        <v>-0.5</v>
      </c>
      <c r="Q676" s="24" t="s">
        <v>30</v>
      </c>
    </row>
    <row r="677" spans="1:17">
      <c r="A677" s="24" t="s">
        <v>93</v>
      </c>
      <c r="B677" s="24" t="s">
        <v>1674</v>
      </c>
      <c r="C677" s="24" t="s">
        <v>237</v>
      </c>
      <c r="D677" s="6">
        <v>60</v>
      </c>
      <c r="E677" s="24" t="s">
        <v>136</v>
      </c>
      <c r="F677" s="24" t="s">
        <v>303</v>
      </c>
      <c r="G677" s="24" t="s">
        <v>1675</v>
      </c>
      <c r="H677" s="4">
        <v>-108810.63</v>
      </c>
      <c r="K677" s="4">
        <v>-108810.63</v>
      </c>
      <c r="L677" s="4">
        <v>-97152.35</v>
      </c>
      <c r="M677" s="4">
        <v>-11658.28</v>
      </c>
      <c r="N677" s="4">
        <v>-108810.63</v>
      </c>
      <c r="Q677" s="24" t="s">
        <v>139</v>
      </c>
    </row>
    <row r="678" spans="1:17">
      <c r="A678" s="24" t="s">
        <v>368</v>
      </c>
      <c r="B678" s="24" t="s">
        <v>1676</v>
      </c>
      <c r="C678" s="24" t="s">
        <v>60</v>
      </c>
      <c r="D678" s="6">
        <v>0</v>
      </c>
      <c r="E678" s="24" t="s">
        <v>368</v>
      </c>
      <c r="F678" s="24" t="s">
        <v>412</v>
      </c>
      <c r="G678" s="24" t="s">
        <v>1677</v>
      </c>
      <c r="H678" s="4">
        <v>-153648</v>
      </c>
      <c r="K678" s="4">
        <v>-153648</v>
      </c>
      <c r="L678" s="4">
        <v>-16462.29</v>
      </c>
      <c r="M678" s="4">
        <v>-137185.71</v>
      </c>
      <c r="N678" s="4">
        <v>-153648</v>
      </c>
      <c r="Q678" s="24" t="s">
        <v>69</v>
      </c>
    </row>
    <row r="679" spans="1:17">
      <c r="A679" s="24" t="s">
        <v>596</v>
      </c>
      <c r="B679" s="24" t="s">
        <v>1678</v>
      </c>
      <c r="C679" s="24" t="s">
        <v>162</v>
      </c>
      <c r="D679" s="6">
        <v>90</v>
      </c>
      <c r="E679" s="24" t="s">
        <v>597</v>
      </c>
      <c r="F679" s="24" t="s">
        <v>543</v>
      </c>
      <c r="G679" s="24" t="s">
        <v>1679</v>
      </c>
      <c r="H679" s="4">
        <v>-93820</v>
      </c>
      <c r="K679" s="4">
        <v>-93820</v>
      </c>
      <c r="L679" s="4">
        <v>-10052.14</v>
      </c>
      <c r="M679" s="4">
        <v>-83767.86</v>
      </c>
      <c r="N679" s="4">
        <v>-93820</v>
      </c>
      <c r="Q679" s="24" t="s">
        <v>56</v>
      </c>
    </row>
    <row r="680" spans="1:17">
      <c r="A680" s="24" t="s">
        <v>596</v>
      </c>
      <c r="B680" s="24" t="s">
        <v>1680</v>
      </c>
      <c r="C680" s="24" t="s">
        <v>29</v>
      </c>
      <c r="D680" s="6">
        <v>0</v>
      </c>
      <c r="E680" s="24" t="s">
        <v>596</v>
      </c>
      <c r="F680" s="24" t="s">
        <v>40</v>
      </c>
      <c r="G680" s="24" t="s">
        <v>1681</v>
      </c>
      <c r="H680" s="4">
        <v>-1008800</v>
      </c>
      <c r="K680" s="4">
        <v>-1008800</v>
      </c>
      <c r="L680" s="4">
        <v>-108085.71</v>
      </c>
      <c r="M680" s="4">
        <v>-900714.29</v>
      </c>
      <c r="N680" s="4">
        <v>-1008800</v>
      </c>
      <c r="Q680" s="24" t="s">
        <v>19</v>
      </c>
    </row>
    <row r="681" spans="1:17">
      <c r="A681" s="24" t="s">
        <v>596</v>
      </c>
      <c r="B681" s="24" t="s">
        <v>1682</v>
      </c>
      <c r="C681" s="24" t="s">
        <v>29</v>
      </c>
      <c r="D681" s="6">
        <v>0</v>
      </c>
      <c r="E681" s="24" t="s">
        <v>596</v>
      </c>
      <c r="F681" s="24" t="s">
        <v>40</v>
      </c>
      <c r="G681" s="24" t="s">
        <v>1683</v>
      </c>
      <c r="H681" s="4">
        <v>-70000</v>
      </c>
      <c r="K681" s="4">
        <v>-70000</v>
      </c>
      <c r="L681" s="4">
        <v>-7500</v>
      </c>
      <c r="M681" s="4">
        <v>-62500</v>
      </c>
      <c r="N681" s="4">
        <v>-70000</v>
      </c>
      <c r="Q681" s="24" t="s">
        <v>30</v>
      </c>
    </row>
    <row r="682" spans="1:17">
      <c r="A682" s="24" t="s">
        <v>637</v>
      </c>
      <c r="B682" s="24" t="s">
        <v>1684</v>
      </c>
      <c r="C682" s="24" t="s">
        <v>162</v>
      </c>
      <c r="D682" s="6">
        <v>90</v>
      </c>
      <c r="E682" s="24" t="s">
        <v>655</v>
      </c>
      <c r="F682" s="24" t="s">
        <v>672</v>
      </c>
      <c r="G682" s="24" t="s">
        <v>1685</v>
      </c>
      <c r="H682" s="4">
        <v>-11760</v>
      </c>
      <c r="K682" s="4">
        <v>-11760</v>
      </c>
      <c r="L682" s="4">
        <v>-1260</v>
      </c>
      <c r="M682" s="4">
        <v>-10500</v>
      </c>
      <c r="N682" s="4">
        <v>-11760</v>
      </c>
      <c r="Q682" s="24" t="s">
        <v>30</v>
      </c>
    </row>
    <row r="683" spans="1:17">
      <c r="A683" s="24" t="s">
        <v>637</v>
      </c>
      <c r="B683" s="24" t="s">
        <v>1686</v>
      </c>
      <c r="C683" s="24" t="s">
        <v>146</v>
      </c>
      <c r="D683" s="6">
        <v>90</v>
      </c>
      <c r="E683" s="24" t="s">
        <v>655</v>
      </c>
      <c r="F683" s="24" t="s">
        <v>1687</v>
      </c>
      <c r="G683" s="24" t="s">
        <v>1688</v>
      </c>
      <c r="H683" s="4">
        <v>-44226</v>
      </c>
      <c r="K683" s="4">
        <v>-44226</v>
      </c>
      <c r="L683" s="4">
        <v>-4738.5</v>
      </c>
      <c r="M683" s="4">
        <v>-39487.5</v>
      </c>
      <c r="N683" s="4">
        <v>-44226</v>
      </c>
      <c r="Q683" s="24" t="s">
        <v>19</v>
      </c>
    </row>
    <row r="684" spans="1:17">
      <c r="A684" s="24" t="s">
        <v>1651</v>
      </c>
      <c r="B684" s="24" t="s">
        <v>1689</v>
      </c>
      <c r="C684" s="24" t="s">
        <v>237</v>
      </c>
      <c r="D684" s="6">
        <v>60</v>
      </c>
      <c r="E684" s="24" t="s">
        <v>1690</v>
      </c>
      <c r="F684" s="24" t="s">
        <v>303</v>
      </c>
      <c r="G684" s="24" t="s">
        <v>1691</v>
      </c>
      <c r="H684" s="4">
        <v>-45284.47</v>
      </c>
      <c r="K684" s="4">
        <v>-45284.47</v>
      </c>
      <c r="L684" s="4">
        <v>-4851.91</v>
      </c>
      <c r="M684" s="4">
        <v>-40432.559999999998</v>
      </c>
      <c r="N684" s="4">
        <v>-45284.47</v>
      </c>
      <c r="Q684" s="24" t="s">
        <v>69</v>
      </c>
    </row>
    <row r="685" spans="1:17">
      <c r="A685" s="24" t="s">
        <v>1651</v>
      </c>
      <c r="B685" s="24" t="s">
        <v>1692</v>
      </c>
      <c r="C685" s="24" t="s">
        <v>237</v>
      </c>
      <c r="D685" s="6">
        <v>60</v>
      </c>
      <c r="E685" s="24" t="s">
        <v>1690</v>
      </c>
      <c r="F685" s="24" t="s">
        <v>303</v>
      </c>
      <c r="G685" s="24" t="s">
        <v>1693</v>
      </c>
      <c r="H685" s="4">
        <v>-28851.599999999999</v>
      </c>
      <c r="K685" s="4">
        <v>-28851.599999999999</v>
      </c>
      <c r="L685" s="4">
        <v>-3091.24</v>
      </c>
      <c r="M685" s="4">
        <v>-25760.36</v>
      </c>
      <c r="N685" s="4">
        <v>-28851.599999999999</v>
      </c>
      <c r="Q685" s="24" t="s">
        <v>69</v>
      </c>
    </row>
    <row r="686" spans="1:17">
      <c r="A686" s="24" t="s">
        <v>689</v>
      </c>
      <c r="B686" s="24" t="s">
        <v>1694</v>
      </c>
      <c r="C686" s="24" t="s">
        <v>151</v>
      </c>
      <c r="D686" s="6">
        <v>60</v>
      </c>
      <c r="E686" s="24" t="s">
        <v>692</v>
      </c>
      <c r="F686" s="24" t="s">
        <v>728</v>
      </c>
      <c r="G686" s="24" t="s">
        <v>1695</v>
      </c>
      <c r="H686" s="4">
        <v>-313000</v>
      </c>
      <c r="K686" s="4">
        <v>-313000</v>
      </c>
      <c r="L686" s="4">
        <v>-33535.71</v>
      </c>
      <c r="M686" s="4">
        <v>-279464.28999999998</v>
      </c>
      <c r="N686" s="4">
        <v>-313000</v>
      </c>
      <c r="Q686" s="24" t="s">
        <v>69</v>
      </c>
    </row>
    <row r="687" spans="1:17">
      <c r="A687" s="24" t="s">
        <v>769</v>
      </c>
      <c r="B687" s="24" t="s">
        <v>1696</v>
      </c>
      <c r="C687" s="24" t="s">
        <v>68</v>
      </c>
      <c r="D687" s="6">
        <v>60</v>
      </c>
      <c r="E687" s="24" t="s">
        <v>770</v>
      </c>
      <c r="F687" s="24" t="s">
        <v>574</v>
      </c>
      <c r="G687" s="24" t="s">
        <v>1697</v>
      </c>
      <c r="H687" s="4">
        <v>-70510</v>
      </c>
      <c r="K687" s="4">
        <v>-70510</v>
      </c>
      <c r="L687" s="4">
        <v>-7554.64</v>
      </c>
      <c r="M687" s="4">
        <v>-62955.360000000001</v>
      </c>
      <c r="N687" s="4">
        <v>-70510</v>
      </c>
      <c r="Q687" s="24" t="s">
        <v>727</v>
      </c>
    </row>
    <row r="688" spans="1:17">
      <c r="A688" s="24" t="s">
        <v>769</v>
      </c>
      <c r="B688" s="24" t="s">
        <v>1698</v>
      </c>
      <c r="C688" s="24" t="s">
        <v>151</v>
      </c>
      <c r="D688" s="6">
        <v>60</v>
      </c>
      <c r="E688" s="24" t="s">
        <v>770</v>
      </c>
      <c r="F688" s="24" t="s">
        <v>574</v>
      </c>
      <c r="G688" s="24" t="s">
        <v>1699</v>
      </c>
      <c r="H688" s="4">
        <v>-70510</v>
      </c>
      <c r="K688" s="4">
        <v>-70510</v>
      </c>
      <c r="L688" s="4">
        <v>-7554.64</v>
      </c>
      <c r="M688" s="4">
        <v>-62955.360000000001</v>
      </c>
      <c r="N688" s="4">
        <v>-70510</v>
      </c>
      <c r="Q688" s="24" t="s">
        <v>69</v>
      </c>
    </row>
    <row r="689" spans="1:17">
      <c r="A689" s="24" t="s">
        <v>866</v>
      </c>
      <c r="B689" s="24" t="s">
        <v>1700</v>
      </c>
      <c r="C689" s="24" t="s">
        <v>369</v>
      </c>
      <c r="D689" s="6">
        <v>30</v>
      </c>
      <c r="E689" s="24" t="s">
        <v>880</v>
      </c>
      <c r="F689" s="24" t="s">
        <v>371</v>
      </c>
      <c r="G689" s="24" t="s">
        <v>1701</v>
      </c>
      <c r="H689" s="4">
        <v>-128240</v>
      </c>
      <c r="K689" s="4">
        <v>-128240</v>
      </c>
      <c r="L689" s="4">
        <v>-13740</v>
      </c>
      <c r="M689" s="4">
        <v>-114500</v>
      </c>
      <c r="N689" s="4">
        <v>-128240</v>
      </c>
      <c r="Q689" s="24" t="s">
        <v>69</v>
      </c>
    </row>
    <row r="690" spans="1:17">
      <c r="A690" s="24" t="s">
        <v>866</v>
      </c>
      <c r="B690" s="24" t="s">
        <v>1702</v>
      </c>
      <c r="C690" s="24" t="s">
        <v>237</v>
      </c>
      <c r="D690" s="6">
        <v>60</v>
      </c>
      <c r="E690" s="24" t="s">
        <v>873</v>
      </c>
      <c r="F690" s="24" t="s">
        <v>1703</v>
      </c>
      <c r="G690" s="24" t="s">
        <v>1704</v>
      </c>
      <c r="H690" s="4">
        <v>-10914.5</v>
      </c>
      <c r="K690" s="4">
        <v>-10914.5</v>
      </c>
      <c r="L690" s="4">
        <v>-1169.4100000000001</v>
      </c>
      <c r="M690" s="4">
        <v>-9745.09</v>
      </c>
      <c r="N690" s="4">
        <v>-10914.5</v>
      </c>
      <c r="Q690" s="24" t="s">
        <v>139</v>
      </c>
    </row>
    <row r="691" spans="1:17">
      <c r="A691" s="24" t="s">
        <v>915</v>
      </c>
      <c r="B691" s="24" t="s">
        <v>1705</v>
      </c>
      <c r="C691" s="24" t="s">
        <v>73</v>
      </c>
      <c r="D691" s="6">
        <v>30</v>
      </c>
      <c r="E691" s="24" t="s">
        <v>916</v>
      </c>
      <c r="F691" s="24" t="s">
        <v>812</v>
      </c>
      <c r="G691" s="24" t="s">
        <v>1706</v>
      </c>
      <c r="H691" s="4">
        <v>-127702</v>
      </c>
      <c r="K691" s="4">
        <v>-127702</v>
      </c>
      <c r="L691" s="4">
        <v>-13682.36</v>
      </c>
      <c r="M691" s="4">
        <v>-114019.64</v>
      </c>
      <c r="N691" s="4">
        <v>-127702</v>
      </c>
      <c r="Q691" s="24" t="s">
        <v>759</v>
      </c>
    </row>
    <row r="692" spans="1:17">
      <c r="A692" s="24" t="s">
        <v>1048</v>
      </c>
      <c r="B692" s="24" t="s">
        <v>1707</v>
      </c>
      <c r="C692" s="24" t="s">
        <v>1074</v>
      </c>
      <c r="D692" s="6">
        <v>0</v>
      </c>
      <c r="E692" s="24" t="s">
        <v>1048</v>
      </c>
      <c r="F692" s="24" t="s">
        <v>1075</v>
      </c>
      <c r="G692" s="24" t="s">
        <v>1708</v>
      </c>
      <c r="H692" s="4">
        <v>-901423.6</v>
      </c>
      <c r="K692" s="4">
        <v>-901423.6</v>
      </c>
      <c r="L692" s="4">
        <v>-96581.1</v>
      </c>
      <c r="M692" s="4">
        <v>-804842.5</v>
      </c>
      <c r="N692" s="4">
        <v>-901423.6</v>
      </c>
      <c r="Q692" s="24" t="s">
        <v>56</v>
      </c>
    </row>
    <row r="693" spans="1:17">
      <c r="A693" s="24" t="s">
        <v>1048</v>
      </c>
      <c r="B693" s="24" t="s">
        <v>1709</v>
      </c>
      <c r="C693" s="24" t="s">
        <v>333</v>
      </c>
      <c r="D693" s="6">
        <v>30</v>
      </c>
      <c r="E693" s="24" t="s">
        <v>1056</v>
      </c>
      <c r="F693" s="24" t="s">
        <v>340</v>
      </c>
      <c r="G693" s="24" t="s">
        <v>1710</v>
      </c>
      <c r="H693" s="4">
        <v>-196112</v>
      </c>
      <c r="K693" s="4">
        <v>-196112</v>
      </c>
      <c r="L693" s="4">
        <v>-21012</v>
      </c>
      <c r="M693" s="4">
        <v>-175100</v>
      </c>
      <c r="N693" s="4">
        <v>-196112</v>
      </c>
      <c r="Q693" s="24" t="s">
        <v>56</v>
      </c>
    </row>
    <row r="694" spans="1:17">
      <c r="A694" s="24" t="s">
        <v>1048</v>
      </c>
      <c r="B694" s="24" t="s">
        <v>1711</v>
      </c>
      <c r="C694" s="24" t="s">
        <v>333</v>
      </c>
      <c r="D694" s="6">
        <v>30</v>
      </c>
      <c r="E694" s="24" t="s">
        <v>1056</v>
      </c>
      <c r="F694" s="24" t="s">
        <v>340</v>
      </c>
      <c r="G694" s="24" t="s">
        <v>1712</v>
      </c>
      <c r="H694" s="4">
        <v>-309050</v>
      </c>
      <c r="K694" s="4">
        <v>-309050</v>
      </c>
      <c r="L694" s="4">
        <v>-33112.5</v>
      </c>
      <c r="M694" s="4">
        <v>-275937.5</v>
      </c>
      <c r="N694" s="4">
        <v>-309050</v>
      </c>
      <c r="Q694" s="24" t="s">
        <v>270</v>
      </c>
    </row>
    <row r="695" spans="1:17">
      <c r="A695" s="24" t="s">
        <v>1048</v>
      </c>
      <c r="B695" s="24" t="s">
        <v>1713</v>
      </c>
      <c r="C695" s="24" t="s">
        <v>237</v>
      </c>
      <c r="D695" s="6">
        <v>60</v>
      </c>
      <c r="E695" s="24" t="s">
        <v>1067</v>
      </c>
      <c r="F695" s="24" t="s">
        <v>337</v>
      </c>
      <c r="G695" s="24" t="s">
        <v>1714</v>
      </c>
      <c r="H695" s="4">
        <v>-143215</v>
      </c>
      <c r="K695" s="4">
        <v>-143215</v>
      </c>
      <c r="L695" s="4">
        <v>-15344.46</v>
      </c>
      <c r="M695" s="4">
        <v>-127870.54</v>
      </c>
      <c r="N695" s="4">
        <v>-143215</v>
      </c>
      <c r="Q695" s="24" t="s">
        <v>270</v>
      </c>
    </row>
    <row r="696" spans="1:17">
      <c r="A696" s="24" t="s">
        <v>1287</v>
      </c>
      <c r="B696" s="24" t="s">
        <v>1715</v>
      </c>
      <c r="C696" s="24" t="s">
        <v>151</v>
      </c>
      <c r="D696" s="6">
        <v>60</v>
      </c>
      <c r="E696" s="24" t="s">
        <v>1331</v>
      </c>
      <c r="F696" s="24" t="s">
        <v>264</v>
      </c>
      <c r="G696" s="24" t="s">
        <v>1716</v>
      </c>
      <c r="H696" s="4">
        <v>-736</v>
      </c>
      <c r="K696" s="4">
        <v>-736</v>
      </c>
      <c r="L696" s="4">
        <v>-78.86</v>
      </c>
      <c r="M696" s="4">
        <v>-657.14</v>
      </c>
      <c r="N696" s="4">
        <v>-736</v>
      </c>
      <c r="Q696" s="24" t="s">
        <v>270</v>
      </c>
    </row>
    <row r="697" spans="1:17">
      <c r="A697" s="24" t="s">
        <v>1372</v>
      </c>
      <c r="B697" s="24" t="s">
        <v>1717</v>
      </c>
      <c r="C697" s="24" t="s">
        <v>333</v>
      </c>
      <c r="D697" s="6">
        <v>30</v>
      </c>
      <c r="E697" s="24" t="s">
        <v>1389</v>
      </c>
      <c r="F697" s="24" t="s">
        <v>1262</v>
      </c>
      <c r="G697" s="24" t="s">
        <v>1718</v>
      </c>
      <c r="H697" s="4">
        <v>-261896</v>
      </c>
      <c r="K697" s="4">
        <v>-261896</v>
      </c>
      <c r="L697" s="4">
        <v>-28060.29</v>
      </c>
      <c r="M697" s="4">
        <v>-233835.71</v>
      </c>
      <c r="N697" s="4">
        <v>-261896</v>
      </c>
      <c r="Q697" s="24" t="s">
        <v>139</v>
      </c>
    </row>
    <row r="698" spans="1:17">
      <c r="A698" s="24" t="s">
        <v>1372</v>
      </c>
      <c r="B698" s="24" t="s">
        <v>1719</v>
      </c>
      <c r="C698" s="24" t="s">
        <v>333</v>
      </c>
      <c r="D698" s="6">
        <v>30</v>
      </c>
      <c r="E698" s="24" t="s">
        <v>1389</v>
      </c>
      <c r="F698" s="24" t="s">
        <v>1262</v>
      </c>
      <c r="G698" s="24" t="s">
        <v>1720</v>
      </c>
      <c r="H698" s="4">
        <v>-212525</v>
      </c>
      <c r="K698" s="4">
        <v>-212525</v>
      </c>
      <c r="L698" s="4">
        <v>-22770.54</v>
      </c>
      <c r="M698" s="4">
        <v>-189754.46</v>
      </c>
      <c r="N698" s="4">
        <v>-212525</v>
      </c>
      <c r="Q698" s="24" t="s">
        <v>270</v>
      </c>
    </row>
    <row r="699" spans="1:17">
      <c r="A699" s="24" t="s">
        <v>1372</v>
      </c>
      <c r="B699" s="24" t="s">
        <v>1721</v>
      </c>
      <c r="C699" s="24" t="s">
        <v>34</v>
      </c>
      <c r="D699" s="6">
        <v>60</v>
      </c>
      <c r="E699" s="24" t="s">
        <v>1373</v>
      </c>
      <c r="F699" s="24" t="s">
        <v>1226</v>
      </c>
      <c r="G699" s="24" t="s">
        <v>1722</v>
      </c>
      <c r="H699" s="4">
        <v>-9261</v>
      </c>
      <c r="K699" s="4">
        <v>-9261</v>
      </c>
      <c r="L699" s="4">
        <v>-992.25</v>
      </c>
      <c r="M699" s="4">
        <v>-8268.75</v>
      </c>
      <c r="N699" s="4">
        <v>-9261</v>
      </c>
      <c r="Q699" s="24" t="s">
        <v>270</v>
      </c>
    </row>
    <row r="700" spans="1:17">
      <c r="A700" s="24" t="s">
        <v>1467</v>
      </c>
      <c r="B700" s="24" t="s">
        <v>1723</v>
      </c>
      <c r="C700" s="24" t="s">
        <v>333</v>
      </c>
      <c r="D700" s="6">
        <v>30</v>
      </c>
      <c r="E700" s="24" t="s">
        <v>1492</v>
      </c>
      <c r="F700" s="24" t="s">
        <v>1262</v>
      </c>
      <c r="G700" s="24" t="s">
        <v>1724</v>
      </c>
      <c r="H700" s="4">
        <v>-261896</v>
      </c>
      <c r="K700" s="4">
        <v>-261896</v>
      </c>
      <c r="L700" s="4">
        <v>-28060.29</v>
      </c>
      <c r="M700" s="4">
        <v>-233835.71</v>
      </c>
      <c r="N700" s="4">
        <v>-261896</v>
      </c>
      <c r="Q700" s="24" t="s">
        <v>46</v>
      </c>
    </row>
    <row r="701" spans="1:17">
      <c r="A701" s="24" t="s">
        <v>1467</v>
      </c>
      <c r="B701" s="24" t="s">
        <v>1725</v>
      </c>
      <c r="C701" s="24" t="s">
        <v>333</v>
      </c>
      <c r="D701" s="6">
        <v>30</v>
      </c>
      <c r="E701" s="24" t="s">
        <v>1492</v>
      </c>
      <c r="F701" s="24" t="s">
        <v>1262</v>
      </c>
      <c r="G701" s="24" t="s">
        <v>1726</v>
      </c>
      <c r="H701" s="4">
        <v>-212525</v>
      </c>
      <c r="K701" s="4">
        <v>-212525</v>
      </c>
      <c r="L701" s="4">
        <v>-22770.54</v>
      </c>
      <c r="M701" s="4">
        <v>-189754.46</v>
      </c>
      <c r="N701" s="4">
        <v>-212525</v>
      </c>
      <c r="Q701" s="24" t="s">
        <v>270</v>
      </c>
    </row>
    <row r="702" spans="1:17">
      <c r="A702" s="24" t="s">
        <v>1553</v>
      </c>
      <c r="B702" s="24" t="s">
        <v>1727</v>
      </c>
      <c r="C702" s="24" t="s">
        <v>64</v>
      </c>
      <c r="D702" s="6">
        <v>30</v>
      </c>
      <c r="E702" s="24" t="s">
        <v>1569</v>
      </c>
      <c r="F702" s="24" t="s">
        <v>26</v>
      </c>
      <c r="G702" s="24" t="s">
        <v>1728</v>
      </c>
      <c r="H702" s="4">
        <v>-299574</v>
      </c>
      <c r="K702" s="4">
        <v>-299574</v>
      </c>
      <c r="L702" s="4">
        <v>-32097.21</v>
      </c>
      <c r="M702" s="4">
        <v>-267476.78999999998</v>
      </c>
      <c r="N702" s="4">
        <v>-299574</v>
      </c>
      <c r="Q702" s="24" t="s">
        <v>270</v>
      </c>
    </row>
    <row r="703" spans="1:17">
      <c r="A703" s="24" t="s">
        <v>1553</v>
      </c>
      <c r="B703" s="24" t="s">
        <v>1729</v>
      </c>
      <c r="C703" s="24" t="s">
        <v>18</v>
      </c>
      <c r="D703" s="6">
        <v>0</v>
      </c>
      <c r="E703" s="24" t="s">
        <v>1553</v>
      </c>
      <c r="F703" s="24" t="s">
        <v>61</v>
      </c>
      <c r="G703" s="24" t="s">
        <v>1730</v>
      </c>
      <c r="H703" s="4">
        <v>-251365.1</v>
      </c>
      <c r="K703" s="4">
        <v>-251365.1</v>
      </c>
      <c r="L703" s="4">
        <v>-26931.98</v>
      </c>
      <c r="M703" s="4">
        <v>-224433.12</v>
      </c>
      <c r="N703" s="4">
        <v>-251365.1</v>
      </c>
      <c r="Q703" s="24" t="s">
        <v>25</v>
      </c>
    </row>
    <row r="704" spans="1:17">
      <c r="A704" s="24" t="s">
        <v>1553</v>
      </c>
      <c r="B704" s="24" t="s">
        <v>1731</v>
      </c>
      <c r="C704" s="24" t="s">
        <v>681</v>
      </c>
      <c r="D704" s="6">
        <v>0</v>
      </c>
      <c r="E704" s="24" t="s">
        <v>1553</v>
      </c>
      <c r="F704" s="24" t="s">
        <v>682</v>
      </c>
      <c r="G704" s="24" t="s">
        <v>1732</v>
      </c>
      <c r="H704" s="4">
        <v>-27968</v>
      </c>
      <c r="K704" s="4">
        <v>-27968</v>
      </c>
      <c r="L704" s="4">
        <v>-2996.57</v>
      </c>
      <c r="M704" s="4">
        <v>-24971.43</v>
      </c>
      <c r="N704" s="4">
        <v>-27968</v>
      </c>
      <c r="Q704" s="24" t="s">
        <v>56</v>
      </c>
    </row>
    <row r="705" spans="1:17">
      <c r="A705" s="24" t="s">
        <v>1553</v>
      </c>
      <c r="B705" s="24" t="s">
        <v>1733</v>
      </c>
      <c r="C705" s="24" t="s">
        <v>23</v>
      </c>
      <c r="D705" s="6">
        <v>30</v>
      </c>
      <c r="E705" s="24" t="s">
        <v>1569</v>
      </c>
      <c r="F705" s="24" t="s">
        <v>1734</v>
      </c>
      <c r="G705" s="24" t="s">
        <v>1735</v>
      </c>
      <c r="H705" s="4">
        <v>-68600</v>
      </c>
      <c r="K705" s="4">
        <v>-68600</v>
      </c>
      <c r="L705" s="4">
        <v>-7350</v>
      </c>
      <c r="M705" s="4">
        <v>-61250</v>
      </c>
      <c r="N705" s="4">
        <v>-68600</v>
      </c>
      <c r="Q705" s="24" t="s">
        <v>46</v>
      </c>
    </row>
    <row r="706" spans="1:17">
      <c r="A706" s="24" t="s">
        <v>1553</v>
      </c>
      <c r="B706" s="24" t="s">
        <v>1736</v>
      </c>
      <c r="C706" s="24" t="s">
        <v>237</v>
      </c>
      <c r="D706" s="6">
        <v>60</v>
      </c>
      <c r="E706" s="24" t="s">
        <v>1557</v>
      </c>
      <c r="F706" s="24" t="s">
        <v>303</v>
      </c>
      <c r="G706" s="24" t="s">
        <v>1737</v>
      </c>
      <c r="H706" s="4">
        <v>-10453.35</v>
      </c>
      <c r="K706" s="4">
        <v>-10453.35</v>
      </c>
      <c r="L706" s="4">
        <v>-1120</v>
      </c>
      <c r="M706" s="4">
        <v>-9333.35</v>
      </c>
      <c r="N706" s="4">
        <v>-10453.35</v>
      </c>
      <c r="Q706" s="24" t="s">
        <v>139</v>
      </c>
    </row>
    <row r="707" spans="1:17">
      <c r="A707" s="24" t="s">
        <v>505</v>
      </c>
      <c r="B707" s="24" t="s">
        <v>1738</v>
      </c>
      <c r="C707" s="24" t="s">
        <v>60</v>
      </c>
      <c r="D707" s="6">
        <v>0</v>
      </c>
      <c r="E707" s="24" t="s">
        <v>505</v>
      </c>
      <c r="F707" s="24" t="s">
        <v>196</v>
      </c>
      <c r="G707" s="24" t="s">
        <v>1739</v>
      </c>
      <c r="H707" s="5">
        <v>1250</v>
      </c>
      <c r="K707" s="5">
        <v>1250</v>
      </c>
      <c r="M707" s="5">
        <v>1250</v>
      </c>
      <c r="N707" s="5">
        <v>1250</v>
      </c>
      <c r="Q707" s="24" t="s">
        <v>69</v>
      </c>
    </row>
    <row r="708" spans="1:17">
      <c r="A708" s="24" t="s">
        <v>505</v>
      </c>
      <c r="B708" s="24" t="s">
        <v>1740</v>
      </c>
      <c r="C708" s="24" t="s">
        <v>60</v>
      </c>
      <c r="D708" s="6">
        <v>0</v>
      </c>
      <c r="E708" s="24" t="s">
        <v>505</v>
      </c>
      <c r="F708" s="24" t="s">
        <v>190</v>
      </c>
      <c r="G708" s="24" t="s">
        <v>1741</v>
      </c>
      <c r="H708" s="7">
        <v>500</v>
      </c>
      <c r="K708" s="7">
        <v>500</v>
      </c>
      <c r="M708" s="7">
        <v>500</v>
      </c>
      <c r="N708" s="7">
        <v>500</v>
      </c>
      <c r="Q708" s="24" t="s">
        <v>56</v>
      </c>
    </row>
    <row r="709" spans="1:17">
      <c r="A709" s="24" t="s">
        <v>505</v>
      </c>
      <c r="B709" s="24" t="s">
        <v>1742</v>
      </c>
      <c r="C709" s="24" t="s">
        <v>60</v>
      </c>
      <c r="D709" s="6">
        <v>0</v>
      </c>
      <c r="E709" s="24" t="s">
        <v>505</v>
      </c>
      <c r="F709" s="24" t="s">
        <v>190</v>
      </c>
      <c r="G709" s="24" t="s">
        <v>1743</v>
      </c>
      <c r="H709" s="5">
        <v>2250</v>
      </c>
      <c r="K709" s="5">
        <v>2250</v>
      </c>
      <c r="M709" s="5">
        <v>2250</v>
      </c>
      <c r="N709" s="5">
        <v>2250</v>
      </c>
      <c r="Q709" s="24" t="s">
        <v>56</v>
      </c>
    </row>
    <row r="710" spans="1:17">
      <c r="A710" s="24" t="s">
        <v>637</v>
      </c>
      <c r="B710" s="24" t="s">
        <v>1744</v>
      </c>
      <c r="C710" s="24" t="s">
        <v>60</v>
      </c>
      <c r="D710" s="6">
        <v>0</v>
      </c>
      <c r="E710" s="24" t="s">
        <v>637</v>
      </c>
      <c r="F710" s="24" t="s">
        <v>412</v>
      </c>
      <c r="G710" s="24" t="s">
        <v>1745</v>
      </c>
      <c r="H710" s="5">
        <v>2800</v>
      </c>
      <c r="K710" s="5">
        <v>2800</v>
      </c>
      <c r="M710" s="5">
        <v>2800</v>
      </c>
      <c r="N710" s="5">
        <v>2800</v>
      </c>
      <c r="Q710" s="24" t="s">
        <v>56</v>
      </c>
    </row>
    <row r="711" spans="1:17">
      <c r="A711" s="24" t="s">
        <v>1651</v>
      </c>
      <c r="B711" s="24" t="s">
        <v>1746</v>
      </c>
      <c r="C711" s="24" t="s">
        <v>18</v>
      </c>
      <c r="D711" s="6">
        <v>0</v>
      </c>
      <c r="E711" s="24" t="s">
        <v>1651</v>
      </c>
      <c r="F711" s="24" t="s">
        <v>1127</v>
      </c>
      <c r="G711" s="24" t="s">
        <v>1747</v>
      </c>
      <c r="H711" s="5">
        <v>1500</v>
      </c>
      <c r="K711" s="5">
        <v>1500</v>
      </c>
      <c r="M711" s="5">
        <v>1500</v>
      </c>
      <c r="N711" s="5">
        <v>1500</v>
      </c>
      <c r="Q711" s="24" t="s">
        <v>56</v>
      </c>
    </row>
    <row r="712" spans="1:17">
      <c r="A712" s="24" t="s">
        <v>689</v>
      </c>
      <c r="B712" s="24" t="s">
        <v>1748</v>
      </c>
      <c r="E712" s="24" t="s">
        <v>689</v>
      </c>
      <c r="F712" s="24" t="s">
        <v>809</v>
      </c>
      <c r="G712" s="24" t="s">
        <v>1749</v>
      </c>
      <c r="H712" s="5">
        <v>6000</v>
      </c>
      <c r="K712" s="5">
        <v>6000</v>
      </c>
      <c r="M712" s="5">
        <v>6000</v>
      </c>
      <c r="N712" s="5">
        <v>6000</v>
      </c>
      <c r="Q712" s="24" t="s">
        <v>56</v>
      </c>
    </row>
    <row r="713" spans="1:17">
      <c r="A713" s="24" t="s">
        <v>866</v>
      </c>
      <c r="B713" s="24" t="s">
        <v>1750</v>
      </c>
      <c r="E713" s="24" t="s">
        <v>866</v>
      </c>
      <c r="F713" s="24" t="s">
        <v>581</v>
      </c>
      <c r="G713" s="24" t="s">
        <v>1751</v>
      </c>
      <c r="H713" s="7">
        <v>924</v>
      </c>
      <c r="K713" s="7">
        <v>924</v>
      </c>
      <c r="M713" s="7">
        <v>924</v>
      </c>
      <c r="N713" s="7">
        <v>924</v>
      </c>
    </row>
    <row r="714" spans="1:17">
      <c r="A714" s="24" t="s">
        <v>971</v>
      </c>
      <c r="B714" s="24" t="s">
        <v>1752</v>
      </c>
      <c r="C714" s="24" t="s">
        <v>18</v>
      </c>
      <c r="D714" s="6">
        <v>0</v>
      </c>
      <c r="E714" s="24" t="s">
        <v>971</v>
      </c>
      <c r="F714" s="24" t="s">
        <v>979</v>
      </c>
      <c r="G714" s="24" t="s">
        <v>1753</v>
      </c>
      <c r="H714" s="5">
        <v>30000</v>
      </c>
      <c r="K714" s="5">
        <v>30000</v>
      </c>
      <c r="M714" s="5">
        <v>30000</v>
      </c>
      <c r="N714" s="5">
        <v>30000</v>
      </c>
    </row>
    <row r="715" spans="1:17">
      <c r="A715" s="24" t="s">
        <v>971</v>
      </c>
      <c r="B715" s="24" t="s">
        <v>1754</v>
      </c>
      <c r="C715" s="24" t="s">
        <v>60</v>
      </c>
      <c r="D715" s="6">
        <v>0</v>
      </c>
      <c r="E715" s="24" t="s">
        <v>971</v>
      </c>
      <c r="F715" s="24" t="s">
        <v>190</v>
      </c>
      <c r="G715" s="24" t="s">
        <v>1755</v>
      </c>
      <c r="H715" s="5">
        <v>4000</v>
      </c>
      <c r="K715" s="5">
        <v>4000</v>
      </c>
      <c r="M715" s="5">
        <v>4000</v>
      </c>
      <c r="N715" s="5">
        <v>4000</v>
      </c>
      <c r="Q715" s="24" t="s">
        <v>270</v>
      </c>
    </row>
    <row r="716" spans="1:17">
      <c r="A716" s="24" t="s">
        <v>1048</v>
      </c>
      <c r="B716" s="24" t="s">
        <v>1756</v>
      </c>
      <c r="C716" s="24" t="s">
        <v>167</v>
      </c>
      <c r="D716" s="6">
        <v>90</v>
      </c>
      <c r="E716" s="24" t="s">
        <v>1064</v>
      </c>
      <c r="F716" s="24" t="s">
        <v>190</v>
      </c>
      <c r="G716" s="24" t="s">
        <v>1757</v>
      </c>
      <c r="H716" s="5">
        <v>3000</v>
      </c>
      <c r="K716" s="5">
        <v>3000</v>
      </c>
      <c r="M716" s="5">
        <v>3000</v>
      </c>
      <c r="N716" s="5">
        <v>3000</v>
      </c>
      <c r="Q716" s="24" t="s">
        <v>56</v>
      </c>
    </row>
    <row r="717" spans="1:17">
      <c r="A717" s="24" t="s">
        <v>1048</v>
      </c>
      <c r="B717" s="24" t="s">
        <v>1758</v>
      </c>
      <c r="E717" s="24" t="s">
        <v>1048</v>
      </c>
      <c r="F717" s="24" t="s">
        <v>190</v>
      </c>
      <c r="G717" s="24" t="s">
        <v>1759</v>
      </c>
      <c r="H717" s="5">
        <v>18000</v>
      </c>
      <c r="K717" s="5">
        <v>18000</v>
      </c>
      <c r="M717" s="5">
        <v>18000</v>
      </c>
      <c r="N717" s="5">
        <v>18000</v>
      </c>
      <c r="Q717" s="24" t="s">
        <v>56</v>
      </c>
    </row>
    <row r="718" spans="1:17">
      <c r="A718" s="24" t="s">
        <v>1287</v>
      </c>
      <c r="B718" s="24" t="s">
        <v>1760</v>
      </c>
      <c r="C718" s="24" t="s">
        <v>18</v>
      </c>
      <c r="D718" s="6">
        <v>0</v>
      </c>
      <c r="E718" s="24" t="s">
        <v>1287</v>
      </c>
      <c r="F718" s="24" t="s">
        <v>1288</v>
      </c>
      <c r="G718" s="24" t="s">
        <v>1761</v>
      </c>
      <c r="H718" s="5">
        <v>8000</v>
      </c>
      <c r="K718" s="5">
        <v>8000</v>
      </c>
      <c r="M718" s="5">
        <v>8000</v>
      </c>
      <c r="N718" s="5">
        <v>8000</v>
      </c>
    </row>
    <row r="719" spans="1:17">
      <c r="A719" s="24" t="s">
        <v>1553</v>
      </c>
      <c r="B719" s="24" t="s">
        <v>1762</v>
      </c>
      <c r="C719" s="24" t="s">
        <v>60</v>
      </c>
      <c r="D719" s="6">
        <v>0</v>
      </c>
      <c r="E719" s="24" t="s">
        <v>1553</v>
      </c>
      <c r="F719" s="24" t="s">
        <v>605</v>
      </c>
      <c r="G719" s="24" t="s">
        <v>1763</v>
      </c>
      <c r="H719" s="5">
        <v>6000</v>
      </c>
      <c r="K719" s="5">
        <v>6000</v>
      </c>
      <c r="M719" s="5">
        <v>6000</v>
      </c>
      <c r="N719" s="5">
        <v>6000</v>
      </c>
      <c r="Q719" s="24" t="s">
        <v>46</v>
      </c>
    </row>
    <row r="720" spans="1:17">
      <c r="A720" s="24" t="s">
        <v>1553</v>
      </c>
      <c r="B720" s="24" t="s">
        <v>1764</v>
      </c>
      <c r="C720" s="24" t="s">
        <v>60</v>
      </c>
      <c r="D720" s="6">
        <v>0</v>
      </c>
      <c r="E720" s="24" t="s">
        <v>1553</v>
      </c>
      <c r="F720" s="24" t="s">
        <v>196</v>
      </c>
      <c r="G720" s="24" t="s">
        <v>1765</v>
      </c>
      <c r="H720" s="5">
        <v>1000</v>
      </c>
      <c r="K720" s="5">
        <v>1000</v>
      </c>
      <c r="M720" s="5">
        <v>1000</v>
      </c>
      <c r="N720" s="5">
        <v>1000</v>
      </c>
      <c r="Q720" s="24" t="s">
        <v>56</v>
      </c>
    </row>
    <row r="721" spans="7:17">
      <c r="G721" s="1" t="s">
        <v>1766</v>
      </c>
      <c r="H721" s="1">
        <v>147567400.16999999</v>
      </c>
      <c r="I721" s="1">
        <v>-361440.31</v>
      </c>
      <c r="J721" s="1">
        <v>193550</v>
      </c>
      <c r="K721" s="1">
        <v>147399509.86000001</v>
      </c>
      <c r="L721" s="1">
        <v>15598446.59</v>
      </c>
      <c r="M721" s="1">
        <v>131801063.27</v>
      </c>
      <c r="N721" s="1">
        <v>147399509.86000001</v>
      </c>
      <c r="Q721" s="24" t="s">
        <v>56</v>
      </c>
    </row>
  </sheetData>
  <autoFilter ref="A68:T640">
    <filterColumn colId="14">
      <filters>
        <filter val="Tooling"/>
      </filters>
    </filterColumn>
  </autoFilter>
  <mergeCells count="145">
    <mergeCell ref="T69:T79"/>
    <mergeCell ref="T269:T272"/>
    <mergeCell ref="T541:T567"/>
    <mergeCell ref="R631:R633"/>
    <mergeCell ref="R634:R635"/>
    <mergeCell ref="R638:R639"/>
    <mergeCell ref="S638:S639"/>
    <mergeCell ref="S593:S637"/>
    <mergeCell ref="R594:R597"/>
    <mergeCell ref="R598:R601"/>
    <mergeCell ref="R602:R604"/>
    <mergeCell ref="R605:R609"/>
    <mergeCell ref="R610:R611"/>
    <mergeCell ref="R615:R616"/>
    <mergeCell ref="R617:R618"/>
    <mergeCell ref="R619:R623"/>
    <mergeCell ref="R626:R628"/>
    <mergeCell ref="R575:R576"/>
    <mergeCell ref="R577:R580"/>
    <mergeCell ref="R582:R583"/>
    <mergeCell ref="R584:R585"/>
    <mergeCell ref="R588:R589"/>
    <mergeCell ref="R590:R592"/>
    <mergeCell ref="R535:R536"/>
    <mergeCell ref="S535:S536"/>
    <mergeCell ref="R537:R538"/>
    <mergeCell ref="S537:S592"/>
    <mergeCell ref="R539:R540"/>
    <mergeCell ref="R547:R548"/>
    <mergeCell ref="R550:R552"/>
    <mergeCell ref="R553:R554"/>
    <mergeCell ref="R555:R569"/>
    <mergeCell ref="R572:R574"/>
    <mergeCell ref="R490:R500"/>
    <mergeCell ref="R501:R504"/>
    <mergeCell ref="S506:S508"/>
    <mergeCell ref="R507:R508"/>
    <mergeCell ref="R509:R510"/>
    <mergeCell ref="S509:S534"/>
    <mergeCell ref="R511:R514"/>
    <mergeCell ref="R515:R530"/>
    <mergeCell ref="R531:R534"/>
    <mergeCell ref="S438:S504"/>
    <mergeCell ref="R464:R468"/>
    <mergeCell ref="R469:R475"/>
    <mergeCell ref="R477:R478"/>
    <mergeCell ref="R480:R481"/>
    <mergeCell ref="R483:R487"/>
    <mergeCell ref="R488:R489"/>
    <mergeCell ref="R420:R424"/>
    <mergeCell ref="R425:R426"/>
    <mergeCell ref="R427:R428"/>
    <mergeCell ref="R429:R436"/>
    <mergeCell ref="R439:R445"/>
    <mergeCell ref="R446:R450"/>
    <mergeCell ref="R451:R456"/>
    <mergeCell ref="R458:R459"/>
    <mergeCell ref="R460:R463"/>
    <mergeCell ref="R294:R296"/>
    <mergeCell ref="S294:S437"/>
    <mergeCell ref="R297:R298"/>
    <mergeCell ref="R301:R304"/>
    <mergeCell ref="R305:R319"/>
    <mergeCell ref="R320:R322"/>
    <mergeCell ref="R323:R329"/>
    <mergeCell ref="R332:R333"/>
    <mergeCell ref="R334:R336"/>
    <mergeCell ref="R338:R340"/>
    <mergeCell ref="R368:R375"/>
    <mergeCell ref="R376:R398"/>
    <mergeCell ref="R400:R403"/>
    <mergeCell ref="R406:R412"/>
    <mergeCell ref="R413:R416"/>
    <mergeCell ref="R417:R418"/>
    <mergeCell ref="R341:R342"/>
    <mergeCell ref="R346:R351"/>
    <mergeCell ref="R352:R354"/>
    <mergeCell ref="R357:R360"/>
    <mergeCell ref="R362:R363"/>
    <mergeCell ref="R364:R367"/>
    <mergeCell ref="R282:R283"/>
    <mergeCell ref="R284:R285"/>
    <mergeCell ref="S284:S285"/>
    <mergeCell ref="R286:R288"/>
    <mergeCell ref="S286:S293"/>
    <mergeCell ref="R290:R291"/>
    <mergeCell ref="R292:R293"/>
    <mergeCell ref="R218:R220"/>
    <mergeCell ref="S218:S283"/>
    <mergeCell ref="R222:R223"/>
    <mergeCell ref="R226:R227"/>
    <mergeCell ref="R228:R237"/>
    <mergeCell ref="R240:R252"/>
    <mergeCell ref="R253:R259"/>
    <mergeCell ref="R261:R263"/>
    <mergeCell ref="R267:R268"/>
    <mergeCell ref="R274:R279"/>
    <mergeCell ref="R180:R183"/>
    <mergeCell ref="R185:R195"/>
    <mergeCell ref="R196:R200"/>
    <mergeCell ref="R201:R209"/>
    <mergeCell ref="R210:R212"/>
    <mergeCell ref="S210:S217"/>
    <mergeCell ref="R213:R214"/>
    <mergeCell ref="R215:R216"/>
    <mergeCell ref="R110:R111"/>
    <mergeCell ref="S110:S209"/>
    <mergeCell ref="R112:R114"/>
    <mergeCell ref="R117:R118"/>
    <mergeCell ref="R121:R122"/>
    <mergeCell ref="R123:R125"/>
    <mergeCell ref="R127:R132"/>
    <mergeCell ref="R135:R174"/>
    <mergeCell ref="R175:R176"/>
    <mergeCell ref="R177:R179"/>
    <mergeCell ref="R95:R96"/>
    <mergeCell ref="S95:S106"/>
    <mergeCell ref="R97:R99"/>
    <mergeCell ref="R101:R102"/>
    <mergeCell ref="R103:R106"/>
    <mergeCell ref="R107:R109"/>
    <mergeCell ref="S107:S109"/>
    <mergeCell ref="S69:S78"/>
    <mergeCell ref="R73:R78"/>
    <mergeCell ref="R81:R85"/>
    <mergeCell ref="S81:S94"/>
    <mergeCell ref="R86:R87"/>
    <mergeCell ref="R89:R90"/>
    <mergeCell ref="R91:R92"/>
    <mergeCell ref="R38:R48"/>
    <mergeCell ref="R50:R51"/>
    <mergeCell ref="R53:R54"/>
    <mergeCell ref="R56:R58"/>
    <mergeCell ref="R61:R67"/>
    <mergeCell ref="S61:S67"/>
    <mergeCell ref="R3:S3"/>
    <mergeCell ref="S5:S24"/>
    <mergeCell ref="R7:R11"/>
    <mergeCell ref="R12:R21"/>
    <mergeCell ref="R22:R23"/>
    <mergeCell ref="R25:R26"/>
    <mergeCell ref="S25:S60"/>
    <mergeCell ref="R27:R29"/>
    <mergeCell ref="R31:R34"/>
    <mergeCell ref="R36:R37"/>
  </mergeCells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8</vt:i4>
      </vt:variant>
    </vt:vector>
  </HeadingPairs>
  <TitlesOfParts>
    <vt:vector size="15" baseType="lpstr">
      <vt:lpstr>Sheet1</vt:lpstr>
      <vt:lpstr>Sheet1 (2)</vt:lpstr>
      <vt:lpstr>SALES SUMMARY - JUNE 2026</vt:lpstr>
      <vt:lpstr>SALES PER AGENT - JUNE 2026 </vt:lpstr>
      <vt:lpstr>CHARGES</vt:lpstr>
      <vt:lpstr>SALES SUMMARY - FINAL JUNE 2026</vt:lpstr>
      <vt:lpstr>OTHER CHARGES</vt:lpstr>
      <vt:lpstr>'OTHER CHARGES'!Print_Area</vt:lpstr>
      <vt:lpstr>'SALES PER AGENT - JUNE 2026 '!Print_Area</vt:lpstr>
      <vt:lpstr>'SALES SUMMARY - FINAL JUNE 2026'!Print_Area</vt:lpstr>
      <vt:lpstr>'SALES SUMMARY - JUNE 2026'!Print_Area</vt:lpstr>
      <vt:lpstr>'OTHER CHARGES'!Print_Titles</vt:lpstr>
      <vt:lpstr>'SALES PER AGENT - JUNE 2026 '!Print_Titles</vt:lpstr>
      <vt:lpstr>'SALES SUMMARY - FINAL JUNE 2026'!Print_Titles</vt:lpstr>
      <vt:lpstr>'SALES SUMMARY - JUNE 2026'!Print_Titles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IRENE</dc:creator>
  <cp:lastModifiedBy>Windows User</cp:lastModifiedBy>
  <cp:lastPrinted>2026-07-15T01:17:32Z</cp:lastPrinted>
  <dcterms:created xsi:type="dcterms:W3CDTF">2026-07-06T06:37:49Z</dcterms:created>
  <dcterms:modified xsi:type="dcterms:W3CDTF">2026-09-02T01:05:42Z</dcterms:modified>
</cp:coreProperties>
</file>